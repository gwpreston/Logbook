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users" sheetId="2" state="visible" r:id="rId2"/>
    <sheet name="Reports" sheetId="3" state="visible" r:id="rId3"/>
    <sheet name="Ledger" sheetId="4" state="visible" r:id="rId4"/>
    <sheet name="expected" sheetId="5" state="visible" r:id="rId5"/>
    <sheet name="vehicles" sheetId="6" state="visible" r:id="rId6"/>
    <sheet name="shares" sheetId="7" state="visible" r:id="rId7"/>
    <sheet name="readings" sheetId="8" state="visible" r:id="rId8"/>
    <sheet name="fillups" sheetId="9" state="visible" r:id="rId9"/>
    <sheet name="expenses" sheetId="10" state="visible" r:id="rId10"/>
    <sheet name="maintenance" sheetId="11" state="visible" r:id="rId11"/>
    <sheet name="documents" sheetId="12" state="visible" r:id="rId12"/>
    <sheet name="valuations" sheetId="13" state="visible" r:id="rId13"/>
    <sheet name="schedules" sheetId="14" state="visible" r:id="rId14"/>
    <sheet name="incidents" sheetId="15" state="visible" r:id="rId15"/>
    <sheet name="finance" sheetId="16" state="visible" r:id="rId16"/>
    <sheet name="finance_events" sheetId="17" state="visible" r:id="rId17"/>
    <sheet name="rate_sets" sheetId="18" state="visible" r:id="rId18"/>
    <sheet name="trip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</font>
    <font>
      <name val="Arial"/>
      <color rgb="00008000"/>
    </font>
    <font>
      <name val="Arial"/>
      <b val="1"/>
      <sz val="14"/>
    </font>
    <font>
      <name val="Arial"/>
      <i val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1" fillId="2" borderId="0" pivotButton="0" quotePrefix="0" xfId="0"/>
    <xf numFmtId="0" fontId="6" fillId="0" borderId="0" pivotButton="0" quotePrefix="0" xfId="0"/>
    <xf numFmtId="4" fontId="0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3" fillId="3" borderId="0" pivotButton="0" quotePrefix="0" xfId="0"/>
    <xf numFmtId="0" fontId="7" fillId="0" borderId="0" pivotButton="0" quotePrefix="0" xfId="0"/>
    <xf numFmtId="165" fontId="3" fillId="3" borderId="0" pivotButton="0" quotePrefix="0" xfId="0"/>
    <xf numFmtId="1" fontId="3" fillId="3" borderId="0" pivotButton="0" quotePrefix="0" xfId="0"/>
    <xf numFmtId="1" fontId="4" fillId="0" borderId="0" pivotButton="0" quotePrefix="0" xfId="0"/>
    <xf numFmtId="2" fontId="4" fillId="0" borderId="0" pivotButton="0" quotePrefix="0" xfId="0"/>
    <xf numFmtId="2" fontId="3" fillId="0" borderId="0" pivotButton="0" quotePrefix="0" xfId="0"/>
    <xf numFmtId="165" fontId="0" fillId="0" borderId="0" pivotButton="0" quotePrefix="0" xfId="0"/>
    <xf numFmtId="164" fontId="4" fillId="0" borderId="0" pivotButton="0" quotePrefix="0" xfId="0"/>
    <xf numFmtId="164" fontId="0" fillId="3" borderId="0" pivotButton="0" quotePrefix="0" xfId="0"/>
    <xf numFmtId="165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Claude</author>
  </authors>
  <commentList>
    <comment ref="K1" authorId="0" shapeId="0">
      <text>
        <t>Example helper (Claude): the odometer at the last full fill before this one, same vehicle. Check the rule against spec §7.2 before trusting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Golden household: example spreadsheet (Phase 45.1)</t>
        </is>
      </c>
    </row>
    <row r="2">
      <c r="A2" s="2" t="inlineStr"/>
    </row>
    <row r="3">
      <c r="A3" s="3" t="inlineStr">
        <is>
          <t>An example of how the expected figures can be worked out, not the answers. It shows the layout; the figures are yours.</t>
        </is>
      </c>
    </row>
    <row r="4">
      <c r="A4" s="2" t="inlineStr">
        <is>
          <t>Per #393 your spreadsheet must be worked out from the inputs and spec.md alone. The few formulas filled in here were written by Claude</t>
        </is>
      </c>
    </row>
    <row r="5">
      <c r="A5" s="2" t="inlineStr">
        <is>
          <t>to show the pattern; they share Claude's reading of the spec, so check each against the spec (or rewrite it) before you trust it.</t>
        </is>
      </c>
    </row>
    <row r="6">
      <c r="A6" s="2" t="inlineStr"/>
    </row>
    <row r="7">
      <c r="A7" s="3" t="inlineStr">
        <is>
          <t>Legend</t>
        </is>
      </c>
    </row>
    <row r="8">
      <c r="A8" s="4" t="inlineStr">
        <is>
          <t>Blue text: inputs, pasted from tests/Fixtures/golden/inputs/*.csv. Don't edit; rebuild the tabs if the CSVs change.</t>
        </is>
      </c>
    </row>
    <row r="9">
      <c r="A9" s="5" t="inlineStr">
        <is>
          <t>Green text: a formula that links to another sheet.</t>
        </is>
      </c>
    </row>
    <row r="10">
      <c r="A10" s="2" t="inlineStr">
        <is>
          <t>Black text: a formula on the same sheet, or a label.</t>
        </is>
      </c>
    </row>
    <row r="11">
      <c r="A11" s="6" t="inlineStr">
        <is>
          <t>Yellow fill: yours to fill in (the expected tab, and the finance lines at the foot of the Ledger).</t>
        </is>
      </c>
    </row>
    <row r="12">
      <c r="A12" s="2" t="inlineStr"/>
    </row>
    <row r="13">
      <c r="A13" s="3" t="inlineStr">
        <is>
          <t>Tabs</t>
        </is>
      </c>
    </row>
    <row r="14">
      <c r="A14" s="2" t="inlineStr">
        <is>
          <t>expected: the 890 figures. Each row says how its figure is filled: an example formula, or "yours".</t>
        </is>
      </c>
    </row>
    <row r="15">
      <c r="A15" s="2" t="inlineStr">
        <is>
          <t>Reports: spend per vehicle, year and group, from the Ledger (worked example).</t>
        </is>
      </c>
    </row>
    <row r="16">
      <c r="A16" s="2" t="inlineStr">
        <is>
          <t>Ledger: every cost as one line (vehicle, local date, group, amount), as spec §7.7 builds it: fill-ups (fuel), expenses (other),</t>
        </is>
      </c>
    </row>
    <row r="17">
      <c r="A17" s="2" t="inlineStr">
        <is>
          <t xml:space="preserve">   maintenance and documents (a £0 one is in the list but adds nothing). Add the finance lines yourself in the yellow rows.</t>
        </is>
      </c>
    </row>
    <row r="18">
      <c r="A18" s="2" t="inlineStr">
        <is>
          <t>fillups: helper columns on the right work out each full-to-full economy segment (spec §7.2).</t>
        </is>
      </c>
    </row>
    <row r="19">
      <c r="A19" s="2" t="inlineStr">
        <is>
          <t>trips: helper columns give each trip's UK tax year and its miles (km ÷ 1.609344).</t>
        </is>
      </c>
    </row>
    <row r="20">
      <c r="A20" s="2" t="inlineStr">
        <is>
          <t>The other tabs are the inputs as they are.</t>
        </is>
      </c>
    </row>
    <row r="21">
      <c r="A21" s="2" t="inlineStr"/>
    </row>
    <row r="22">
      <c r="A22" s="2" t="inlineStr">
        <is>
          <t>Rules to keep (README.md in the same folder): today is 2026-09-15 08:00 UTC; times are local; sum exactly and round once;</t>
        </is>
      </c>
    </row>
    <row r="23">
      <c r="A23" s="2" t="inlineStr">
        <is>
          <t>money to 2 places, money per distance to 3, distance to whole units, economy to 2; "—" where the app shows no figure.</t>
        </is>
      </c>
    </row>
    <row r="24">
      <c r="A24" s="2" t="inlineStr"/>
    </row>
    <row r="25">
      <c r="A25" s="2" t="inlineStr">
        <is>
          <t>Still to do by you: ownership, true cost and depreciation, finance, the claim amounts (threshold and rate change), Coming up,</t>
        </is>
      </c>
    </row>
    <row r="26">
      <c r="A26" s="2" t="inlineStr">
        <is>
          <t>the digest, Reports' cost per distance (readings must reach back, #376) and the hidden-costs row.</t>
        </is>
      </c>
    </row>
    <row r="27">
      <c r="A27" s="2" t="inlineStr"/>
    </row>
    <row r="28">
      <c r="A28" s="3" t="inlineStr">
        <is>
          <t>When done: save the expected tab alone as CSV (UTF-8), keeping its header, over tests/Fixtures/golden/expected.csv.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7" customWidth="1" min="6" max="6"/>
    <col width="15" customWidth="1" min="7" max="7"/>
    <col width="18" customWidth="1" min="8" max="8"/>
    <col width="12" customWidth="1" min="9" max="9"/>
  </cols>
  <sheetData>
    <row r="1">
      <c r="A1" s="7" t="inlineStr">
        <is>
          <t>user</t>
        </is>
      </c>
      <c r="B1" s="7" t="inlineStr">
        <is>
          <t>display_name</t>
        </is>
      </c>
      <c r="C1" s="7" t="inlineStr">
        <is>
          <t>locale</t>
        </is>
      </c>
      <c r="D1" s="7" t="inlineStr">
        <is>
          <t>timezone</t>
        </is>
      </c>
      <c r="E1" s="7" t="inlineStr">
        <is>
          <t>currency</t>
        </is>
      </c>
      <c r="F1" s="7" t="inlineStr">
        <is>
          <t>distance_unit</t>
        </is>
      </c>
      <c r="G1" s="7" t="inlineStr">
        <is>
          <t>volume_unit</t>
        </is>
      </c>
      <c r="H1" s="7" t="inlineStr">
        <is>
          <t>tax_year_start</t>
        </is>
      </c>
      <c r="I1" s="7" t="inlineStr">
        <is>
          <t>is_admin</t>
        </is>
      </c>
    </row>
    <row r="2">
      <c r="A2" s="4" t="inlineStr">
        <is>
          <t>alex</t>
        </is>
      </c>
      <c r="B2" s="4" t="inlineStr">
        <is>
          <t>Alex</t>
        </is>
      </c>
      <c r="C2" s="4" t="inlineStr">
        <is>
          <t>en_GB</t>
        </is>
      </c>
      <c r="D2" s="4" t="inlineStr">
        <is>
          <t>Europe/London</t>
        </is>
      </c>
      <c r="E2" s="4" t="inlineStr">
        <is>
          <t>GBP</t>
        </is>
      </c>
      <c r="F2" s="4" t="inlineStr">
        <is>
          <t>mi</t>
        </is>
      </c>
      <c r="G2" s="4" t="inlineStr">
        <is>
          <t>l</t>
        </is>
      </c>
      <c r="H2" s="4" t="inlineStr">
        <is>
          <t>04-06</t>
        </is>
      </c>
      <c r="I2" s="4" t="inlineStr">
        <is>
          <t>yes</t>
        </is>
      </c>
    </row>
    <row r="3">
      <c r="A3" s="4" t="inlineStr">
        <is>
          <t>sam</t>
        </is>
      </c>
      <c r="B3" s="4" t="inlineStr">
        <is>
          <t>Sam</t>
        </is>
      </c>
      <c r="C3" s="4" t="inlineStr">
        <is>
          <t>en_IE</t>
        </is>
      </c>
      <c r="D3" s="4" t="inlineStr">
        <is>
          <t>Europe/Dublin</t>
        </is>
      </c>
      <c r="E3" s="4" t="inlineStr">
        <is>
          <t>EUR</t>
        </is>
      </c>
      <c r="F3" s="4" t="inlineStr">
        <is>
          <t>km</t>
        </is>
      </c>
      <c r="G3" s="4" t="inlineStr">
        <is>
          <t>l</t>
        </is>
      </c>
      <c r="H3" s="4" t="inlineStr">
        <is>
          <t>01-01</t>
        </is>
      </c>
      <c r="I3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Reports: spend per vehicle, calendar year and group (worked example)</t>
        </is>
      </c>
    </row>
    <row r="2">
      <c r="A2" s="8" t="inlineStr">
        <is>
          <t>SUMIFS over the Ledger. Finance lines count only once you add them on the Ledger sheet.</t>
        </is>
      </c>
    </row>
    <row r="4">
      <c r="A4" s="7" t="inlineStr">
        <is>
          <t>vehicle</t>
        </is>
      </c>
      <c r="B4" s="7" t="inlineStr">
        <is>
          <t>year</t>
        </is>
      </c>
      <c r="C4" s="7" t="inlineStr">
        <is>
          <t>fuel</t>
        </is>
      </c>
      <c r="D4" s="7" t="inlineStr">
        <is>
          <t>maintenance</t>
        </is>
      </c>
      <c r="E4" s="7" t="inlineStr">
        <is>
          <t>compliance</t>
        </is>
      </c>
      <c r="F4" s="7" t="inlineStr">
        <is>
          <t>other</t>
        </is>
      </c>
      <c r="G4" s="7" t="inlineStr">
        <is>
          <t>total</t>
        </is>
      </c>
    </row>
    <row r="5">
      <c r="A5" s="4" t="inlineStr">
        <is>
          <t>golf</t>
        </is>
      </c>
      <c r="B5" s="4" t="inlineStr">
        <is>
          <t>2023</t>
        </is>
      </c>
      <c r="C5" s="9">
        <f>SUMIFS(Ledger!$E$2:$E$846,Ledger!$A$2:$A$846,$A5,Ledger!$F$2:$F$846,$B5,Ledger!$C$2:$C$846,C$4)</f>
        <v/>
      </c>
      <c r="D5" s="9">
        <f>SUMIFS(Ledger!$E$2:$E$846,Ledger!$A$2:$A$846,$A5,Ledger!$F$2:$F$846,$B5,Ledger!$C$2:$C$846,D$4)</f>
        <v/>
      </c>
      <c r="E5" s="9">
        <f>SUMIFS(Ledger!$E$2:$E$846,Ledger!$A$2:$A$846,$A5,Ledger!$F$2:$F$846,$B5,Ledger!$C$2:$C$846,E$4)</f>
        <v/>
      </c>
      <c r="F5" s="9">
        <f>SUMIFS(Ledger!$E$2:$E$846,Ledger!$A$2:$A$846,$A5,Ledger!$F$2:$F$846,$B5,Ledger!$C$2:$C$846,F$4)</f>
        <v/>
      </c>
      <c r="G5" s="9">
        <f>SUM(C5:F5)</f>
        <v/>
      </c>
    </row>
    <row r="6">
      <c r="A6" s="4" t="inlineStr">
        <is>
          <t>golf</t>
        </is>
      </c>
      <c r="B6" s="4" t="inlineStr">
        <is>
          <t>2024</t>
        </is>
      </c>
      <c r="C6" s="9">
        <f>SUMIFS(Ledger!$E$2:$E$846,Ledger!$A$2:$A$846,$A6,Ledger!$F$2:$F$846,$B6,Ledger!$C$2:$C$846,C$4)</f>
        <v/>
      </c>
      <c r="D6" s="9">
        <f>SUMIFS(Ledger!$E$2:$E$846,Ledger!$A$2:$A$846,$A6,Ledger!$F$2:$F$846,$B6,Ledger!$C$2:$C$846,D$4)</f>
        <v/>
      </c>
      <c r="E6" s="9">
        <f>SUMIFS(Ledger!$E$2:$E$846,Ledger!$A$2:$A$846,$A6,Ledger!$F$2:$F$846,$B6,Ledger!$C$2:$C$846,E$4)</f>
        <v/>
      </c>
      <c r="F6" s="9">
        <f>SUMIFS(Ledger!$E$2:$E$846,Ledger!$A$2:$A$846,$A6,Ledger!$F$2:$F$846,$B6,Ledger!$C$2:$C$846,F$4)</f>
        <v/>
      </c>
      <c r="G6" s="9">
        <f>SUM(C6:F6)</f>
        <v/>
      </c>
    </row>
    <row r="7">
      <c r="A7" s="4" t="inlineStr">
        <is>
          <t>golf</t>
        </is>
      </c>
      <c r="B7" s="4" t="inlineStr">
        <is>
          <t>2025</t>
        </is>
      </c>
      <c r="C7" s="9">
        <f>SUMIFS(Ledger!$E$2:$E$846,Ledger!$A$2:$A$846,$A7,Ledger!$F$2:$F$846,$B7,Ledger!$C$2:$C$846,C$4)</f>
        <v/>
      </c>
      <c r="D7" s="9">
        <f>SUMIFS(Ledger!$E$2:$E$846,Ledger!$A$2:$A$846,$A7,Ledger!$F$2:$F$846,$B7,Ledger!$C$2:$C$846,D$4)</f>
        <v/>
      </c>
      <c r="E7" s="9">
        <f>SUMIFS(Ledger!$E$2:$E$846,Ledger!$A$2:$A$846,$A7,Ledger!$F$2:$F$846,$B7,Ledger!$C$2:$C$846,E$4)</f>
        <v/>
      </c>
      <c r="F7" s="9">
        <f>SUMIFS(Ledger!$E$2:$E$846,Ledger!$A$2:$A$846,$A7,Ledger!$F$2:$F$846,$B7,Ledger!$C$2:$C$846,F$4)</f>
        <v/>
      </c>
      <c r="G7" s="9">
        <f>SUM(C7:F7)</f>
        <v/>
      </c>
    </row>
    <row r="8">
      <c r="A8" s="4" t="inlineStr">
        <is>
          <t>golf</t>
        </is>
      </c>
      <c r="B8" s="4" t="inlineStr">
        <is>
          <t>2026</t>
        </is>
      </c>
      <c r="C8" s="9">
        <f>SUMIFS(Ledger!$E$2:$E$846,Ledger!$A$2:$A$846,$A8,Ledger!$F$2:$F$846,$B8,Ledger!$C$2:$C$846,C$4)</f>
        <v/>
      </c>
      <c r="D8" s="9">
        <f>SUMIFS(Ledger!$E$2:$E$846,Ledger!$A$2:$A$846,$A8,Ledger!$F$2:$F$846,$B8,Ledger!$C$2:$C$846,D$4)</f>
        <v/>
      </c>
      <c r="E8" s="9">
        <f>SUMIFS(Ledger!$E$2:$E$846,Ledger!$A$2:$A$846,$A8,Ledger!$F$2:$F$846,$B8,Ledger!$C$2:$C$846,E$4)</f>
        <v/>
      </c>
      <c r="F8" s="9">
        <f>SUMIFS(Ledger!$E$2:$E$846,Ledger!$A$2:$A$846,$A8,Ledger!$F$2:$F$846,$B8,Ledger!$C$2:$C$846,F$4)</f>
        <v/>
      </c>
      <c r="G8" s="9">
        <f>SUM(C8:F8)</f>
        <v/>
      </c>
    </row>
    <row r="9">
      <c r="A9" s="4" t="inlineStr">
        <is>
          <t>ev</t>
        </is>
      </c>
      <c r="B9" s="4" t="inlineStr">
        <is>
          <t>2024</t>
        </is>
      </c>
      <c r="C9" s="9">
        <f>SUMIFS(Ledger!$E$2:$E$846,Ledger!$A$2:$A$846,$A9,Ledger!$F$2:$F$846,$B9,Ledger!$C$2:$C$846,C$4)</f>
        <v/>
      </c>
      <c r="D9" s="9">
        <f>SUMIFS(Ledger!$E$2:$E$846,Ledger!$A$2:$A$846,$A9,Ledger!$F$2:$F$846,$B9,Ledger!$C$2:$C$846,D$4)</f>
        <v/>
      </c>
      <c r="E9" s="9">
        <f>SUMIFS(Ledger!$E$2:$E$846,Ledger!$A$2:$A$846,$A9,Ledger!$F$2:$F$846,$B9,Ledger!$C$2:$C$846,E$4)</f>
        <v/>
      </c>
      <c r="F9" s="9">
        <f>SUMIFS(Ledger!$E$2:$E$846,Ledger!$A$2:$A$846,$A9,Ledger!$F$2:$F$846,$B9,Ledger!$C$2:$C$846,F$4)</f>
        <v/>
      </c>
      <c r="G9" s="9">
        <f>SUM(C9:F9)</f>
        <v/>
      </c>
    </row>
    <row r="10">
      <c r="A10" s="4" t="inlineStr">
        <is>
          <t>ev</t>
        </is>
      </c>
      <c r="B10" s="4" t="inlineStr">
        <is>
          <t>2025</t>
        </is>
      </c>
      <c r="C10" s="9">
        <f>SUMIFS(Ledger!$E$2:$E$846,Ledger!$A$2:$A$846,$A10,Ledger!$F$2:$F$846,$B10,Ledger!$C$2:$C$846,C$4)</f>
        <v/>
      </c>
      <c r="D10" s="9">
        <f>SUMIFS(Ledger!$E$2:$E$846,Ledger!$A$2:$A$846,$A10,Ledger!$F$2:$F$846,$B10,Ledger!$C$2:$C$846,D$4)</f>
        <v/>
      </c>
      <c r="E10" s="9">
        <f>SUMIFS(Ledger!$E$2:$E$846,Ledger!$A$2:$A$846,$A10,Ledger!$F$2:$F$846,$B10,Ledger!$C$2:$C$846,E$4)</f>
        <v/>
      </c>
      <c r="F10" s="9">
        <f>SUMIFS(Ledger!$E$2:$E$846,Ledger!$A$2:$A$846,$A10,Ledger!$F$2:$F$846,$B10,Ledger!$C$2:$C$846,F$4)</f>
        <v/>
      </c>
      <c r="G10" s="9">
        <f>SUM(C10:F10)</f>
        <v/>
      </c>
    </row>
    <row r="11">
      <c r="A11" s="4" t="inlineStr">
        <is>
          <t>ev</t>
        </is>
      </c>
      <c r="B11" s="4" t="inlineStr">
        <is>
          <t>2026</t>
        </is>
      </c>
      <c r="C11" s="9">
        <f>SUMIFS(Ledger!$E$2:$E$846,Ledger!$A$2:$A$846,$A11,Ledger!$F$2:$F$846,$B11,Ledger!$C$2:$C$846,C$4)</f>
        <v/>
      </c>
      <c r="D11" s="9">
        <f>SUMIFS(Ledger!$E$2:$E$846,Ledger!$A$2:$A$846,$A11,Ledger!$F$2:$F$846,$B11,Ledger!$C$2:$C$846,D$4)</f>
        <v/>
      </c>
      <c r="E11" s="9">
        <f>SUMIFS(Ledger!$E$2:$E$846,Ledger!$A$2:$A$846,$A11,Ledger!$F$2:$F$846,$B11,Ledger!$C$2:$C$846,E$4)</f>
        <v/>
      </c>
      <c r="F11" s="9">
        <f>SUMIFS(Ledger!$E$2:$E$846,Ledger!$A$2:$A$846,$A11,Ledger!$F$2:$F$846,$B11,Ledger!$C$2:$C$846,F$4)</f>
        <v/>
      </c>
      <c r="G11" s="9">
        <f>SUM(C11:F11)</f>
        <v/>
      </c>
    </row>
    <row r="12">
      <c r="A12" s="4" t="inlineStr">
        <is>
          <t>focus</t>
        </is>
      </c>
      <c r="B12" s="4" t="inlineStr">
        <is>
          <t>2023</t>
        </is>
      </c>
      <c r="C12" s="9">
        <f>SUMIFS(Ledger!$E$2:$E$846,Ledger!$A$2:$A$846,$A12,Ledger!$F$2:$F$846,$B12,Ledger!$C$2:$C$846,C$4)</f>
        <v/>
      </c>
      <c r="D12" s="9">
        <f>SUMIFS(Ledger!$E$2:$E$846,Ledger!$A$2:$A$846,$A12,Ledger!$F$2:$F$846,$B12,Ledger!$C$2:$C$846,D$4)</f>
        <v/>
      </c>
      <c r="E12" s="9">
        <f>SUMIFS(Ledger!$E$2:$E$846,Ledger!$A$2:$A$846,$A12,Ledger!$F$2:$F$846,$B12,Ledger!$C$2:$C$846,E$4)</f>
        <v/>
      </c>
      <c r="F12" s="9">
        <f>SUMIFS(Ledger!$E$2:$E$846,Ledger!$A$2:$A$846,$A12,Ledger!$F$2:$F$846,$B12,Ledger!$C$2:$C$846,F$4)</f>
        <v/>
      </c>
      <c r="G12" s="9">
        <f>SUM(C12:F12)</f>
        <v/>
      </c>
    </row>
    <row r="13">
      <c r="A13" s="4" t="inlineStr">
        <is>
          <t>focus</t>
        </is>
      </c>
      <c r="B13" s="4" t="inlineStr">
        <is>
          <t>2024</t>
        </is>
      </c>
      <c r="C13" s="9">
        <f>SUMIFS(Ledger!$E$2:$E$846,Ledger!$A$2:$A$846,$A13,Ledger!$F$2:$F$846,$B13,Ledger!$C$2:$C$846,C$4)</f>
        <v/>
      </c>
      <c r="D13" s="9">
        <f>SUMIFS(Ledger!$E$2:$E$846,Ledger!$A$2:$A$846,$A13,Ledger!$F$2:$F$846,$B13,Ledger!$C$2:$C$846,D$4)</f>
        <v/>
      </c>
      <c r="E13" s="9">
        <f>SUMIFS(Ledger!$E$2:$E$846,Ledger!$A$2:$A$846,$A13,Ledger!$F$2:$F$846,$B13,Ledger!$C$2:$C$846,E$4)</f>
        <v/>
      </c>
      <c r="F13" s="9">
        <f>SUMIFS(Ledger!$E$2:$E$846,Ledger!$A$2:$A$846,$A13,Ledger!$F$2:$F$846,$B13,Ledger!$C$2:$C$846,F$4)</f>
        <v/>
      </c>
      <c r="G13" s="9">
        <f>SUM(C13:F13)</f>
        <v/>
      </c>
    </row>
    <row r="14">
      <c r="A14" s="4" t="inlineStr">
        <is>
          <t>focus</t>
        </is>
      </c>
      <c r="B14" s="4" t="inlineStr">
        <is>
          <t>2025</t>
        </is>
      </c>
      <c r="C14" s="9">
        <f>SUMIFS(Ledger!$E$2:$E$846,Ledger!$A$2:$A$846,$A14,Ledger!$F$2:$F$846,$B14,Ledger!$C$2:$C$846,C$4)</f>
        <v/>
      </c>
      <c r="D14" s="9">
        <f>SUMIFS(Ledger!$E$2:$E$846,Ledger!$A$2:$A$846,$A14,Ledger!$F$2:$F$846,$B14,Ledger!$C$2:$C$846,D$4)</f>
        <v/>
      </c>
      <c r="E14" s="9">
        <f>SUMIFS(Ledger!$E$2:$E$846,Ledger!$A$2:$A$846,$A14,Ledger!$F$2:$F$846,$B14,Ledger!$C$2:$C$846,E$4)</f>
        <v/>
      </c>
      <c r="F14" s="9">
        <f>SUMIFS(Ledger!$E$2:$E$846,Ledger!$A$2:$A$846,$A14,Ledger!$F$2:$F$846,$B14,Ledger!$C$2:$C$846,F$4)</f>
        <v/>
      </c>
      <c r="G14" s="9">
        <f>SUM(C14:F14)</f>
        <v/>
      </c>
    </row>
    <row r="15">
      <c r="A15" s="4" t="inlineStr">
        <is>
          <t>focus</t>
        </is>
      </c>
      <c r="B15" s="4" t="inlineStr">
        <is>
          <t>2026</t>
        </is>
      </c>
      <c r="C15" s="9">
        <f>SUMIFS(Ledger!$E$2:$E$846,Ledger!$A$2:$A$846,$A15,Ledger!$F$2:$F$846,$B15,Ledger!$C$2:$C$846,C$4)</f>
        <v/>
      </c>
      <c r="D15" s="9">
        <f>SUMIFS(Ledger!$E$2:$E$846,Ledger!$A$2:$A$846,$A15,Ledger!$F$2:$F$846,$B15,Ledger!$C$2:$C$846,D$4)</f>
        <v/>
      </c>
      <c r="E15" s="9">
        <f>SUMIFS(Ledger!$E$2:$E$846,Ledger!$A$2:$A$846,$A15,Ledger!$F$2:$F$846,$B15,Ledger!$C$2:$C$846,E$4)</f>
        <v/>
      </c>
      <c r="F15" s="9">
        <f>SUMIFS(Ledger!$E$2:$E$846,Ledger!$A$2:$A$846,$A15,Ledger!$F$2:$F$846,$B15,Ledger!$C$2:$C$846,F$4)</f>
        <v/>
      </c>
      <c r="G15" s="9">
        <f>SUM(C15:F15)</f>
        <v/>
      </c>
    </row>
    <row r="16">
      <c r="A16" s="4" t="inlineStr">
        <is>
          <t>corolla</t>
        </is>
      </c>
      <c r="B16" s="4" t="inlineStr">
        <is>
          <t>2023</t>
        </is>
      </c>
      <c r="C16" s="9">
        <f>SUMIFS(Ledger!$E$2:$E$846,Ledger!$A$2:$A$846,$A16,Ledger!$F$2:$F$846,$B16,Ledger!$C$2:$C$846,C$4)</f>
        <v/>
      </c>
      <c r="D16" s="9">
        <f>SUMIFS(Ledger!$E$2:$E$846,Ledger!$A$2:$A$846,$A16,Ledger!$F$2:$F$846,$B16,Ledger!$C$2:$C$846,D$4)</f>
        <v/>
      </c>
      <c r="E16" s="9">
        <f>SUMIFS(Ledger!$E$2:$E$846,Ledger!$A$2:$A$846,$A16,Ledger!$F$2:$F$846,$B16,Ledger!$C$2:$C$846,E$4)</f>
        <v/>
      </c>
      <c r="F16" s="9">
        <f>SUMIFS(Ledger!$E$2:$E$846,Ledger!$A$2:$A$846,$A16,Ledger!$F$2:$F$846,$B16,Ledger!$C$2:$C$846,F$4)</f>
        <v/>
      </c>
      <c r="G16" s="9">
        <f>SUM(C16:F16)</f>
        <v/>
      </c>
    </row>
    <row r="17">
      <c r="A17" s="4" t="inlineStr">
        <is>
          <t>corolla</t>
        </is>
      </c>
      <c r="B17" s="4" t="inlineStr">
        <is>
          <t>2024</t>
        </is>
      </c>
      <c r="C17" s="9">
        <f>SUMIFS(Ledger!$E$2:$E$846,Ledger!$A$2:$A$846,$A17,Ledger!$F$2:$F$846,$B17,Ledger!$C$2:$C$846,C$4)</f>
        <v/>
      </c>
      <c r="D17" s="9">
        <f>SUMIFS(Ledger!$E$2:$E$846,Ledger!$A$2:$A$846,$A17,Ledger!$F$2:$F$846,$B17,Ledger!$C$2:$C$846,D$4)</f>
        <v/>
      </c>
      <c r="E17" s="9">
        <f>SUMIFS(Ledger!$E$2:$E$846,Ledger!$A$2:$A$846,$A17,Ledger!$F$2:$F$846,$B17,Ledger!$C$2:$C$846,E$4)</f>
        <v/>
      </c>
      <c r="F17" s="9">
        <f>SUMIFS(Ledger!$E$2:$E$846,Ledger!$A$2:$A$846,$A17,Ledger!$F$2:$F$846,$B17,Ledger!$C$2:$C$846,F$4)</f>
        <v/>
      </c>
      <c r="G17" s="9">
        <f>SUM(C17:F17)</f>
        <v/>
      </c>
    </row>
    <row r="18">
      <c r="A18" s="4" t="inlineStr">
        <is>
          <t>corolla</t>
        </is>
      </c>
      <c r="B18" s="4" t="inlineStr">
        <is>
          <t>2025</t>
        </is>
      </c>
      <c r="C18" s="9">
        <f>SUMIFS(Ledger!$E$2:$E$846,Ledger!$A$2:$A$846,$A18,Ledger!$F$2:$F$846,$B18,Ledger!$C$2:$C$846,C$4)</f>
        <v/>
      </c>
      <c r="D18" s="9">
        <f>SUMIFS(Ledger!$E$2:$E$846,Ledger!$A$2:$A$846,$A18,Ledger!$F$2:$F$846,$B18,Ledger!$C$2:$C$846,D$4)</f>
        <v/>
      </c>
      <c r="E18" s="9">
        <f>SUMIFS(Ledger!$E$2:$E$846,Ledger!$A$2:$A$846,$A18,Ledger!$F$2:$F$846,$B18,Ledger!$C$2:$C$846,E$4)</f>
        <v/>
      </c>
      <c r="F18" s="9">
        <f>SUMIFS(Ledger!$E$2:$E$846,Ledger!$A$2:$A$846,$A18,Ledger!$F$2:$F$846,$B18,Ledger!$C$2:$C$846,F$4)</f>
        <v/>
      </c>
      <c r="G18" s="9">
        <f>SUM(C18:F18)</f>
        <v/>
      </c>
    </row>
    <row r="19">
      <c r="A19" s="4" t="inlineStr">
        <is>
          <t>corolla</t>
        </is>
      </c>
      <c r="B19" s="4" t="inlineStr">
        <is>
          <t>2026</t>
        </is>
      </c>
      <c r="C19" s="9">
        <f>SUMIFS(Ledger!$E$2:$E$846,Ledger!$A$2:$A$846,$A19,Ledger!$F$2:$F$846,$B19,Ledger!$C$2:$C$846,C$4)</f>
        <v/>
      </c>
      <c r="D19" s="9">
        <f>SUMIFS(Ledger!$E$2:$E$846,Ledger!$A$2:$A$846,$A19,Ledger!$F$2:$F$846,$B19,Ledger!$C$2:$C$846,D$4)</f>
        <v/>
      </c>
      <c r="E19" s="9">
        <f>SUMIFS(Ledger!$E$2:$E$846,Ledger!$A$2:$A$846,$A19,Ledger!$F$2:$F$846,$B19,Ledger!$C$2:$C$846,E$4)</f>
        <v/>
      </c>
      <c r="F19" s="9">
        <f>SUMIFS(Ledger!$E$2:$E$846,Ledger!$A$2:$A$846,$A19,Ledger!$F$2:$F$846,$B19,Ledger!$C$2:$C$846,F$4)</f>
        <v/>
      </c>
      <c r="G19" s="9">
        <f>SUM(C19:F19)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vehicle</t>
        </is>
      </c>
      <c r="B1" s="7" t="inlineStr">
        <is>
          <t>date</t>
        </is>
      </c>
      <c r="C1" s="7" t="inlineStr">
        <is>
          <t>group</t>
        </is>
      </c>
      <c r="D1" s="7" t="inlineStr">
        <is>
          <t>source</t>
        </is>
      </c>
      <c r="E1" s="7" t="inlineStr">
        <is>
          <t>amount</t>
        </is>
      </c>
      <c r="F1" s="7" t="inlineStr">
        <is>
          <t>year</t>
        </is>
      </c>
      <c r="G1" s="7" t="inlineStr">
        <is>
          <t>currency</t>
        </is>
      </c>
      <c r="H1" s="7" t="inlineStr">
        <is>
          <t>category</t>
        </is>
      </c>
    </row>
    <row r="2">
      <c r="A2" s="5">
        <f>fillups!A2</f>
        <v/>
      </c>
      <c r="B2" s="5">
        <f>LEFT(fillups!C2,10)</f>
        <v/>
      </c>
      <c r="C2" t="inlineStr">
        <is>
          <t>fuel</t>
        </is>
      </c>
      <c r="D2" t="inlineStr">
        <is>
          <t>fillups</t>
        </is>
      </c>
      <c r="E2" s="21">
        <f>fillups!H2</f>
        <v/>
      </c>
      <c r="F2">
        <f>IF(B2="","",LEFT(B2,4))</f>
        <v/>
      </c>
      <c r="G2">
        <f>IF(A2="","",INDEX(vehicles!$I$2:$I$5,MATCH(A2,vehicles!$A$2:$A$5,0)))</f>
        <v/>
      </c>
      <c r="H2" t="inlineStr">
        <is>
          <t>fuel</t>
        </is>
      </c>
    </row>
    <row r="3">
      <c r="A3" s="5">
        <f>fillups!A3</f>
        <v/>
      </c>
      <c r="B3" s="5">
        <f>LEFT(fillups!C3,10)</f>
        <v/>
      </c>
      <c r="C3" t="inlineStr">
        <is>
          <t>fuel</t>
        </is>
      </c>
      <c r="D3" t="inlineStr">
        <is>
          <t>fillups</t>
        </is>
      </c>
      <c r="E3" s="21">
        <f>fillups!H3</f>
        <v/>
      </c>
      <c r="F3">
        <f>IF(B3="","",LEFT(B3,4))</f>
        <v/>
      </c>
      <c r="G3">
        <f>IF(A3="","",INDEX(vehicles!$I$2:$I$5,MATCH(A3,vehicles!$A$2:$A$5,0)))</f>
        <v/>
      </c>
      <c r="H3" t="inlineStr">
        <is>
          <t>fuel</t>
        </is>
      </c>
    </row>
    <row r="4">
      <c r="A4" s="5">
        <f>fillups!A4</f>
        <v/>
      </c>
      <c r="B4" s="5">
        <f>LEFT(fillups!C4,10)</f>
        <v/>
      </c>
      <c r="C4" t="inlineStr">
        <is>
          <t>fuel</t>
        </is>
      </c>
      <c r="D4" t="inlineStr">
        <is>
          <t>fillups</t>
        </is>
      </c>
      <c r="E4" s="21">
        <f>fillups!H4</f>
        <v/>
      </c>
      <c r="F4">
        <f>IF(B4="","",LEFT(B4,4))</f>
        <v/>
      </c>
      <c r="G4">
        <f>IF(A4="","",INDEX(vehicles!$I$2:$I$5,MATCH(A4,vehicles!$A$2:$A$5,0)))</f>
        <v/>
      </c>
      <c r="H4" t="inlineStr">
        <is>
          <t>fuel</t>
        </is>
      </c>
    </row>
    <row r="5">
      <c r="A5" s="5">
        <f>fillups!A5</f>
        <v/>
      </c>
      <c r="B5" s="5">
        <f>LEFT(fillups!C5,10)</f>
        <v/>
      </c>
      <c r="C5" t="inlineStr">
        <is>
          <t>fuel</t>
        </is>
      </c>
      <c r="D5" t="inlineStr">
        <is>
          <t>fillups</t>
        </is>
      </c>
      <c r="E5" s="21">
        <f>fillups!H5</f>
        <v/>
      </c>
      <c r="F5">
        <f>IF(B5="","",LEFT(B5,4))</f>
        <v/>
      </c>
      <c r="G5">
        <f>IF(A5="","",INDEX(vehicles!$I$2:$I$5,MATCH(A5,vehicles!$A$2:$A$5,0)))</f>
        <v/>
      </c>
      <c r="H5" t="inlineStr">
        <is>
          <t>fuel</t>
        </is>
      </c>
    </row>
    <row r="6">
      <c r="A6" s="5">
        <f>fillups!A6</f>
        <v/>
      </c>
      <c r="B6" s="5">
        <f>LEFT(fillups!C6,10)</f>
        <v/>
      </c>
      <c r="C6" t="inlineStr">
        <is>
          <t>fuel</t>
        </is>
      </c>
      <c r="D6" t="inlineStr">
        <is>
          <t>fillups</t>
        </is>
      </c>
      <c r="E6" s="21">
        <f>fillups!H6</f>
        <v/>
      </c>
      <c r="F6">
        <f>IF(B6="","",LEFT(B6,4))</f>
        <v/>
      </c>
      <c r="G6">
        <f>IF(A6="","",INDEX(vehicles!$I$2:$I$5,MATCH(A6,vehicles!$A$2:$A$5,0)))</f>
        <v/>
      </c>
      <c r="H6" t="inlineStr">
        <is>
          <t>fuel</t>
        </is>
      </c>
    </row>
    <row r="7">
      <c r="A7" s="5">
        <f>fillups!A7</f>
        <v/>
      </c>
      <c r="B7" s="5">
        <f>LEFT(fillups!C7,10)</f>
        <v/>
      </c>
      <c r="C7" t="inlineStr">
        <is>
          <t>fuel</t>
        </is>
      </c>
      <c r="D7" t="inlineStr">
        <is>
          <t>fillups</t>
        </is>
      </c>
      <c r="E7" s="21">
        <f>fillups!H7</f>
        <v/>
      </c>
      <c r="F7">
        <f>IF(B7="","",LEFT(B7,4))</f>
        <v/>
      </c>
      <c r="G7">
        <f>IF(A7="","",INDEX(vehicles!$I$2:$I$5,MATCH(A7,vehicles!$A$2:$A$5,0)))</f>
        <v/>
      </c>
      <c r="H7" t="inlineStr">
        <is>
          <t>fuel</t>
        </is>
      </c>
    </row>
    <row r="8">
      <c r="A8" s="5">
        <f>fillups!A8</f>
        <v/>
      </c>
      <c r="B8" s="5">
        <f>LEFT(fillups!C8,10)</f>
        <v/>
      </c>
      <c r="C8" t="inlineStr">
        <is>
          <t>fuel</t>
        </is>
      </c>
      <c r="D8" t="inlineStr">
        <is>
          <t>fillups</t>
        </is>
      </c>
      <c r="E8" s="21">
        <f>fillups!H8</f>
        <v/>
      </c>
      <c r="F8">
        <f>IF(B8="","",LEFT(B8,4))</f>
        <v/>
      </c>
      <c r="G8">
        <f>IF(A8="","",INDEX(vehicles!$I$2:$I$5,MATCH(A8,vehicles!$A$2:$A$5,0)))</f>
        <v/>
      </c>
      <c r="H8" t="inlineStr">
        <is>
          <t>fuel</t>
        </is>
      </c>
    </row>
    <row r="9">
      <c r="A9" s="5">
        <f>fillups!A9</f>
        <v/>
      </c>
      <c r="B9" s="5">
        <f>LEFT(fillups!C9,10)</f>
        <v/>
      </c>
      <c r="C9" t="inlineStr">
        <is>
          <t>fuel</t>
        </is>
      </c>
      <c r="D9" t="inlineStr">
        <is>
          <t>fillups</t>
        </is>
      </c>
      <c r="E9" s="21">
        <f>fillups!H9</f>
        <v/>
      </c>
      <c r="F9">
        <f>IF(B9="","",LEFT(B9,4))</f>
        <v/>
      </c>
      <c r="G9">
        <f>IF(A9="","",INDEX(vehicles!$I$2:$I$5,MATCH(A9,vehicles!$A$2:$A$5,0)))</f>
        <v/>
      </c>
      <c r="H9" t="inlineStr">
        <is>
          <t>fuel</t>
        </is>
      </c>
    </row>
    <row r="10">
      <c r="A10" s="5">
        <f>fillups!A10</f>
        <v/>
      </c>
      <c r="B10" s="5">
        <f>LEFT(fillups!C10,10)</f>
        <v/>
      </c>
      <c r="C10" t="inlineStr">
        <is>
          <t>fuel</t>
        </is>
      </c>
      <c r="D10" t="inlineStr">
        <is>
          <t>fillups</t>
        </is>
      </c>
      <c r="E10" s="21">
        <f>fillups!H10</f>
        <v/>
      </c>
      <c r="F10">
        <f>IF(B10="","",LEFT(B10,4))</f>
        <v/>
      </c>
      <c r="G10">
        <f>IF(A10="","",INDEX(vehicles!$I$2:$I$5,MATCH(A10,vehicles!$A$2:$A$5,0)))</f>
        <v/>
      </c>
      <c r="H10" t="inlineStr">
        <is>
          <t>fuel</t>
        </is>
      </c>
    </row>
    <row r="11">
      <c r="A11" s="5">
        <f>fillups!A11</f>
        <v/>
      </c>
      <c r="B11" s="5">
        <f>LEFT(fillups!C11,10)</f>
        <v/>
      </c>
      <c r="C11" t="inlineStr">
        <is>
          <t>fuel</t>
        </is>
      </c>
      <c r="D11" t="inlineStr">
        <is>
          <t>fillups</t>
        </is>
      </c>
      <c r="E11" s="21">
        <f>fillups!H11</f>
        <v/>
      </c>
      <c r="F11">
        <f>IF(B11="","",LEFT(B11,4))</f>
        <v/>
      </c>
      <c r="G11">
        <f>IF(A11="","",INDEX(vehicles!$I$2:$I$5,MATCH(A11,vehicles!$A$2:$A$5,0)))</f>
        <v/>
      </c>
      <c r="H11" t="inlineStr">
        <is>
          <t>fuel</t>
        </is>
      </c>
    </row>
    <row r="12">
      <c r="A12" s="5">
        <f>fillups!A12</f>
        <v/>
      </c>
      <c r="B12" s="5">
        <f>LEFT(fillups!C12,10)</f>
        <v/>
      </c>
      <c r="C12" t="inlineStr">
        <is>
          <t>fuel</t>
        </is>
      </c>
      <c r="D12" t="inlineStr">
        <is>
          <t>fillups</t>
        </is>
      </c>
      <c r="E12" s="21">
        <f>fillups!H12</f>
        <v/>
      </c>
      <c r="F12">
        <f>IF(B12="","",LEFT(B12,4))</f>
        <v/>
      </c>
      <c r="G12">
        <f>IF(A12="","",INDEX(vehicles!$I$2:$I$5,MATCH(A12,vehicles!$A$2:$A$5,0)))</f>
        <v/>
      </c>
      <c r="H12" t="inlineStr">
        <is>
          <t>fuel</t>
        </is>
      </c>
    </row>
    <row r="13">
      <c r="A13" s="5">
        <f>fillups!A13</f>
        <v/>
      </c>
      <c r="B13" s="5">
        <f>LEFT(fillups!C13,10)</f>
        <v/>
      </c>
      <c r="C13" t="inlineStr">
        <is>
          <t>fuel</t>
        </is>
      </c>
      <c r="D13" t="inlineStr">
        <is>
          <t>fillups</t>
        </is>
      </c>
      <c r="E13" s="21">
        <f>fillups!H13</f>
        <v/>
      </c>
      <c r="F13">
        <f>IF(B13="","",LEFT(B13,4))</f>
        <v/>
      </c>
      <c r="G13">
        <f>IF(A13="","",INDEX(vehicles!$I$2:$I$5,MATCH(A13,vehicles!$A$2:$A$5,0)))</f>
        <v/>
      </c>
      <c r="H13" t="inlineStr">
        <is>
          <t>fuel</t>
        </is>
      </c>
    </row>
    <row r="14">
      <c r="A14" s="5">
        <f>fillups!A14</f>
        <v/>
      </c>
      <c r="B14" s="5">
        <f>LEFT(fillups!C14,10)</f>
        <v/>
      </c>
      <c r="C14" t="inlineStr">
        <is>
          <t>fuel</t>
        </is>
      </c>
      <c r="D14" t="inlineStr">
        <is>
          <t>fillups</t>
        </is>
      </c>
      <c r="E14" s="21">
        <f>fillups!H14</f>
        <v/>
      </c>
      <c r="F14">
        <f>IF(B14="","",LEFT(B14,4))</f>
        <v/>
      </c>
      <c r="G14">
        <f>IF(A14="","",INDEX(vehicles!$I$2:$I$5,MATCH(A14,vehicles!$A$2:$A$5,0)))</f>
        <v/>
      </c>
      <c r="H14" t="inlineStr">
        <is>
          <t>fuel</t>
        </is>
      </c>
    </row>
    <row r="15">
      <c r="A15" s="5">
        <f>fillups!A15</f>
        <v/>
      </c>
      <c r="B15" s="5">
        <f>LEFT(fillups!C15,10)</f>
        <v/>
      </c>
      <c r="C15" t="inlineStr">
        <is>
          <t>fuel</t>
        </is>
      </c>
      <c r="D15" t="inlineStr">
        <is>
          <t>fillups</t>
        </is>
      </c>
      <c r="E15" s="21">
        <f>fillups!H15</f>
        <v/>
      </c>
      <c r="F15">
        <f>IF(B15="","",LEFT(B15,4))</f>
        <v/>
      </c>
      <c r="G15">
        <f>IF(A15="","",INDEX(vehicles!$I$2:$I$5,MATCH(A15,vehicles!$A$2:$A$5,0)))</f>
        <v/>
      </c>
      <c r="H15" t="inlineStr">
        <is>
          <t>fuel</t>
        </is>
      </c>
    </row>
    <row r="16">
      <c r="A16" s="5">
        <f>fillups!A16</f>
        <v/>
      </c>
      <c r="B16" s="5">
        <f>LEFT(fillups!C16,10)</f>
        <v/>
      </c>
      <c r="C16" t="inlineStr">
        <is>
          <t>fuel</t>
        </is>
      </c>
      <c r="D16" t="inlineStr">
        <is>
          <t>fillups</t>
        </is>
      </c>
      <c r="E16" s="21">
        <f>fillups!H16</f>
        <v/>
      </c>
      <c r="F16">
        <f>IF(B16="","",LEFT(B16,4))</f>
        <v/>
      </c>
      <c r="G16">
        <f>IF(A16="","",INDEX(vehicles!$I$2:$I$5,MATCH(A16,vehicles!$A$2:$A$5,0)))</f>
        <v/>
      </c>
      <c r="H16" t="inlineStr">
        <is>
          <t>fuel</t>
        </is>
      </c>
    </row>
    <row r="17">
      <c r="A17" s="5">
        <f>fillups!A17</f>
        <v/>
      </c>
      <c r="B17" s="5">
        <f>LEFT(fillups!C17,10)</f>
        <v/>
      </c>
      <c r="C17" t="inlineStr">
        <is>
          <t>fuel</t>
        </is>
      </c>
      <c r="D17" t="inlineStr">
        <is>
          <t>fillups</t>
        </is>
      </c>
      <c r="E17" s="21">
        <f>fillups!H17</f>
        <v/>
      </c>
      <c r="F17">
        <f>IF(B17="","",LEFT(B17,4))</f>
        <v/>
      </c>
      <c r="G17">
        <f>IF(A17="","",INDEX(vehicles!$I$2:$I$5,MATCH(A17,vehicles!$A$2:$A$5,0)))</f>
        <v/>
      </c>
      <c r="H17" t="inlineStr">
        <is>
          <t>fuel</t>
        </is>
      </c>
    </row>
    <row r="18">
      <c r="A18" s="5">
        <f>fillups!A18</f>
        <v/>
      </c>
      <c r="B18" s="5">
        <f>LEFT(fillups!C18,10)</f>
        <v/>
      </c>
      <c r="C18" t="inlineStr">
        <is>
          <t>fuel</t>
        </is>
      </c>
      <c r="D18" t="inlineStr">
        <is>
          <t>fillups</t>
        </is>
      </c>
      <c r="E18" s="21">
        <f>fillups!H18</f>
        <v/>
      </c>
      <c r="F18">
        <f>IF(B18="","",LEFT(B18,4))</f>
        <v/>
      </c>
      <c r="G18">
        <f>IF(A18="","",INDEX(vehicles!$I$2:$I$5,MATCH(A18,vehicles!$A$2:$A$5,0)))</f>
        <v/>
      </c>
      <c r="H18" t="inlineStr">
        <is>
          <t>fuel</t>
        </is>
      </c>
    </row>
    <row r="19">
      <c r="A19" s="5">
        <f>fillups!A19</f>
        <v/>
      </c>
      <c r="B19" s="5">
        <f>LEFT(fillups!C19,10)</f>
        <v/>
      </c>
      <c r="C19" t="inlineStr">
        <is>
          <t>fuel</t>
        </is>
      </c>
      <c r="D19" t="inlineStr">
        <is>
          <t>fillups</t>
        </is>
      </c>
      <c r="E19" s="21">
        <f>fillups!H19</f>
        <v/>
      </c>
      <c r="F19">
        <f>IF(B19="","",LEFT(B19,4))</f>
        <v/>
      </c>
      <c r="G19">
        <f>IF(A19="","",INDEX(vehicles!$I$2:$I$5,MATCH(A19,vehicles!$A$2:$A$5,0)))</f>
        <v/>
      </c>
      <c r="H19" t="inlineStr">
        <is>
          <t>fuel</t>
        </is>
      </c>
    </row>
    <row r="20">
      <c r="A20" s="5">
        <f>fillups!A20</f>
        <v/>
      </c>
      <c r="B20" s="5">
        <f>LEFT(fillups!C20,10)</f>
        <v/>
      </c>
      <c r="C20" t="inlineStr">
        <is>
          <t>fuel</t>
        </is>
      </c>
      <c r="D20" t="inlineStr">
        <is>
          <t>fillups</t>
        </is>
      </c>
      <c r="E20" s="21">
        <f>fillups!H20</f>
        <v/>
      </c>
      <c r="F20">
        <f>IF(B20="","",LEFT(B20,4))</f>
        <v/>
      </c>
      <c r="G20">
        <f>IF(A20="","",INDEX(vehicles!$I$2:$I$5,MATCH(A20,vehicles!$A$2:$A$5,0)))</f>
        <v/>
      </c>
      <c r="H20" t="inlineStr">
        <is>
          <t>fuel</t>
        </is>
      </c>
    </row>
    <row r="21">
      <c r="A21" s="5">
        <f>fillups!A21</f>
        <v/>
      </c>
      <c r="B21" s="5">
        <f>LEFT(fillups!C21,10)</f>
        <v/>
      </c>
      <c r="C21" t="inlineStr">
        <is>
          <t>fuel</t>
        </is>
      </c>
      <c r="D21" t="inlineStr">
        <is>
          <t>fillups</t>
        </is>
      </c>
      <c r="E21" s="21">
        <f>fillups!H21</f>
        <v/>
      </c>
      <c r="F21">
        <f>IF(B21="","",LEFT(B21,4))</f>
        <v/>
      </c>
      <c r="G21">
        <f>IF(A21="","",INDEX(vehicles!$I$2:$I$5,MATCH(A21,vehicles!$A$2:$A$5,0)))</f>
        <v/>
      </c>
      <c r="H21" t="inlineStr">
        <is>
          <t>fuel</t>
        </is>
      </c>
    </row>
    <row r="22">
      <c r="A22" s="5">
        <f>fillups!A22</f>
        <v/>
      </c>
      <c r="B22" s="5">
        <f>LEFT(fillups!C22,10)</f>
        <v/>
      </c>
      <c r="C22" t="inlineStr">
        <is>
          <t>fuel</t>
        </is>
      </c>
      <c r="D22" t="inlineStr">
        <is>
          <t>fillups</t>
        </is>
      </c>
      <c r="E22" s="21">
        <f>fillups!H22</f>
        <v/>
      </c>
      <c r="F22">
        <f>IF(B22="","",LEFT(B22,4))</f>
        <v/>
      </c>
      <c r="G22">
        <f>IF(A22="","",INDEX(vehicles!$I$2:$I$5,MATCH(A22,vehicles!$A$2:$A$5,0)))</f>
        <v/>
      </c>
      <c r="H22" t="inlineStr">
        <is>
          <t>fuel</t>
        </is>
      </c>
    </row>
    <row r="23">
      <c r="A23" s="5">
        <f>fillups!A23</f>
        <v/>
      </c>
      <c r="B23" s="5">
        <f>LEFT(fillups!C23,10)</f>
        <v/>
      </c>
      <c r="C23" t="inlineStr">
        <is>
          <t>fuel</t>
        </is>
      </c>
      <c r="D23" t="inlineStr">
        <is>
          <t>fillups</t>
        </is>
      </c>
      <c r="E23" s="21">
        <f>fillups!H23</f>
        <v/>
      </c>
      <c r="F23">
        <f>IF(B23="","",LEFT(B23,4))</f>
        <v/>
      </c>
      <c r="G23">
        <f>IF(A23="","",INDEX(vehicles!$I$2:$I$5,MATCH(A23,vehicles!$A$2:$A$5,0)))</f>
        <v/>
      </c>
      <c r="H23" t="inlineStr">
        <is>
          <t>fuel</t>
        </is>
      </c>
    </row>
    <row r="24">
      <c r="A24" s="5">
        <f>fillups!A24</f>
        <v/>
      </c>
      <c r="B24" s="5">
        <f>LEFT(fillups!C24,10)</f>
        <v/>
      </c>
      <c r="C24" t="inlineStr">
        <is>
          <t>fuel</t>
        </is>
      </c>
      <c r="D24" t="inlineStr">
        <is>
          <t>fillups</t>
        </is>
      </c>
      <c r="E24" s="21">
        <f>fillups!H24</f>
        <v/>
      </c>
      <c r="F24">
        <f>IF(B24="","",LEFT(B24,4))</f>
        <v/>
      </c>
      <c r="G24">
        <f>IF(A24="","",INDEX(vehicles!$I$2:$I$5,MATCH(A24,vehicles!$A$2:$A$5,0)))</f>
        <v/>
      </c>
      <c r="H24" t="inlineStr">
        <is>
          <t>fuel</t>
        </is>
      </c>
    </row>
    <row r="25">
      <c r="A25" s="5">
        <f>fillups!A25</f>
        <v/>
      </c>
      <c r="B25" s="5">
        <f>LEFT(fillups!C25,10)</f>
        <v/>
      </c>
      <c r="C25" t="inlineStr">
        <is>
          <t>fuel</t>
        </is>
      </c>
      <c r="D25" t="inlineStr">
        <is>
          <t>fillups</t>
        </is>
      </c>
      <c r="E25" s="21">
        <f>fillups!H25</f>
        <v/>
      </c>
      <c r="F25">
        <f>IF(B25="","",LEFT(B25,4))</f>
        <v/>
      </c>
      <c r="G25">
        <f>IF(A25="","",INDEX(vehicles!$I$2:$I$5,MATCH(A25,vehicles!$A$2:$A$5,0)))</f>
        <v/>
      </c>
      <c r="H25" t="inlineStr">
        <is>
          <t>fuel</t>
        </is>
      </c>
    </row>
    <row r="26">
      <c r="A26" s="5">
        <f>fillups!A26</f>
        <v/>
      </c>
      <c r="B26" s="5">
        <f>LEFT(fillups!C26,10)</f>
        <v/>
      </c>
      <c r="C26" t="inlineStr">
        <is>
          <t>fuel</t>
        </is>
      </c>
      <c r="D26" t="inlineStr">
        <is>
          <t>fillups</t>
        </is>
      </c>
      <c r="E26" s="21">
        <f>fillups!H26</f>
        <v/>
      </c>
      <c r="F26">
        <f>IF(B26="","",LEFT(B26,4))</f>
        <v/>
      </c>
      <c r="G26">
        <f>IF(A26="","",INDEX(vehicles!$I$2:$I$5,MATCH(A26,vehicles!$A$2:$A$5,0)))</f>
        <v/>
      </c>
      <c r="H26" t="inlineStr">
        <is>
          <t>fuel</t>
        </is>
      </c>
    </row>
    <row r="27">
      <c r="A27" s="5">
        <f>fillups!A27</f>
        <v/>
      </c>
      <c r="B27" s="5">
        <f>LEFT(fillups!C27,10)</f>
        <v/>
      </c>
      <c r="C27" t="inlineStr">
        <is>
          <t>fuel</t>
        </is>
      </c>
      <c r="D27" t="inlineStr">
        <is>
          <t>fillups</t>
        </is>
      </c>
      <c r="E27" s="21">
        <f>fillups!H27</f>
        <v/>
      </c>
      <c r="F27">
        <f>IF(B27="","",LEFT(B27,4))</f>
        <v/>
      </c>
      <c r="G27">
        <f>IF(A27="","",INDEX(vehicles!$I$2:$I$5,MATCH(A27,vehicles!$A$2:$A$5,0)))</f>
        <v/>
      </c>
      <c r="H27" t="inlineStr">
        <is>
          <t>fuel</t>
        </is>
      </c>
    </row>
    <row r="28">
      <c r="A28" s="5">
        <f>fillups!A28</f>
        <v/>
      </c>
      <c r="B28" s="5">
        <f>LEFT(fillups!C28,10)</f>
        <v/>
      </c>
      <c r="C28" t="inlineStr">
        <is>
          <t>fuel</t>
        </is>
      </c>
      <c r="D28" t="inlineStr">
        <is>
          <t>fillups</t>
        </is>
      </c>
      <c r="E28" s="21">
        <f>fillups!H28</f>
        <v/>
      </c>
      <c r="F28">
        <f>IF(B28="","",LEFT(B28,4))</f>
        <v/>
      </c>
      <c r="G28">
        <f>IF(A28="","",INDEX(vehicles!$I$2:$I$5,MATCH(A28,vehicles!$A$2:$A$5,0)))</f>
        <v/>
      </c>
      <c r="H28" t="inlineStr">
        <is>
          <t>fuel</t>
        </is>
      </c>
    </row>
    <row r="29">
      <c r="A29" s="5">
        <f>fillups!A29</f>
        <v/>
      </c>
      <c r="B29" s="5">
        <f>LEFT(fillups!C29,10)</f>
        <v/>
      </c>
      <c r="C29" t="inlineStr">
        <is>
          <t>fuel</t>
        </is>
      </c>
      <c r="D29" t="inlineStr">
        <is>
          <t>fillups</t>
        </is>
      </c>
      <c r="E29" s="21">
        <f>fillups!H29</f>
        <v/>
      </c>
      <c r="F29">
        <f>IF(B29="","",LEFT(B29,4))</f>
        <v/>
      </c>
      <c r="G29">
        <f>IF(A29="","",INDEX(vehicles!$I$2:$I$5,MATCH(A29,vehicles!$A$2:$A$5,0)))</f>
        <v/>
      </c>
      <c r="H29" t="inlineStr">
        <is>
          <t>fuel</t>
        </is>
      </c>
    </row>
    <row r="30">
      <c r="A30" s="5">
        <f>fillups!A30</f>
        <v/>
      </c>
      <c r="B30" s="5">
        <f>LEFT(fillups!C30,10)</f>
        <v/>
      </c>
      <c r="C30" t="inlineStr">
        <is>
          <t>fuel</t>
        </is>
      </c>
      <c r="D30" t="inlineStr">
        <is>
          <t>fillups</t>
        </is>
      </c>
      <c r="E30" s="21">
        <f>fillups!H30</f>
        <v/>
      </c>
      <c r="F30">
        <f>IF(B30="","",LEFT(B30,4))</f>
        <v/>
      </c>
      <c r="G30">
        <f>IF(A30="","",INDEX(vehicles!$I$2:$I$5,MATCH(A30,vehicles!$A$2:$A$5,0)))</f>
        <v/>
      </c>
      <c r="H30" t="inlineStr">
        <is>
          <t>fuel</t>
        </is>
      </c>
    </row>
    <row r="31">
      <c r="A31" s="5">
        <f>fillups!A31</f>
        <v/>
      </c>
      <c r="B31" s="5">
        <f>LEFT(fillups!C31,10)</f>
        <v/>
      </c>
      <c r="C31" t="inlineStr">
        <is>
          <t>fuel</t>
        </is>
      </c>
      <c r="D31" t="inlineStr">
        <is>
          <t>fillups</t>
        </is>
      </c>
      <c r="E31" s="21">
        <f>fillups!H31</f>
        <v/>
      </c>
      <c r="F31">
        <f>IF(B31="","",LEFT(B31,4))</f>
        <v/>
      </c>
      <c r="G31">
        <f>IF(A31="","",INDEX(vehicles!$I$2:$I$5,MATCH(A31,vehicles!$A$2:$A$5,0)))</f>
        <v/>
      </c>
      <c r="H31" t="inlineStr">
        <is>
          <t>fuel</t>
        </is>
      </c>
    </row>
    <row r="32">
      <c r="A32" s="5">
        <f>fillups!A32</f>
        <v/>
      </c>
      <c r="B32" s="5">
        <f>LEFT(fillups!C32,10)</f>
        <v/>
      </c>
      <c r="C32" t="inlineStr">
        <is>
          <t>fuel</t>
        </is>
      </c>
      <c r="D32" t="inlineStr">
        <is>
          <t>fillups</t>
        </is>
      </c>
      <c r="E32" s="21">
        <f>fillups!H32</f>
        <v/>
      </c>
      <c r="F32">
        <f>IF(B32="","",LEFT(B32,4))</f>
        <v/>
      </c>
      <c r="G32">
        <f>IF(A32="","",INDEX(vehicles!$I$2:$I$5,MATCH(A32,vehicles!$A$2:$A$5,0)))</f>
        <v/>
      </c>
      <c r="H32" t="inlineStr">
        <is>
          <t>fuel</t>
        </is>
      </c>
    </row>
    <row r="33">
      <c r="A33" s="5">
        <f>fillups!A33</f>
        <v/>
      </c>
      <c r="B33" s="5">
        <f>LEFT(fillups!C33,10)</f>
        <v/>
      </c>
      <c r="C33" t="inlineStr">
        <is>
          <t>fuel</t>
        </is>
      </c>
      <c r="D33" t="inlineStr">
        <is>
          <t>fillups</t>
        </is>
      </c>
      <c r="E33" s="21">
        <f>fillups!H33</f>
        <v/>
      </c>
      <c r="F33">
        <f>IF(B33="","",LEFT(B33,4))</f>
        <v/>
      </c>
      <c r="G33">
        <f>IF(A33="","",INDEX(vehicles!$I$2:$I$5,MATCH(A33,vehicles!$A$2:$A$5,0)))</f>
        <v/>
      </c>
      <c r="H33" t="inlineStr">
        <is>
          <t>fuel</t>
        </is>
      </c>
    </row>
    <row r="34">
      <c r="A34" s="5">
        <f>fillups!A34</f>
        <v/>
      </c>
      <c r="B34" s="5">
        <f>LEFT(fillups!C34,10)</f>
        <v/>
      </c>
      <c r="C34" t="inlineStr">
        <is>
          <t>fuel</t>
        </is>
      </c>
      <c r="D34" t="inlineStr">
        <is>
          <t>fillups</t>
        </is>
      </c>
      <c r="E34" s="21">
        <f>fillups!H34</f>
        <v/>
      </c>
      <c r="F34">
        <f>IF(B34="","",LEFT(B34,4))</f>
        <v/>
      </c>
      <c r="G34">
        <f>IF(A34="","",INDEX(vehicles!$I$2:$I$5,MATCH(A34,vehicles!$A$2:$A$5,0)))</f>
        <v/>
      </c>
      <c r="H34" t="inlineStr">
        <is>
          <t>fuel</t>
        </is>
      </c>
    </row>
    <row r="35">
      <c r="A35" s="5">
        <f>fillups!A35</f>
        <v/>
      </c>
      <c r="B35" s="5">
        <f>LEFT(fillups!C35,10)</f>
        <v/>
      </c>
      <c r="C35" t="inlineStr">
        <is>
          <t>fuel</t>
        </is>
      </c>
      <c r="D35" t="inlineStr">
        <is>
          <t>fillups</t>
        </is>
      </c>
      <c r="E35" s="21">
        <f>fillups!H35</f>
        <v/>
      </c>
      <c r="F35">
        <f>IF(B35="","",LEFT(B35,4))</f>
        <v/>
      </c>
      <c r="G35">
        <f>IF(A35="","",INDEX(vehicles!$I$2:$I$5,MATCH(A35,vehicles!$A$2:$A$5,0)))</f>
        <v/>
      </c>
      <c r="H35" t="inlineStr">
        <is>
          <t>fuel</t>
        </is>
      </c>
    </row>
    <row r="36">
      <c r="A36" s="5">
        <f>fillups!A36</f>
        <v/>
      </c>
      <c r="B36" s="5">
        <f>LEFT(fillups!C36,10)</f>
        <v/>
      </c>
      <c r="C36" t="inlineStr">
        <is>
          <t>fuel</t>
        </is>
      </c>
      <c r="D36" t="inlineStr">
        <is>
          <t>fillups</t>
        </is>
      </c>
      <c r="E36" s="21">
        <f>fillups!H36</f>
        <v/>
      </c>
      <c r="F36">
        <f>IF(B36="","",LEFT(B36,4))</f>
        <v/>
      </c>
      <c r="G36">
        <f>IF(A36="","",INDEX(vehicles!$I$2:$I$5,MATCH(A36,vehicles!$A$2:$A$5,0)))</f>
        <v/>
      </c>
      <c r="H36" t="inlineStr">
        <is>
          <t>fuel</t>
        </is>
      </c>
    </row>
    <row r="37">
      <c r="A37" s="5">
        <f>fillups!A37</f>
        <v/>
      </c>
      <c r="B37" s="5">
        <f>LEFT(fillups!C37,10)</f>
        <v/>
      </c>
      <c r="C37" t="inlineStr">
        <is>
          <t>fuel</t>
        </is>
      </c>
      <c r="D37" t="inlineStr">
        <is>
          <t>fillups</t>
        </is>
      </c>
      <c r="E37" s="21">
        <f>fillups!H37</f>
        <v/>
      </c>
      <c r="F37">
        <f>IF(B37="","",LEFT(B37,4))</f>
        <v/>
      </c>
      <c r="G37">
        <f>IF(A37="","",INDEX(vehicles!$I$2:$I$5,MATCH(A37,vehicles!$A$2:$A$5,0)))</f>
        <v/>
      </c>
      <c r="H37" t="inlineStr">
        <is>
          <t>fuel</t>
        </is>
      </c>
    </row>
    <row r="38">
      <c r="A38" s="5">
        <f>fillups!A38</f>
        <v/>
      </c>
      <c r="B38" s="5">
        <f>LEFT(fillups!C38,10)</f>
        <v/>
      </c>
      <c r="C38" t="inlineStr">
        <is>
          <t>fuel</t>
        </is>
      </c>
      <c r="D38" t="inlineStr">
        <is>
          <t>fillups</t>
        </is>
      </c>
      <c r="E38" s="21">
        <f>fillups!H38</f>
        <v/>
      </c>
      <c r="F38">
        <f>IF(B38="","",LEFT(B38,4))</f>
        <v/>
      </c>
      <c r="G38">
        <f>IF(A38="","",INDEX(vehicles!$I$2:$I$5,MATCH(A38,vehicles!$A$2:$A$5,0)))</f>
        <v/>
      </c>
      <c r="H38" t="inlineStr">
        <is>
          <t>fuel</t>
        </is>
      </c>
    </row>
    <row r="39">
      <c r="A39" s="5">
        <f>fillups!A39</f>
        <v/>
      </c>
      <c r="B39" s="5">
        <f>LEFT(fillups!C39,10)</f>
        <v/>
      </c>
      <c r="C39" t="inlineStr">
        <is>
          <t>fuel</t>
        </is>
      </c>
      <c r="D39" t="inlineStr">
        <is>
          <t>fillups</t>
        </is>
      </c>
      <c r="E39" s="21">
        <f>fillups!H39</f>
        <v/>
      </c>
      <c r="F39">
        <f>IF(B39="","",LEFT(B39,4))</f>
        <v/>
      </c>
      <c r="G39">
        <f>IF(A39="","",INDEX(vehicles!$I$2:$I$5,MATCH(A39,vehicles!$A$2:$A$5,0)))</f>
        <v/>
      </c>
      <c r="H39" t="inlineStr">
        <is>
          <t>fuel</t>
        </is>
      </c>
    </row>
    <row r="40">
      <c r="A40" s="5">
        <f>fillups!A40</f>
        <v/>
      </c>
      <c r="B40" s="5">
        <f>LEFT(fillups!C40,10)</f>
        <v/>
      </c>
      <c r="C40" t="inlineStr">
        <is>
          <t>fuel</t>
        </is>
      </c>
      <c r="D40" t="inlineStr">
        <is>
          <t>fillups</t>
        </is>
      </c>
      <c r="E40" s="21">
        <f>fillups!H40</f>
        <v/>
      </c>
      <c r="F40">
        <f>IF(B40="","",LEFT(B40,4))</f>
        <v/>
      </c>
      <c r="G40">
        <f>IF(A40="","",INDEX(vehicles!$I$2:$I$5,MATCH(A40,vehicles!$A$2:$A$5,0)))</f>
        <v/>
      </c>
      <c r="H40" t="inlineStr">
        <is>
          <t>fuel</t>
        </is>
      </c>
    </row>
    <row r="41">
      <c r="A41" s="5">
        <f>fillups!A41</f>
        <v/>
      </c>
      <c r="B41" s="5">
        <f>LEFT(fillups!C41,10)</f>
        <v/>
      </c>
      <c r="C41" t="inlineStr">
        <is>
          <t>fuel</t>
        </is>
      </c>
      <c r="D41" t="inlineStr">
        <is>
          <t>fillups</t>
        </is>
      </c>
      <c r="E41" s="21">
        <f>fillups!H41</f>
        <v/>
      </c>
      <c r="F41">
        <f>IF(B41="","",LEFT(B41,4))</f>
        <v/>
      </c>
      <c r="G41">
        <f>IF(A41="","",INDEX(vehicles!$I$2:$I$5,MATCH(A41,vehicles!$A$2:$A$5,0)))</f>
        <v/>
      </c>
      <c r="H41" t="inlineStr">
        <is>
          <t>fuel</t>
        </is>
      </c>
    </row>
    <row r="42">
      <c r="A42" s="5">
        <f>fillups!A42</f>
        <v/>
      </c>
      <c r="B42" s="5">
        <f>LEFT(fillups!C42,10)</f>
        <v/>
      </c>
      <c r="C42" t="inlineStr">
        <is>
          <t>fuel</t>
        </is>
      </c>
      <c r="D42" t="inlineStr">
        <is>
          <t>fillups</t>
        </is>
      </c>
      <c r="E42" s="21">
        <f>fillups!H42</f>
        <v/>
      </c>
      <c r="F42">
        <f>IF(B42="","",LEFT(B42,4))</f>
        <v/>
      </c>
      <c r="G42">
        <f>IF(A42="","",INDEX(vehicles!$I$2:$I$5,MATCH(A42,vehicles!$A$2:$A$5,0)))</f>
        <v/>
      </c>
      <c r="H42" t="inlineStr">
        <is>
          <t>fuel</t>
        </is>
      </c>
    </row>
    <row r="43">
      <c r="A43" s="5">
        <f>fillups!A43</f>
        <v/>
      </c>
      <c r="B43" s="5">
        <f>LEFT(fillups!C43,10)</f>
        <v/>
      </c>
      <c r="C43" t="inlineStr">
        <is>
          <t>fuel</t>
        </is>
      </c>
      <c r="D43" t="inlineStr">
        <is>
          <t>fillups</t>
        </is>
      </c>
      <c r="E43" s="21">
        <f>fillups!H43</f>
        <v/>
      </c>
      <c r="F43">
        <f>IF(B43="","",LEFT(B43,4))</f>
        <v/>
      </c>
      <c r="G43">
        <f>IF(A43="","",INDEX(vehicles!$I$2:$I$5,MATCH(A43,vehicles!$A$2:$A$5,0)))</f>
        <v/>
      </c>
      <c r="H43" t="inlineStr">
        <is>
          <t>fuel</t>
        </is>
      </c>
    </row>
    <row r="44">
      <c r="A44" s="5">
        <f>fillups!A44</f>
        <v/>
      </c>
      <c r="B44" s="5">
        <f>LEFT(fillups!C44,10)</f>
        <v/>
      </c>
      <c r="C44" t="inlineStr">
        <is>
          <t>fuel</t>
        </is>
      </c>
      <c r="D44" t="inlineStr">
        <is>
          <t>fillups</t>
        </is>
      </c>
      <c r="E44" s="21">
        <f>fillups!H44</f>
        <v/>
      </c>
      <c r="F44">
        <f>IF(B44="","",LEFT(B44,4))</f>
        <v/>
      </c>
      <c r="G44">
        <f>IF(A44="","",INDEX(vehicles!$I$2:$I$5,MATCH(A44,vehicles!$A$2:$A$5,0)))</f>
        <v/>
      </c>
      <c r="H44" t="inlineStr">
        <is>
          <t>fuel</t>
        </is>
      </c>
    </row>
    <row r="45">
      <c r="A45" s="5">
        <f>fillups!A45</f>
        <v/>
      </c>
      <c r="B45" s="5">
        <f>LEFT(fillups!C45,10)</f>
        <v/>
      </c>
      <c r="C45" t="inlineStr">
        <is>
          <t>fuel</t>
        </is>
      </c>
      <c r="D45" t="inlineStr">
        <is>
          <t>fillups</t>
        </is>
      </c>
      <c r="E45" s="21">
        <f>fillups!H45</f>
        <v/>
      </c>
      <c r="F45">
        <f>IF(B45="","",LEFT(B45,4))</f>
        <v/>
      </c>
      <c r="G45">
        <f>IF(A45="","",INDEX(vehicles!$I$2:$I$5,MATCH(A45,vehicles!$A$2:$A$5,0)))</f>
        <v/>
      </c>
      <c r="H45" t="inlineStr">
        <is>
          <t>fuel</t>
        </is>
      </c>
    </row>
    <row r="46">
      <c r="A46" s="5">
        <f>fillups!A46</f>
        <v/>
      </c>
      <c r="B46" s="5">
        <f>LEFT(fillups!C46,10)</f>
        <v/>
      </c>
      <c r="C46" t="inlineStr">
        <is>
          <t>fuel</t>
        </is>
      </c>
      <c r="D46" t="inlineStr">
        <is>
          <t>fillups</t>
        </is>
      </c>
      <c r="E46" s="21">
        <f>fillups!H46</f>
        <v/>
      </c>
      <c r="F46">
        <f>IF(B46="","",LEFT(B46,4))</f>
        <v/>
      </c>
      <c r="G46">
        <f>IF(A46="","",INDEX(vehicles!$I$2:$I$5,MATCH(A46,vehicles!$A$2:$A$5,0)))</f>
        <v/>
      </c>
      <c r="H46" t="inlineStr">
        <is>
          <t>fuel</t>
        </is>
      </c>
    </row>
    <row r="47">
      <c r="A47" s="5">
        <f>fillups!A47</f>
        <v/>
      </c>
      <c r="B47" s="5">
        <f>LEFT(fillups!C47,10)</f>
        <v/>
      </c>
      <c r="C47" t="inlineStr">
        <is>
          <t>fuel</t>
        </is>
      </c>
      <c r="D47" t="inlineStr">
        <is>
          <t>fillups</t>
        </is>
      </c>
      <c r="E47" s="21">
        <f>fillups!H47</f>
        <v/>
      </c>
      <c r="F47">
        <f>IF(B47="","",LEFT(B47,4))</f>
        <v/>
      </c>
      <c r="G47">
        <f>IF(A47="","",INDEX(vehicles!$I$2:$I$5,MATCH(A47,vehicles!$A$2:$A$5,0)))</f>
        <v/>
      </c>
      <c r="H47" t="inlineStr">
        <is>
          <t>fuel</t>
        </is>
      </c>
    </row>
    <row r="48">
      <c r="A48" s="5">
        <f>fillups!A48</f>
        <v/>
      </c>
      <c r="B48" s="5">
        <f>LEFT(fillups!C48,10)</f>
        <v/>
      </c>
      <c r="C48" t="inlineStr">
        <is>
          <t>fuel</t>
        </is>
      </c>
      <c r="D48" t="inlineStr">
        <is>
          <t>fillups</t>
        </is>
      </c>
      <c r="E48" s="21">
        <f>fillups!H48</f>
        <v/>
      </c>
      <c r="F48">
        <f>IF(B48="","",LEFT(B48,4))</f>
        <v/>
      </c>
      <c r="G48">
        <f>IF(A48="","",INDEX(vehicles!$I$2:$I$5,MATCH(A48,vehicles!$A$2:$A$5,0)))</f>
        <v/>
      </c>
      <c r="H48" t="inlineStr">
        <is>
          <t>fuel</t>
        </is>
      </c>
    </row>
    <row r="49">
      <c r="A49" s="5">
        <f>fillups!A49</f>
        <v/>
      </c>
      <c r="B49" s="5">
        <f>LEFT(fillups!C49,10)</f>
        <v/>
      </c>
      <c r="C49" t="inlineStr">
        <is>
          <t>fuel</t>
        </is>
      </c>
      <c r="D49" t="inlineStr">
        <is>
          <t>fillups</t>
        </is>
      </c>
      <c r="E49" s="21">
        <f>fillups!H49</f>
        <v/>
      </c>
      <c r="F49">
        <f>IF(B49="","",LEFT(B49,4))</f>
        <v/>
      </c>
      <c r="G49">
        <f>IF(A49="","",INDEX(vehicles!$I$2:$I$5,MATCH(A49,vehicles!$A$2:$A$5,0)))</f>
        <v/>
      </c>
      <c r="H49" t="inlineStr">
        <is>
          <t>fuel</t>
        </is>
      </c>
    </row>
    <row r="50">
      <c r="A50" s="5">
        <f>fillups!A50</f>
        <v/>
      </c>
      <c r="B50" s="5">
        <f>LEFT(fillups!C50,10)</f>
        <v/>
      </c>
      <c r="C50" t="inlineStr">
        <is>
          <t>fuel</t>
        </is>
      </c>
      <c r="D50" t="inlineStr">
        <is>
          <t>fillups</t>
        </is>
      </c>
      <c r="E50" s="21">
        <f>fillups!H50</f>
        <v/>
      </c>
      <c r="F50">
        <f>IF(B50="","",LEFT(B50,4))</f>
        <v/>
      </c>
      <c r="G50">
        <f>IF(A50="","",INDEX(vehicles!$I$2:$I$5,MATCH(A50,vehicles!$A$2:$A$5,0)))</f>
        <v/>
      </c>
      <c r="H50" t="inlineStr">
        <is>
          <t>fuel</t>
        </is>
      </c>
    </row>
    <row r="51">
      <c r="A51" s="5">
        <f>fillups!A51</f>
        <v/>
      </c>
      <c r="B51" s="5">
        <f>LEFT(fillups!C51,10)</f>
        <v/>
      </c>
      <c r="C51" t="inlineStr">
        <is>
          <t>fuel</t>
        </is>
      </c>
      <c r="D51" t="inlineStr">
        <is>
          <t>fillups</t>
        </is>
      </c>
      <c r="E51" s="21">
        <f>fillups!H51</f>
        <v/>
      </c>
      <c r="F51">
        <f>IF(B51="","",LEFT(B51,4))</f>
        <v/>
      </c>
      <c r="G51">
        <f>IF(A51="","",INDEX(vehicles!$I$2:$I$5,MATCH(A51,vehicles!$A$2:$A$5,0)))</f>
        <v/>
      </c>
      <c r="H51" t="inlineStr">
        <is>
          <t>fuel</t>
        </is>
      </c>
    </row>
    <row r="52">
      <c r="A52" s="5">
        <f>fillups!A52</f>
        <v/>
      </c>
      <c r="B52" s="5">
        <f>LEFT(fillups!C52,10)</f>
        <v/>
      </c>
      <c r="C52" t="inlineStr">
        <is>
          <t>fuel</t>
        </is>
      </c>
      <c r="D52" t="inlineStr">
        <is>
          <t>fillups</t>
        </is>
      </c>
      <c r="E52" s="21">
        <f>fillups!H52</f>
        <v/>
      </c>
      <c r="F52">
        <f>IF(B52="","",LEFT(B52,4))</f>
        <v/>
      </c>
      <c r="G52">
        <f>IF(A52="","",INDEX(vehicles!$I$2:$I$5,MATCH(A52,vehicles!$A$2:$A$5,0)))</f>
        <v/>
      </c>
      <c r="H52" t="inlineStr">
        <is>
          <t>fuel</t>
        </is>
      </c>
    </row>
    <row r="53">
      <c r="A53" s="5">
        <f>fillups!A53</f>
        <v/>
      </c>
      <c r="B53" s="5">
        <f>LEFT(fillups!C53,10)</f>
        <v/>
      </c>
      <c r="C53" t="inlineStr">
        <is>
          <t>fuel</t>
        </is>
      </c>
      <c r="D53" t="inlineStr">
        <is>
          <t>fillups</t>
        </is>
      </c>
      <c r="E53" s="21">
        <f>fillups!H53</f>
        <v/>
      </c>
      <c r="F53">
        <f>IF(B53="","",LEFT(B53,4))</f>
        <v/>
      </c>
      <c r="G53">
        <f>IF(A53="","",INDEX(vehicles!$I$2:$I$5,MATCH(A53,vehicles!$A$2:$A$5,0)))</f>
        <v/>
      </c>
      <c r="H53" t="inlineStr">
        <is>
          <t>fuel</t>
        </is>
      </c>
    </row>
    <row r="54">
      <c r="A54" s="5">
        <f>fillups!A54</f>
        <v/>
      </c>
      <c r="B54" s="5">
        <f>LEFT(fillups!C54,10)</f>
        <v/>
      </c>
      <c r="C54" t="inlineStr">
        <is>
          <t>fuel</t>
        </is>
      </c>
      <c r="D54" t="inlineStr">
        <is>
          <t>fillups</t>
        </is>
      </c>
      <c r="E54" s="21">
        <f>fillups!H54</f>
        <v/>
      </c>
      <c r="F54">
        <f>IF(B54="","",LEFT(B54,4))</f>
        <v/>
      </c>
      <c r="G54">
        <f>IF(A54="","",INDEX(vehicles!$I$2:$I$5,MATCH(A54,vehicles!$A$2:$A$5,0)))</f>
        <v/>
      </c>
      <c r="H54" t="inlineStr">
        <is>
          <t>fuel</t>
        </is>
      </c>
    </row>
    <row r="55">
      <c r="A55" s="5">
        <f>fillups!A55</f>
        <v/>
      </c>
      <c r="B55" s="5">
        <f>LEFT(fillups!C55,10)</f>
        <v/>
      </c>
      <c r="C55" t="inlineStr">
        <is>
          <t>fuel</t>
        </is>
      </c>
      <c r="D55" t="inlineStr">
        <is>
          <t>fillups</t>
        </is>
      </c>
      <c r="E55" s="21">
        <f>fillups!H55</f>
        <v/>
      </c>
      <c r="F55">
        <f>IF(B55="","",LEFT(B55,4))</f>
        <v/>
      </c>
      <c r="G55">
        <f>IF(A55="","",INDEX(vehicles!$I$2:$I$5,MATCH(A55,vehicles!$A$2:$A$5,0)))</f>
        <v/>
      </c>
      <c r="H55" t="inlineStr">
        <is>
          <t>fuel</t>
        </is>
      </c>
    </row>
    <row r="56">
      <c r="A56" s="5">
        <f>fillups!A56</f>
        <v/>
      </c>
      <c r="B56" s="5">
        <f>LEFT(fillups!C56,10)</f>
        <v/>
      </c>
      <c r="C56" t="inlineStr">
        <is>
          <t>fuel</t>
        </is>
      </c>
      <c r="D56" t="inlineStr">
        <is>
          <t>fillups</t>
        </is>
      </c>
      <c r="E56" s="21">
        <f>fillups!H56</f>
        <v/>
      </c>
      <c r="F56">
        <f>IF(B56="","",LEFT(B56,4))</f>
        <v/>
      </c>
      <c r="G56">
        <f>IF(A56="","",INDEX(vehicles!$I$2:$I$5,MATCH(A56,vehicles!$A$2:$A$5,0)))</f>
        <v/>
      </c>
      <c r="H56" t="inlineStr">
        <is>
          <t>fuel</t>
        </is>
      </c>
    </row>
    <row r="57">
      <c r="A57" s="5">
        <f>fillups!A57</f>
        <v/>
      </c>
      <c r="B57" s="5">
        <f>LEFT(fillups!C57,10)</f>
        <v/>
      </c>
      <c r="C57" t="inlineStr">
        <is>
          <t>fuel</t>
        </is>
      </c>
      <c r="D57" t="inlineStr">
        <is>
          <t>fillups</t>
        </is>
      </c>
      <c r="E57" s="21">
        <f>fillups!H57</f>
        <v/>
      </c>
      <c r="F57">
        <f>IF(B57="","",LEFT(B57,4))</f>
        <v/>
      </c>
      <c r="G57">
        <f>IF(A57="","",INDEX(vehicles!$I$2:$I$5,MATCH(A57,vehicles!$A$2:$A$5,0)))</f>
        <v/>
      </c>
      <c r="H57" t="inlineStr">
        <is>
          <t>fuel</t>
        </is>
      </c>
    </row>
    <row r="58">
      <c r="A58" s="5">
        <f>fillups!A58</f>
        <v/>
      </c>
      <c r="B58" s="5">
        <f>LEFT(fillups!C58,10)</f>
        <v/>
      </c>
      <c r="C58" t="inlineStr">
        <is>
          <t>fuel</t>
        </is>
      </c>
      <c r="D58" t="inlineStr">
        <is>
          <t>fillups</t>
        </is>
      </c>
      <c r="E58" s="21">
        <f>fillups!H58</f>
        <v/>
      </c>
      <c r="F58">
        <f>IF(B58="","",LEFT(B58,4))</f>
        <v/>
      </c>
      <c r="G58">
        <f>IF(A58="","",INDEX(vehicles!$I$2:$I$5,MATCH(A58,vehicles!$A$2:$A$5,0)))</f>
        <v/>
      </c>
      <c r="H58" t="inlineStr">
        <is>
          <t>fuel</t>
        </is>
      </c>
    </row>
    <row r="59">
      <c r="A59" s="5">
        <f>fillups!A59</f>
        <v/>
      </c>
      <c r="B59" s="5">
        <f>LEFT(fillups!C59,10)</f>
        <v/>
      </c>
      <c r="C59" t="inlineStr">
        <is>
          <t>fuel</t>
        </is>
      </c>
      <c r="D59" t="inlineStr">
        <is>
          <t>fillups</t>
        </is>
      </c>
      <c r="E59" s="21">
        <f>fillups!H59</f>
        <v/>
      </c>
      <c r="F59">
        <f>IF(B59="","",LEFT(B59,4))</f>
        <v/>
      </c>
      <c r="G59">
        <f>IF(A59="","",INDEX(vehicles!$I$2:$I$5,MATCH(A59,vehicles!$A$2:$A$5,0)))</f>
        <v/>
      </c>
      <c r="H59" t="inlineStr">
        <is>
          <t>fuel</t>
        </is>
      </c>
    </row>
    <row r="60">
      <c r="A60" s="5">
        <f>fillups!A60</f>
        <v/>
      </c>
      <c r="B60" s="5">
        <f>LEFT(fillups!C60,10)</f>
        <v/>
      </c>
      <c r="C60" t="inlineStr">
        <is>
          <t>fuel</t>
        </is>
      </c>
      <c r="D60" t="inlineStr">
        <is>
          <t>fillups</t>
        </is>
      </c>
      <c r="E60" s="21">
        <f>fillups!H60</f>
        <v/>
      </c>
      <c r="F60">
        <f>IF(B60="","",LEFT(B60,4))</f>
        <v/>
      </c>
      <c r="G60">
        <f>IF(A60="","",INDEX(vehicles!$I$2:$I$5,MATCH(A60,vehicles!$A$2:$A$5,0)))</f>
        <v/>
      </c>
      <c r="H60" t="inlineStr">
        <is>
          <t>fuel</t>
        </is>
      </c>
    </row>
    <row r="61">
      <c r="A61" s="5">
        <f>fillups!A61</f>
        <v/>
      </c>
      <c r="B61" s="5">
        <f>LEFT(fillups!C61,10)</f>
        <v/>
      </c>
      <c r="C61" t="inlineStr">
        <is>
          <t>fuel</t>
        </is>
      </c>
      <c r="D61" t="inlineStr">
        <is>
          <t>fillups</t>
        </is>
      </c>
      <c r="E61" s="21">
        <f>fillups!H61</f>
        <v/>
      </c>
      <c r="F61">
        <f>IF(B61="","",LEFT(B61,4))</f>
        <v/>
      </c>
      <c r="G61">
        <f>IF(A61="","",INDEX(vehicles!$I$2:$I$5,MATCH(A61,vehicles!$A$2:$A$5,0)))</f>
        <v/>
      </c>
      <c r="H61" t="inlineStr">
        <is>
          <t>fuel</t>
        </is>
      </c>
    </row>
    <row r="62">
      <c r="A62" s="5">
        <f>fillups!A62</f>
        <v/>
      </c>
      <c r="B62" s="5">
        <f>LEFT(fillups!C62,10)</f>
        <v/>
      </c>
      <c r="C62" t="inlineStr">
        <is>
          <t>fuel</t>
        </is>
      </c>
      <c r="D62" t="inlineStr">
        <is>
          <t>fillups</t>
        </is>
      </c>
      <c r="E62" s="21">
        <f>fillups!H62</f>
        <v/>
      </c>
      <c r="F62">
        <f>IF(B62="","",LEFT(B62,4))</f>
        <v/>
      </c>
      <c r="G62">
        <f>IF(A62="","",INDEX(vehicles!$I$2:$I$5,MATCH(A62,vehicles!$A$2:$A$5,0)))</f>
        <v/>
      </c>
      <c r="H62" t="inlineStr">
        <is>
          <t>fuel</t>
        </is>
      </c>
    </row>
    <row r="63">
      <c r="A63" s="5">
        <f>fillups!A63</f>
        <v/>
      </c>
      <c r="B63" s="5">
        <f>LEFT(fillups!C63,10)</f>
        <v/>
      </c>
      <c r="C63" t="inlineStr">
        <is>
          <t>fuel</t>
        </is>
      </c>
      <c r="D63" t="inlineStr">
        <is>
          <t>fillups</t>
        </is>
      </c>
      <c r="E63" s="21">
        <f>fillups!H63</f>
        <v/>
      </c>
      <c r="F63">
        <f>IF(B63="","",LEFT(B63,4))</f>
        <v/>
      </c>
      <c r="G63">
        <f>IF(A63="","",INDEX(vehicles!$I$2:$I$5,MATCH(A63,vehicles!$A$2:$A$5,0)))</f>
        <v/>
      </c>
      <c r="H63" t="inlineStr">
        <is>
          <t>fuel</t>
        </is>
      </c>
    </row>
    <row r="64">
      <c r="A64" s="5">
        <f>fillups!A64</f>
        <v/>
      </c>
      <c r="B64" s="5">
        <f>LEFT(fillups!C64,10)</f>
        <v/>
      </c>
      <c r="C64" t="inlineStr">
        <is>
          <t>fuel</t>
        </is>
      </c>
      <c r="D64" t="inlineStr">
        <is>
          <t>fillups</t>
        </is>
      </c>
      <c r="E64" s="21">
        <f>fillups!H64</f>
        <v/>
      </c>
      <c r="F64">
        <f>IF(B64="","",LEFT(B64,4))</f>
        <v/>
      </c>
      <c r="G64">
        <f>IF(A64="","",INDEX(vehicles!$I$2:$I$5,MATCH(A64,vehicles!$A$2:$A$5,0)))</f>
        <v/>
      </c>
      <c r="H64" t="inlineStr">
        <is>
          <t>fuel</t>
        </is>
      </c>
    </row>
    <row r="65">
      <c r="A65" s="5">
        <f>fillups!A65</f>
        <v/>
      </c>
      <c r="B65" s="5">
        <f>LEFT(fillups!C65,10)</f>
        <v/>
      </c>
      <c r="C65" t="inlineStr">
        <is>
          <t>fuel</t>
        </is>
      </c>
      <c r="D65" t="inlineStr">
        <is>
          <t>fillups</t>
        </is>
      </c>
      <c r="E65" s="21">
        <f>fillups!H65</f>
        <v/>
      </c>
      <c r="F65">
        <f>IF(B65="","",LEFT(B65,4))</f>
        <v/>
      </c>
      <c r="G65">
        <f>IF(A65="","",INDEX(vehicles!$I$2:$I$5,MATCH(A65,vehicles!$A$2:$A$5,0)))</f>
        <v/>
      </c>
      <c r="H65" t="inlineStr">
        <is>
          <t>fuel</t>
        </is>
      </c>
    </row>
    <row r="66">
      <c r="A66" s="5">
        <f>fillups!A66</f>
        <v/>
      </c>
      <c r="B66" s="5">
        <f>LEFT(fillups!C66,10)</f>
        <v/>
      </c>
      <c r="C66" t="inlineStr">
        <is>
          <t>fuel</t>
        </is>
      </c>
      <c r="D66" t="inlineStr">
        <is>
          <t>fillups</t>
        </is>
      </c>
      <c r="E66" s="21">
        <f>fillups!H66</f>
        <v/>
      </c>
      <c r="F66">
        <f>IF(B66="","",LEFT(B66,4))</f>
        <v/>
      </c>
      <c r="G66">
        <f>IF(A66="","",INDEX(vehicles!$I$2:$I$5,MATCH(A66,vehicles!$A$2:$A$5,0)))</f>
        <v/>
      </c>
      <c r="H66" t="inlineStr">
        <is>
          <t>fuel</t>
        </is>
      </c>
    </row>
    <row r="67">
      <c r="A67" s="5">
        <f>fillups!A67</f>
        <v/>
      </c>
      <c r="B67" s="5">
        <f>LEFT(fillups!C67,10)</f>
        <v/>
      </c>
      <c r="C67" t="inlineStr">
        <is>
          <t>fuel</t>
        </is>
      </c>
      <c r="D67" t="inlineStr">
        <is>
          <t>fillups</t>
        </is>
      </c>
      <c r="E67" s="21">
        <f>fillups!H67</f>
        <v/>
      </c>
      <c r="F67">
        <f>IF(B67="","",LEFT(B67,4))</f>
        <v/>
      </c>
      <c r="G67">
        <f>IF(A67="","",INDEX(vehicles!$I$2:$I$5,MATCH(A67,vehicles!$A$2:$A$5,0)))</f>
        <v/>
      </c>
      <c r="H67" t="inlineStr">
        <is>
          <t>fuel</t>
        </is>
      </c>
    </row>
    <row r="68">
      <c r="A68" s="5">
        <f>fillups!A68</f>
        <v/>
      </c>
      <c r="B68" s="5">
        <f>LEFT(fillups!C68,10)</f>
        <v/>
      </c>
      <c r="C68" t="inlineStr">
        <is>
          <t>fuel</t>
        </is>
      </c>
      <c r="D68" t="inlineStr">
        <is>
          <t>fillups</t>
        </is>
      </c>
      <c r="E68" s="21">
        <f>fillups!H68</f>
        <v/>
      </c>
      <c r="F68">
        <f>IF(B68="","",LEFT(B68,4))</f>
        <v/>
      </c>
      <c r="G68">
        <f>IF(A68="","",INDEX(vehicles!$I$2:$I$5,MATCH(A68,vehicles!$A$2:$A$5,0)))</f>
        <v/>
      </c>
      <c r="H68" t="inlineStr">
        <is>
          <t>fuel</t>
        </is>
      </c>
    </row>
    <row r="69">
      <c r="A69" s="5">
        <f>fillups!A69</f>
        <v/>
      </c>
      <c r="B69" s="5">
        <f>LEFT(fillups!C69,10)</f>
        <v/>
      </c>
      <c r="C69" t="inlineStr">
        <is>
          <t>fuel</t>
        </is>
      </c>
      <c r="D69" t="inlineStr">
        <is>
          <t>fillups</t>
        </is>
      </c>
      <c r="E69" s="21">
        <f>fillups!H69</f>
        <v/>
      </c>
      <c r="F69">
        <f>IF(B69="","",LEFT(B69,4))</f>
        <v/>
      </c>
      <c r="G69">
        <f>IF(A69="","",INDEX(vehicles!$I$2:$I$5,MATCH(A69,vehicles!$A$2:$A$5,0)))</f>
        <v/>
      </c>
      <c r="H69" t="inlineStr">
        <is>
          <t>fuel</t>
        </is>
      </c>
    </row>
    <row r="70">
      <c r="A70" s="5">
        <f>fillups!A70</f>
        <v/>
      </c>
      <c r="B70" s="5">
        <f>LEFT(fillups!C70,10)</f>
        <v/>
      </c>
      <c r="C70" t="inlineStr">
        <is>
          <t>fuel</t>
        </is>
      </c>
      <c r="D70" t="inlineStr">
        <is>
          <t>fillups</t>
        </is>
      </c>
      <c r="E70" s="21">
        <f>fillups!H70</f>
        <v/>
      </c>
      <c r="F70">
        <f>IF(B70="","",LEFT(B70,4))</f>
        <v/>
      </c>
      <c r="G70">
        <f>IF(A70="","",INDEX(vehicles!$I$2:$I$5,MATCH(A70,vehicles!$A$2:$A$5,0)))</f>
        <v/>
      </c>
      <c r="H70" t="inlineStr">
        <is>
          <t>fuel</t>
        </is>
      </c>
    </row>
    <row r="71">
      <c r="A71" s="5">
        <f>fillups!A71</f>
        <v/>
      </c>
      <c r="B71" s="5">
        <f>LEFT(fillups!C71,10)</f>
        <v/>
      </c>
      <c r="C71" t="inlineStr">
        <is>
          <t>fuel</t>
        </is>
      </c>
      <c r="D71" t="inlineStr">
        <is>
          <t>fillups</t>
        </is>
      </c>
      <c r="E71" s="21">
        <f>fillups!H71</f>
        <v/>
      </c>
      <c r="F71">
        <f>IF(B71="","",LEFT(B71,4))</f>
        <v/>
      </c>
      <c r="G71">
        <f>IF(A71="","",INDEX(vehicles!$I$2:$I$5,MATCH(A71,vehicles!$A$2:$A$5,0)))</f>
        <v/>
      </c>
      <c r="H71" t="inlineStr">
        <is>
          <t>fuel</t>
        </is>
      </c>
    </row>
    <row r="72">
      <c r="A72" s="5">
        <f>fillups!A72</f>
        <v/>
      </c>
      <c r="B72" s="5">
        <f>LEFT(fillups!C72,10)</f>
        <v/>
      </c>
      <c r="C72" t="inlineStr">
        <is>
          <t>fuel</t>
        </is>
      </c>
      <c r="D72" t="inlineStr">
        <is>
          <t>fillups</t>
        </is>
      </c>
      <c r="E72" s="21">
        <f>fillups!H72</f>
        <v/>
      </c>
      <c r="F72">
        <f>IF(B72="","",LEFT(B72,4))</f>
        <v/>
      </c>
      <c r="G72">
        <f>IF(A72="","",INDEX(vehicles!$I$2:$I$5,MATCH(A72,vehicles!$A$2:$A$5,0)))</f>
        <v/>
      </c>
      <c r="H72" t="inlineStr">
        <is>
          <t>fuel</t>
        </is>
      </c>
    </row>
    <row r="73">
      <c r="A73" s="5">
        <f>fillups!A73</f>
        <v/>
      </c>
      <c r="B73" s="5">
        <f>LEFT(fillups!C73,10)</f>
        <v/>
      </c>
      <c r="C73" t="inlineStr">
        <is>
          <t>fuel</t>
        </is>
      </c>
      <c r="D73" t="inlineStr">
        <is>
          <t>fillups</t>
        </is>
      </c>
      <c r="E73" s="21">
        <f>fillups!H73</f>
        <v/>
      </c>
      <c r="F73">
        <f>IF(B73="","",LEFT(B73,4))</f>
        <v/>
      </c>
      <c r="G73">
        <f>IF(A73="","",INDEX(vehicles!$I$2:$I$5,MATCH(A73,vehicles!$A$2:$A$5,0)))</f>
        <v/>
      </c>
      <c r="H73" t="inlineStr">
        <is>
          <t>fuel</t>
        </is>
      </c>
    </row>
    <row r="74">
      <c r="A74" s="5">
        <f>fillups!A74</f>
        <v/>
      </c>
      <c r="B74" s="5">
        <f>LEFT(fillups!C74,10)</f>
        <v/>
      </c>
      <c r="C74" t="inlineStr">
        <is>
          <t>fuel</t>
        </is>
      </c>
      <c r="D74" t="inlineStr">
        <is>
          <t>fillups</t>
        </is>
      </c>
      <c r="E74" s="21">
        <f>fillups!H74</f>
        <v/>
      </c>
      <c r="F74">
        <f>IF(B74="","",LEFT(B74,4))</f>
        <v/>
      </c>
      <c r="G74">
        <f>IF(A74="","",INDEX(vehicles!$I$2:$I$5,MATCH(A74,vehicles!$A$2:$A$5,0)))</f>
        <v/>
      </c>
      <c r="H74" t="inlineStr">
        <is>
          <t>fuel</t>
        </is>
      </c>
    </row>
    <row r="75">
      <c r="A75" s="5">
        <f>fillups!A75</f>
        <v/>
      </c>
      <c r="B75" s="5">
        <f>LEFT(fillups!C75,10)</f>
        <v/>
      </c>
      <c r="C75" t="inlineStr">
        <is>
          <t>fuel</t>
        </is>
      </c>
      <c r="D75" t="inlineStr">
        <is>
          <t>fillups</t>
        </is>
      </c>
      <c r="E75" s="21">
        <f>fillups!H75</f>
        <v/>
      </c>
      <c r="F75">
        <f>IF(B75="","",LEFT(B75,4))</f>
        <v/>
      </c>
      <c r="G75">
        <f>IF(A75="","",INDEX(vehicles!$I$2:$I$5,MATCH(A75,vehicles!$A$2:$A$5,0)))</f>
        <v/>
      </c>
      <c r="H75" t="inlineStr">
        <is>
          <t>fuel</t>
        </is>
      </c>
    </row>
    <row r="76">
      <c r="A76" s="5">
        <f>fillups!A76</f>
        <v/>
      </c>
      <c r="B76" s="5">
        <f>LEFT(fillups!C76,10)</f>
        <v/>
      </c>
      <c r="C76" t="inlineStr">
        <is>
          <t>fuel</t>
        </is>
      </c>
      <c r="D76" t="inlineStr">
        <is>
          <t>fillups</t>
        </is>
      </c>
      <c r="E76" s="21">
        <f>fillups!H76</f>
        <v/>
      </c>
      <c r="F76">
        <f>IF(B76="","",LEFT(B76,4))</f>
        <v/>
      </c>
      <c r="G76">
        <f>IF(A76="","",INDEX(vehicles!$I$2:$I$5,MATCH(A76,vehicles!$A$2:$A$5,0)))</f>
        <v/>
      </c>
      <c r="H76" t="inlineStr">
        <is>
          <t>fuel</t>
        </is>
      </c>
    </row>
    <row r="77">
      <c r="A77" s="5">
        <f>fillups!A77</f>
        <v/>
      </c>
      <c r="B77" s="5">
        <f>LEFT(fillups!C77,10)</f>
        <v/>
      </c>
      <c r="C77" t="inlineStr">
        <is>
          <t>fuel</t>
        </is>
      </c>
      <c r="D77" t="inlineStr">
        <is>
          <t>fillups</t>
        </is>
      </c>
      <c r="E77" s="21">
        <f>fillups!H77</f>
        <v/>
      </c>
      <c r="F77">
        <f>IF(B77="","",LEFT(B77,4))</f>
        <v/>
      </c>
      <c r="G77">
        <f>IF(A77="","",INDEX(vehicles!$I$2:$I$5,MATCH(A77,vehicles!$A$2:$A$5,0)))</f>
        <v/>
      </c>
      <c r="H77" t="inlineStr">
        <is>
          <t>fuel</t>
        </is>
      </c>
    </row>
    <row r="78">
      <c r="A78" s="5">
        <f>fillups!A78</f>
        <v/>
      </c>
      <c r="B78" s="5">
        <f>LEFT(fillups!C78,10)</f>
        <v/>
      </c>
      <c r="C78" t="inlineStr">
        <is>
          <t>fuel</t>
        </is>
      </c>
      <c r="D78" t="inlineStr">
        <is>
          <t>fillups</t>
        </is>
      </c>
      <c r="E78" s="21">
        <f>fillups!H78</f>
        <v/>
      </c>
      <c r="F78">
        <f>IF(B78="","",LEFT(B78,4))</f>
        <v/>
      </c>
      <c r="G78">
        <f>IF(A78="","",INDEX(vehicles!$I$2:$I$5,MATCH(A78,vehicles!$A$2:$A$5,0)))</f>
        <v/>
      </c>
      <c r="H78" t="inlineStr">
        <is>
          <t>fuel</t>
        </is>
      </c>
    </row>
    <row r="79">
      <c r="A79" s="5">
        <f>fillups!A79</f>
        <v/>
      </c>
      <c r="B79" s="5">
        <f>LEFT(fillups!C79,10)</f>
        <v/>
      </c>
      <c r="C79" t="inlineStr">
        <is>
          <t>fuel</t>
        </is>
      </c>
      <c r="D79" t="inlineStr">
        <is>
          <t>fillups</t>
        </is>
      </c>
      <c r="E79" s="21">
        <f>fillups!H79</f>
        <v/>
      </c>
      <c r="F79">
        <f>IF(B79="","",LEFT(B79,4))</f>
        <v/>
      </c>
      <c r="G79">
        <f>IF(A79="","",INDEX(vehicles!$I$2:$I$5,MATCH(A79,vehicles!$A$2:$A$5,0)))</f>
        <v/>
      </c>
      <c r="H79" t="inlineStr">
        <is>
          <t>fuel</t>
        </is>
      </c>
    </row>
    <row r="80">
      <c r="A80" s="5">
        <f>fillups!A80</f>
        <v/>
      </c>
      <c r="B80" s="5">
        <f>LEFT(fillups!C80,10)</f>
        <v/>
      </c>
      <c r="C80" t="inlineStr">
        <is>
          <t>fuel</t>
        </is>
      </c>
      <c r="D80" t="inlineStr">
        <is>
          <t>fillups</t>
        </is>
      </c>
      <c r="E80" s="21">
        <f>fillups!H80</f>
        <v/>
      </c>
      <c r="F80">
        <f>IF(B80="","",LEFT(B80,4))</f>
        <v/>
      </c>
      <c r="G80">
        <f>IF(A80="","",INDEX(vehicles!$I$2:$I$5,MATCH(A80,vehicles!$A$2:$A$5,0)))</f>
        <v/>
      </c>
      <c r="H80" t="inlineStr">
        <is>
          <t>fuel</t>
        </is>
      </c>
    </row>
    <row r="81">
      <c r="A81" s="5">
        <f>fillups!A81</f>
        <v/>
      </c>
      <c r="B81" s="5">
        <f>LEFT(fillups!C81,10)</f>
        <v/>
      </c>
      <c r="C81" t="inlineStr">
        <is>
          <t>fuel</t>
        </is>
      </c>
      <c r="D81" t="inlineStr">
        <is>
          <t>fillups</t>
        </is>
      </c>
      <c r="E81" s="21">
        <f>fillups!H81</f>
        <v/>
      </c>
      <c r="F81">
        <f>IF(B81="","",LEFT(B81,4))</f>
        <v/>
      </c>
      <c r="G81">
        <f>IF(A81="","",INDEX(vehicles!$I$2:$I$5,MATCH(A81,vehicles!$A$2:$A$5,0)))</f>
        <v/>
      </c>
      <c r="H81" t="inlineStr">
        <is>
          <t>fuel</t>
        </is>
      </c>
    </row>
    <row r="82">
      <c r="A82" s="5">
        <f>fillups!A82</f>
        <v/>
      </c>
      <c r="B82" s="5">
        <f>LEFT(fillups!C82,10)</f>
        <v/>
      </c>
      <c r="C82" t="inlineStr">
        <is>
          <t>fuel</t>
        </is>
      </c>
      <c r="D82" t="inlineStr">
        <is>
          <t>fillups</t>
        </is>
      </c>
      <c r="E82" s="21">
        <f>fillups!H82</f>
        <v/>
      </c>
      <c r="F82">
        <f>IF(B82="","",LEFT(B82,4))</f>
        <v/>
      </c>
      <c r="G82">
        <f>IF(A82="","",INDEX(vehicles!$I$2:$I$5,MATCH(A82,vehicles!$A$2:$A$5,0)))</f>
        <v/>
      </c>
      <c r="H82" t="inlineStr">
        <is>
          <t>fuel</t>
        </is>
      </c>
    </row>
    <row r="83">
      <c r="A83" s="5">
        <f>fillups!A83</f>
        <v/>
      </c>
      <c r="B83" s="5">
        <f>LEFT(fillups!C83,10)</f>
        <v/>
      </c>
      <c r="C83" t="inlineStr">
        <is>
          <t>fuel</t>
        </is>
      </c>
      <c r="D83" t="inlineStr">
        <is>
          <t>fillups</t>
        </is>
      </c>
      <c r="E83" s="21">
        <f>fillups!H83</f>
        <v/>
      </c>
      <c r="F83">
        <f>IF(B83="","",LEFT(B83,4))</f>
        <v/>
      </c>
      <c r="G83">
        <f>IF(A83="","",INDEX(vehicles!$I$2:$I$5,MATCH(A83,vehicles!$A$2:$A$5,0)))</f>
        <v/>
      </c>
      <c r="H83" t="inlineStr">
        <is>
          <t>fuel</t>
        </is>
      </c>
    </row>
    <row r="84">
      <c r="A84" s="5">
        <f>fillups!A84</f>
        <v/>
      </c>
      <c r="B84" s="5">
        <f>LEFT(fillups!C84,10)</f>
        <v/>
      </c>
      <c r="C84" t="inlineStr">
        <is>
          <t>fuel</t>
        </is>
      </c>
      <c r="D84" t="inlineStr">
        <is>
          <t>fillups</t>
        </is>
      </c>
      <c r="E84" s="21">
        <f>fillups!H84</f>
        <v/>
      </c>
      <c r="F84">
        <f>IF(B84="","",LEFT(B84,4))</f>
        <v/>
      </c>
      <c r="G84">
        <f>IF(A84="","",INDEX(vehicles!$I$2:$I$5,MATCH(A84,vehicles!$A$2:$A$5,0)))</f>
        <v/>
      </c>
      <c r="H84" t="inlineStr">
        <is>
          <t>fuel</t>
        </is>
      </c>
    </row>
    <row r="85">
      <c r="A85" s="5">
        <f>fillups!A85</f>
        <v/>
      </c>
      <c r="B85" s="5">
        <f>LEFT(fillups!C85,10)</f>
        <v/>
      </c>
      <c r="C85" t="inlineStr">
        <is>
          <t>fuel</t>
        </is>
      </c>
      <c r="D85" t="inlineStr">
        <is>
          <t>fillups</t>
        </is>
      </c>
      <c r="E85" s="21">
        <f>fillups!H85</f>
        <v/>
      </c>
      <c r="F85">
        <f>IF(B85="","",LEFT(B85,4))</f>
        <v/>
      </c>
      <c r="G85">
        <f>IF(A85="","",INDEX(vehicles!$I$2:$I$5,MATCH(A85,vehicles!$A$2:$A$5,0)))</f>
        <v/>
      </c>
      <c r="H85" t="inlineStr">
        <is>
          <t>fuel</t>
        </is>
      </c>
    </row>
    <row r="86">
      <c r="A86" s="5">
        <f>fillups!A86</f>
        <v/>
      </c>
      <c r="B86" s="5">
        <f>LEFT(fillups!C86,10)</f>
        <v/>
      </c>
      <c r="C86" t="inlineStr">
        <is>
          <t>fuel</t>
        </is>
      </c>
      <c r="D86" t="inlineStr">
        <is>
          <t>fillups</t>
        </is>
      </c>
      <c r="E86" s="21">
        <f>fillups!H86</f>
        <v/>
      </c>
      <c r="F86">
        <f>IF(B86="","",LEFT(B86,4))</f>
        <v/>
      </c>
      <c r="G86">
        <f>IF(A86="","",INDEX(vehicles!$I$2:$I$5,MATCH(A86,vehicles!$A$2:$A$5,0)))</f>
        <v/>
      </c>
      <c r="H86" t="inlineStr">
        <is>
          <t>fuel</t>
        </is>
      </c>
    </row>
    <row r="87">
      <c r="A87" s="5">
        <f>fillups!A87</f>
        <v/>
      </c>
      <c r="B87" s="5">
        <f>LEFT(fillups!C87,10)</f>
        <v/>
      </c>
      <c r="C87" t="inlineStr">
        <is>
          <t>fuel</t>
        </is>
      </c>
      <c r="D87" t="inlineStr">
        <is>
          <t>fillups</t>
        </is>
      </c>
      <c r="E87" s="21">
        <f>fillups!H87</f>
        <v/>
      </c>
      <c r="F87">
        <f>IF(B87="","",LEFT(B87,4))</f>
        <v/>
      </c>
      <c r="G87">
        <f>IF(A87="","",INDEX(vehicles!$I$2:$I$5,MATCH(A87,vehicles!$A$2:$A$5,0)))</f>
        <v/>
      </c>
      <c r="H87" t="inlineStr">
        <is>
          <t>fuel</t>
        </is>
      </c>
    </row>
    <row r="88">
      <c r="A88" s="5">
        <f>fillups!A88</f>
        <v/>
      </c>
      <c r="B88" s="5">
        <f>LEFT(fillups!C88,10)</f>
        <v/>
      </c>
      <c r="C88" t="inlineStr">
        <is>
          <t>fuel</t>
        </is>
      </c>
      <c r="D88" t="inlineStr">
        <is>
          <t>fillups</t>
        </is>
      </c>
      <c r="E88" s="21">
        <f>fillups!H88</f>
        <v/>
      </c>
      <c r="F88">
        <f>IF(B88="","",LEFT(B88,4))</f>
        <v/>
      </c>
      <c r="G88">
        <f>IF(A88="","",INDEX(vehicles!$I$2:$I$5,MATCH(A88,vehicles!$A$2:$A$5,0)))</f>
        <v/>
      </c>
      <c r="H88" t="inlineStr">
        <is>
          <t>fuel</t>
        </is>
      </c>
    </row>
    <row r="89">
      <c r="A89" s="5">
        <f>fillups!A89</f>
        <v/>
      </c>
      <c r="B89" s="5">
        <f>LEFT(fillups!C89,10)</f>
        <v/>
      </c>
      <c r="C89" t="inlineStr">
        <is>
          <t>fuel</t>
        </is>
      </c>
      <c r="D89" t="inlineStr">
        <is>
          <t>fillups</t>
        </is>
      </c>
      <c r="E89" s="21">
        <f>fillups!H89</f>
        <v/>
      </c>
      <c r="F89">
        <f>IF(B89="","",LEFT(B89,4))</f>
        <v/>
      </c>
      <c r="G89">
        <f>IF(A89="","",INDEX(vehicles!$I$2:$I$5,MATCH(A89,vehicles!$A$2:$A$5,0)))</f>
        <v/>
      </c>
      <c r="H89" t="inlineStr">
        <is>
          <t>fuel</t>
        </is>
      </c>
    </row>
    <row r="90">
      <c r="A90" s="5">
        <f>fillups!A90</f>
        <v/>
      </c>
      <c r="B90" s="5">
        <f>LEFT(fillups!C90,10)</f>
        <v/>
      </c>
      <c r="C90" t="inlineStr">
        <is>
          <t>fuel</t>
        </is>
      </c>
      <c r="D90" t="inlineStr">
        <is>
          <t>fillups</t>
        </is>
      </c>
      <c r="E90" s="21">
        <f>fillups!H90</f>
        <v/>
      </c>
      <c r="F90">
        <f>IF(B90="","",LEFT(B90,4))</f>
        <v/>
      </c>
      <c r="G90">
        <f>IF(A90="","",INDEX(vehicles!$I$2:$I$5,MATCH(A90,vehicles!$A$2:$A$5,0)))</f>
        <v/>
      </c>
      <c r="H90" t="inlineStr">
        <is>
          <t>fuel</t>
        </is>
      </c>
    </row>
    <row r="91">
      <c r="A91" s="5">
        <f>fillups!A91</f>
        <v/>
      </c>
      <c r="B91" s="5">
        <f>LEFT(fillups!C91,10)</f>
        <v/>
      </c>
      <c r="C91" t="inlineStr">
        <is>
          <t>fuel</t>
        </is>
      </c>
      <c r="D91" t="inlineStr">
        <is>
          <t>fillups</t>
        </is>
      </c>
      <c r="E91" s="21">
        <f>fillups!H91</f>
        <v/>
      </c>
      <c r="F91">
        <f>IF(B91="","",LEFT(B91,4))</f>
        <v/>
      </c>
      <c r="G91">
        <f>IF(A91="","",INDEX(vehicles!$I$2:$I$5,MATCH(A91,vehicles!$A$2:$A$5,0)))</f>
        <v/>
      </c>
      <c r="H91" t="inlineStr">
        <is>
          <t>fuel</t>
        </is>
      </c>
    </row>
    <row r="92">
      <c r="A92" s="5">
        <f>fillups!A92</f>
        <v/>
      </c>
      <c r="B92" s="5">
        <f>LEFT(fillups!C92,10)</f>
        <v/>
      </c>
      <c r="C92" t="inlineStr">
        <is>
          <t>fuel</t>
        </is>
      </c>
      <c r="D92" t="inlineStr">
        <is>
          <t>fillups</t>
        </is>
      </c>
      <c r="E92" s="21">
        <f>fillups!H92</f>
        <v/>
      </c>
      <c r="F92">
        <f>IF(B92="","",LEFT(B92,4))</f>
        <v/>
      </c>
      <c r="G92">
        <f>IF(A92="","",INDEX(vehicles!$I$2:$I$5,MATCH(A92,vehicles!$A$2:$A$5,0)))</f>
        <v/>
      </c>
      <c r="H92" t="inlineStr">
        <is>
          <t>fuel</t>
        </is>
      </c>
    </row>
    <row r="93">
      <c r="A93" s="5">
        <f>fillups!A93</f>
        <v/>
      </c>
      <c r="B93" s="5">
        <f>LEFT(fillups!C93,10)</f>
        <v/>
      </c>
      <c r="C93" t="inlineStr">
        <is>
          <t>fuel</t>
        </is>
      </c>
      <c r="D93" t="inlineStr">
        <is>
          <t>fillups</t>
        </is>
      </c>
      <c r="E93" s="21">
        <f>fillups!H93</f>
        <v/>
      </c>
      <c r="F93">
        <f>IF(B93="","",LEFT(B93,4))</f>
        <v/>
      </c>
      <c r="G93">
        <f>IF(A93="","",INDEX(vehicles!$I$2:$I$5,MATCH(A93,vehicles!$A$2:$A$5,0)))</f>
        <v/>
      </c>
      <c r="H93" t="inlineStr">
        <is>
          <t>fuel</t>
        </is>
      </c>
    </row>
    <row r="94">
      <c r="A94" s="5">
        <f>fillups!A94</f>
        <v/>
      </c>
      <c r="B94" s="5">
        <f>LEFT(fillups!C94,10)</f>
        <v/>
      </c>
      <c r="C94" t="inlineStr">
        <is>
          <t>fuel</t>
        </is>
      </c>
      <c r="D94" t="inlineStr">
        <is>
          <t>fillups</t>
        </is>
      </c>
      <c r="E94" s="21">
        <f>fillups!H94</f>
        <v/>
      </c>
      <c r="F94">
        <f>IF(B94="","",LEFT(B94,4))</f>
        <v/>
      </c>
      <c r="G94">
        <f>IF(A94="","",INDEX(vehicles!$I$2:$I$5,MATCH(A94,vehicles!$A$2:$A$5,0)))</f>
        <v/>
      </c>
      <c r="H94" t="inlineStr">
        <is>
          <t>fuel</t>
        </is>
      </c>
    </row>
    <row r="95">
      <c r="A95" s="5">
        <f>fillups!A95</f>
        <v/>
      </c>
      <c r="B95" s="5">
        <f>LEFT(fillups!C95,10)</f>
        <v/>
      </c>
      <c r="C95" t="inlineStr">
        <is>
          <t>fuel</t>
        </is>
      </c>
      <c r="D95" t="inlineStr">
        <is>
          <t>fillups</t>
        </is>
      </c>
      <c r="E95" s="21">
        <f>fillups!H95</f>
        <v/>
      </c>
      <c r="F95">
        <f>IF(B95="","",LEFT(B95,4))</f>
        <v/>
      </c>
      <c r="G95">
        <f>IF(A95="","",INDEX(vehicles!$I$2:$I$5,MATCH(A95,vehicles!$A$2:$A$5,0)))</f>
        <v/>
      </c>
      <c r="H95" t="inlineStr">
        <is>
          <t>fuel</t>
        </is>
      </c>
    </row>
    <row r="96">
      <c r="A96" s="5">
        <f>fillups!A96</f>
        <v/>
      </c>
      <c r="B96" s="5">
        <f>LEFT(fillups!C96,10)</f>
        <v/>
      </c>
      <c r="C96" t="inlineStr">
        <is>
          <t>fuel</t>
        </is>
      </c>
      <c r="D96" t="inlineStr">
        <is>
          <t>fillups</t>
        </is>
      </c>
      <c r="E96" s="21">
        <f>fillups!H96</f>
        <v/>
      </c>
      <c r="F96">
        <f>IF(B96="","",LEFT(B96,4))</f>
        <v/>
      </c>
      <c r="G96">
        <f>IF(A96="","",INDEX(vehicles!$I$2:$I$5,MATCH(A96,vehicles!$A$2:$A$5,0)))</f>
        <v/>
      </c>
      <c r="H96" t="inlineStr">
        <is>
          <t>fuel</t>
        </is>
      </c>
    </row>
    <row r="97">
      <c r="A97" s="5">
        <f>fillups!A97</f>
        <v/>
      </c>
      <c r="B97" s="5">
        <f>LEFT(fillups!C97,10)</f>
        <v/>
      </c>
      <c r="C97" t="inlineStr">
        <is>
          <t>fuel</t>
        </is>
      </c>
      <c r="D97" t="inlineStr">
        <is>
          <t>fillups</t>
        </is>
      </c>
      <c r="E97" s="21">
        <f>fillups!H97</f>
        <v/>
      </c>
      <c r="F97">
        <f>IF(B97="","",LEFT(B97,4))</f>
        <v/>
      </c>
      <c r="G97">
        <f>IF(A97="","",INDEX(vehicles!$I$2:$I$5,MATCH(A97,vehicles!$A$2:$A$5,0)))</f>
        <v/>
      </c>
      <c r="H97" t="inlineStr">
        <is>
          <t>fuel</t>
        </is>
      </c>
    </row>
    <row r="98">
      <c r="A98" s="5">
        <f>fillups!A98</f>
        <v/>
      </c>
      <c r="B98" s="5">
        <f>LEFT(fillups!C98,10)</f>
        <v/>
      </c>
      <c r="C98" t="inlineStr">
        <is>
          <t>fuel</t>
        </is>
      </c>
      <c r="D98" t="inlineStr">
        <is>
          <t>fillups</t>
        </is>
      </c>
      <c r="E98" s="21">
        <f>fillups!H98</f>
        <v/>
      </c>
      <c r="F98">
        <f>IF(B98="","",LEFT(B98,4))</f>
        <v/>
      </c>
      <c r="G98">
        <f>IF(A98="","",INDEX(vehicles!$I$2:$I$5,MATCH(A98,vehicles!$A$2:$A$5,0)))</f>
        <v/>
      </c>
      <c r="H98" t="inlineStr">
        <is>
          <t>fuel</t>
        </is>
      </c>
    </row>
    <row r="99">
      <c r="A99" s="5">
        <f>fillups!A99</f>
        <v/>
      </c>
      <c r="B99" s="5">
        <f>LEFT(fillups!C99,10)</f>
        <v/>
      </c>
      <c r="C99" t="inlineStr">
        <is>
          <t>fuel</t>
        </is>
      </c>
      <c r="D99" t="inlineStr">
        <is>
          <t>fillups</t>
        </is>
      </c>
      <c r="E99" s="21">
        <f>fillups!H99</f>
        <v/>
      </c>
      <c r="F99">
        <f>IF(B99="","",LEFT(B99,4))</f>
        <v/>
      </c>
      <c r="G99">
        <f>IF(A99="","",INDEX(vehicles!$I$2:$I$5,MATCH(A99,vehicles!$A$2:$A$5,0)))</f>
        <v/>
      </c>
      <c r="H99" t="inlineStr">
        <is>
          <t>fuel</t>
        </is>
      </c>
    </row>
    <row r="100">
      <c r="A100" s="5">
        <f>fillups!A100</f>
        <v/>
      </c>
      <c r="B100" s="5">
        <f>LEFT(fillups!C100,10)</f>
        <v/>
      </c>
      <c r="C100" t="inlineStr">
        <is>
          <t>fuel</t>
        </is>
      </c>
      <c r="D100" t="inlineStr">
        <is>
          <t>fillups</t>
        </is>
      </c>
      <c r="E100" s="21">
        <f>fillups!H100</f>
        <v/>
      </c>
      <c r="F100">
        <f>IF(B100="","",LEFT(B100,4))</f>
        <v/>
      </c>
      <c r="G100">
        <f>IF(A100="","",INDEX(vehicles!$I$2:$I$5,MATCH(A100,vehicles!$A$2:$A$5,0)))</f>
        <v/>
      </c>
      <c r="H100" t="inlineStr">
        <is>
          <t>fuel</t>
        </is>
      </c>
    </row>
    <row r="101">
      <c r="A101" s="5">
        <f>fillups!A101</f>
        <v/>
      </c>
      <c r="B101" s="5">
        <f>LEFT(fillups!C101,10)</f>
        <v/>
      </c>
      <c r="C101" t="inlineStr">
        <is>
          <t>fuel</t>
        </is>
      </c>
      <c r="D101" t="inlineStr">
        <is>
          <t>fillups</t>
        </is>
      </c>
      <c r="E101" s="21">
        <f>fillups!H101</f>
        <v/>
      </c>
      <c r="F101">
        <f>IF(B101="","",LEFT(B101,4))</f>
        <v/>
      </c>
      <c r="G101">
        <f>IF(A101="","",INDEX(vehicles!$I$2:$I$5,MATCH(A101,vehicles!$A$2:$A$5,0)))</f>
        <v/>
      </c>
      <c r="H101" t="inlineStr">
        <is>
          <t>fuel</t>
        </is>
      </c>
    </row>
    <row r="102">
      <c r="A102" s="5">
        <f>fillups!A102</f>
        <v/>
      </c>
      <c r="B102" s="5">
        <f>LEFT(fillups!C102,10)</f>
        <v/>
      </c>
      <c r="C102" t="inlineStr">
        <is>
          <t>fuel</t>
        </is>
      </c>
      <c r="D102" t="inlineStr">
        <is>
          <t>fillups</t>
        </is>
      </c>
      <c r="E102" s="21">
        <f>fillups!H102</f>
        <v/>
      </c>
      <c r="F102">
        <f>IF(B102="","",LEFT(B102,4))</f>
        <v/>
      </c>
      <c r="G102">
        <f>IF(A102="","",INDEX(vehicles!$I$2:$I$5,MATCH(A102,vehicles!$A$2:$A$5,0)))</f>
        <v/>
      </c>
      <c r="H102" t="inlineStr">
        <is>
          <t>fuel</t>
        </is>
      </c>
    </row>
    <row r="103">
      <c r="A103" s="5">
        <f>fillups!A103</f>
        <v/>
      </c>
      <c r="B103" s="5">
        <f>LEFT(fillups!C103,10)</f>
        <v/>
      </c>
      <c r="C103" t="inlineStr">
        <is>
          <t>fuel</t>
        </is>
      </c>
      <c r="D103" t="inlineStr">
        <is>
          <t>fillups</t>
        </is>
      </c>
      <c r="E103" s="21">
        <f>fillups!H103</f>
        <v/>
      </c>
      <c r="F103">
        <f>IF(B103="","",LEFT(B103,4))</f>
        <v/>
      </c>
      <c r="G103">
        <f>IF(A103="","",INDEX(vehicles!$I$2:$I$5,MATCH(A103,vehicles!$A$2:$A$5,0)))</f>
        <v/>
      </c>
      <c r="H103" t="inlineStr">
        <is>
          <t>fuel</t>
        </is>
      </c>
    </row>
    <row r="104">
      <c r="A104" s="5">
        <f>fillups!A104</f>
        <v/>
      </c>
      <c r="B104" s="5">
        <f>LEFT(fillups!C104,10)</f>
        <v/>
      </c>
      <c r="C104" t="inlineStr">
        <is>
          <t>fuel</t>
        </is>
      </c>
      <c r="D104" t="inlineStr">
        <is>
          <t>fillups</t>
        </is>
      </c>
      <c r="E104" s="21">
        <f>fillups!H104</f>
        <v/>
      </c>
      <c r="F104">
        <f>IF(B104="","",LEFT(B104,4))</f>
        <v/>
      </c>
      <c r="G104">
        <f>IF(A104="","",INDEX(vehicles!$I$2:$I$5,MATCH(A104,vehicles!$A$2:$A$5,0)))</f>
        <v/>
      </c>
      <c r="H104" t="inlineStr">
        <is>
          <t>fuel</t>
        </is>
      </c>
    </row>
    <row r="105">
      <c r="A105" s="5">
        <f>fillups!A105</f>
        <v/>
      </c>
      <c r="B105" s="5">
        <f>LEFT(fillups!C105,10)</f>
        <v/>
      </c>
      <c r="C105" t="inlineStr">
        <is>
          <t>fuel</t>
        </is>
      </c>
      <c r="D105" t="inlineStr">
        <is>
          <t>fillups</t>
        </is>
      </c>
      <c r="E105" s="21">
        <f>fillups!H105</f>
        <v/>
      </c>
      <c r="F105">
        <f>IF(B105="","",LEFT(B105,4))</f>
        <v/>
      </c>
      <c r="G105">
        <f>IF(A105="","",INDEX(vehicles!$I$2:$I$5,MATCH(A105,vehicles!$A$2:$A$5,0)))</f>
        <v/>
      </c>
      <c r="H105" t="inlineStr">
        <is>
          <t>fuel</t>
        </is>
      </c>
    </row>
    <row r="106">
      <c r="A106" s="5">
        <f>fillups!A106</f>
        <v/>
      </c>
      <c r="B106" s="5">
        <f>LEFT(fillups!C106,10)</f>
        <v/>
      </c>
      <c r="C106" t="inlineStr">
        <is>
          <t>fuel</t>
        </is>
      </c>
      <c r="D106" t="inlineStr">
        <is>
          <t>fillups</t>
        </is>
      </c>
      <c r="E106" s="21">
        <f>fillups!H106</f>
        <v/>
      </c>
      <c r="F106">
        <f>IF(B106="","",LEFT(B106,4))</f>
        <v/>
      </c>
      <c r="G106">
        <f>IF(A106="","",INDEX(vehicles!$I$2:$I$5,MATCH(A106,vehicles!$A$2:$A$5,0)))</f>
        <v/>
      </c>
      <c r="H106" t="inlineStr">
        <is>
          <t>fuel</t>
        </is>
      </c>
    </row>
    <row r="107">
      <c r="A107" s="5">
        <f>fillups!A107</f>
        <v/>
      </c>
      <c r="B107" s="5">
        <f>LEFT(fillups!C107,10)</f>
        <v/>
      </c>
      <c r="C107" t="inlineStr">
        <is>
          <t>fuel</t>
        </is>
      </c>
      <c r="D107" t="inlineStr">
        <is>
          <t>fillups</t>
        </is>
      </c>
      <c r="E107" s="21">
        <f>fillups!H107</f>
        <v/>
      </c>
      <c r="F107">
        <f>IF(B107="","",LEFT(B107,4))</f>
        <v/>
      </c>
      <c r="G107">
        <f>IF(A107="","",INDEX(vehicles!$I$2:$I$5,MATCH(A107,vehicles!$A$2:$A$5,0)))</f>
        <v/>
      </c>
      <c r="H107" t="inlineStr">
        <is>
          <t>fuel</t>
        </is>
      </c>
    </row>
    <row r="108">
      <c r="A108" s="5">
        <f>fillups!A108</f>
        <v/>
      </c>
      <c r="B108" s="5">
        <f>LEFT(fillups!C108,10)</f>
        <v/>
      </c>
      <c r="C108" t="inlineStr">
        <is>
          <t>fuel</t>
        </is>
      </c>
      <c r="D108" t="inlineStr">
        <is>
          <t>fillups</t>
        </is>
      </c>
      <c r="E108" s="21">
        <f>fillups!H108</f>
        <v/>
      </c>
      <c r="F108">
        <f>IF(B108="","",LEFT(B108,4))</f>
        <v/>
      </c>
      <c r="G108">
        <f>IF(A108="","",INDEX(vehicles!$I$2:$I$5,MATCH(A108,vehicles!$A$2:$A$5,0)))</f>
        <v/>
      </c>
      <c r="H108" t="inlineStr">
        <is>
          <t>fuel</t>
        </is>
      </c>
    </row>
    <row r="109">
      <c r="A109" s="5">
        <f>fillups!A109</f>
        <v/>
      </c>
      <c r="B109" s="5">
        <f>LEFT(fillups!C109,10)</f>
        <v/>
      </c>
      <c r="C109" t="inlineStr">
        <is>
          <t>fuel</t>
        </is>
      </c>
      <c r="D109" t="inlineStr">
        <is>
          <t>fillups</t>
        </is>
      </c>
      <c r="E109" s="21">
        <f>fillups!H109</f>
        <v/>
      </c>
      <c r="F109">
        <f>IF(B109="","",LEFT(B109,4))</f>
        <v/>
      </c>
      <c r="G109">
        <f>IF(A109="","",INDEX(vehicles!$I$2:$I$5,MATCH(A109,vehicles!$A$2:$A$5,0)))</f>
        <v/>
      </c>
      <c r="H109" t="inlineStr">
        <is>
          <t>fuel</t>
        </is>
      </c>
    </row>
    <row r="110">
      <c r="A110" s="5">
        <f>fillups!A110</f>
        <v/>
      </c>
      <c r="B110" s="5">
        <f>LEFT(fillups!C110,10)</f>
        <v/>
      </c>
      <c r="C110" t="inlineStr">
        <is>
          <t>fuel</t>
        </is>
      </c>
      <c r="D110" t="inlineStr">
        <is>
          <t>fillups</t>
        </is>
      </c>
      <c r="E110" s="21">
        <f>fillups!H110</f>
        <v/>
      </c>
      <c r="F110">
        <f>IF(B110="","",LEFT(B110,4))</f>
        <v/>
      </c>
      <c r="G110">
        <f>IF(A110="","",INDEX(vehicles!$I$2:$I$5,MATCH(A110,vehicles!$A$2:$A$5,0)))</f>
        <v/>
      </c>
      <c r="H110" t="inlineStr">
        <is>
          <t>fuel</t>
        </is>
      </c>
    </row>
    <row r="111">
      <c r="A111" s="5">
        <f>fillups!A111</f>
        <v/>
      </c>
      <c r="B111" s="5">
        <f>LEFT(fillups!C111,10)</f>
        <v/>
      </c>
      <c r="C111" t="inlineStr">
        <is>
          <t>fuel</t>
        </is>
      </c>
      <c r="D111" t="inlineStr">
        <is>
          <t>fillups</t>
        </is>
      </c>
      <c r="E111" s="21">
        <f>fillups!H111</f>
        <v/>
      </c>
      <c r="F111">
        <f>IF(B111="","",LEFT(B111,4))</f>
        <v/>
      </c>
      <c r="G111">
        <f>IF(A111="","",INDEX(vehicles!$I$2:$I$5,MATCH(A111,vehicles!$A$2:$A$5,0)))</f>
        <v/>
      </c>
      <c r="H111" t="inlineStr">
        <is>
          <t>fuel</t>
        </is>
      </c>
    </row>
    <row r="112">
      <c r="A112" s="5">
        <f>fillups!A112</f>
        <v/>
      </c>
      <c r="B112" s="5">
        <f>LEFT(fillups!C112,10)</f>
        <v/>
      </c>
      <c r="C112" t="inlineStr">
        <is>
          <t>fuel</t>
        </is>
      </c>
      <c r="D112" t="inlineStr">
        <is>
          <t>fillups</t>
        </is>
      </c>
      <c r="E112" s="21">
        <f>fillups!H112</f>
        <v/>
      </c>
      <c r="F112">
        <f>IF(B112="","",LEFT(B112,4))</f>
        <v/>
      </c>
      <c r="G112">
        <f>IF(A112="","",INDEX(vehicles!$I$2:$I$5,MATCH(A112,vehicles!$A$2:$A$5,0)))</f>
        <v/>
      </c>
      <c r="H112" t="inlineStr">
        <is>
          <t>fuel</t>
        </is>
      </c>
    </row>
    <row r="113">
      <c r="A113" s="5">
        <f>fillups!A113</f>
        <v/>
      </c>
      <c r="B113" s="5">
        <f>LEFT(fillups!C113,10)</f>
        <v/>
      </c>
      <c r="C113" t="inlineStr">
        <is>
          <t>fuel</t>
        </is>
      </c>
      <c r="D113" t="inlineStr">
        <is>
          <t>fillups</t>
        </is>
      </c>
      <c r="E113" s="21">
        <f>fillups!H113</f>
        <v/>
      </c>
      <c r="F113">
        <f>IF(B113="","",LEFT(B113,4))</f>
        <v/>
      </c>
      <c r="G113">
        <f>IF(A113="","",INDEX(vehicles!$I$2:$I$5,MATCH(A113,vehicles!$A$2:$A$5,0)))</f>
        <v/>
      </c>
      <c r="H113" t="inlineStr">
        <is>
          <t>fuel</t>
        </is>
      </c>
    </row>
    <row r="114">
      <c r="A114" s="5">
        <f>fillups!A114</f>
        <v/>
      </c>
      <c r="B114" s="5">
        <f>LEFT(fillups!C114,10)</f>
        <v/>
      </c>
      <c r="C114" t="inlineStr">
        <is>
          <t>fuel</t>
        </is>
      </c>
      <c r="D114" t="inlineStr">
        <is>
          <t>fillups</t>
        </is>
      </c>
      <c r="E114" s="21">
        <f>fillups!H114</f>
        <v/>
      </c>
      <c r="F114">
        <f>IF(B114="","",LEFT(B114,4))</f>
        <v/>
      </c>
      <c r="G114">
        <f>IF(A114="","",INDEX(vehicles!$I$2:$I$5,MATCH(A114,vehicles!$A$2:$A$5,0)))</f>
        <v/>
      </c>
      <c r="H114" t="inlineStr">
        <is>
          <t>fuel</t>
        </is>
      </c>
    </row>
    <row r="115">
      <c r="A115" s="5">
        <f>fillups!A115</f>
        <v/>
      </c>
      <c r="B115" s="5">
        <f>LEFT(fillups!C115,10)</f>
        <v/>
      </c>
      <c r="C115" t="inlineStr">
        <is>
          <t>fuel</t>
        </is>
      </c>
      <c r="D115" t="inlineStr">
        <is>
          <t>fillups</t>
        </is>
      </c>
      <c r="E115" s="21">
        <f>fillups!H115</f>
        <v/>
      </c>
      <c r="F115">
        <f>IF(B115="","",LEFT(B115,4))</f>
        <v/>
      </c>
      <c r="G115">
        <f>IF(A115="","",INDEX(vehicles!$I$2:$I$5,MATCH(A115,vehicles!$A$2:$A$5,0)))</f>
        <v/>
      </c>
      <c r="H115" t="inlineStr">
        <is>
          <t>fuel</t>
        </is>
      </c>
    </row>
    <row r="116">
      <c r="A116" s="5">
        <f>fillups!A116</f>
        <v/>
      </c>
      <c r="B116" s="5">
        <f>LEFT(fillups!C116,10)</f>
        <v/>
      </c>
      <c r="C116" t="inlineStr">
        <is>
          <t>fuel</t>
        </is>
      </c>
      <c r="D116" t="inlineStr">
        <is>
          <t>fillups</t>
        </is>
      </c>
      <c r="E116" s="21">
        <f>fillups!H116</f>
        <v/>
      </c>
      <c r="F116">
        <f>IF(B116="","",LEFT(B116,4))</f>
        <v/>
      </c>
      <c r="G116">
        <f>IF(A116="","",INDEX(vehicles!$I$2:$I$5,MATCH(A116,vehicles!$A$2:$A$5,0)))</f>
        <v/>
      </c>
      <c r="H116" t="inlineStr">
        <is>
          <t>fuel</t>
        </is>
      </c>
    </row>
    <row r="117">
      <c r="A117" s="5">
        <f>fillups!A117</f>
        <v/>
      </c>
      <c r="B117" s="5">
        <f>LEFT(fillups!C117,10)</f>
        <v/>
      </c>
      <c r="C117" t="inlineStr">
        <is>
          <t>fuel</t>
        </is>
      </c>
      <c r="D117" t="inlineStr">
        <is>
          <t>fillups</t>
        </is>
      </c>
      <c r="E117" s="21">
        <f>fillups!H117</f>
        <v/>
      </c>
      <c r="F117">
        <f>IF(B117="","",LEFT(B117,4))</f>
        <v/>
      </c>
      <c r="G117">
        <f>IF(A117="","",INDEX(vehicles!$I$2:$I$5,MATCH(A117,vehicles!$A$2:$A$5,0)))</f>
        <v/>
      </c>
      <c r="H117" t="inlineStr">
        <is>
          <t>fuel</t>
        </is>
      </c>
    </row>
    <row r="118">
      <c r="A118" s="5">
        <f>fillups!A118</f>
        <v/>
      </c>
      <c r="B118" s="5">
        <f>LEFT(fillups!C118,10)</f>
        <v/>
      </c>
      <c r="C118" t="inlineStr">
        <is>
          <t>fuel</t>
        </is>
      </c>
      <c r="D118" t="inlineStr">
        <is>
          <t>fillups</t>
        </is>
      </c>
      <c r="E118" s="21">
        <f>fillups!H118</f>
        <v/>
      </c>
      <c r="F118">
        <f>IF(B118="","",LEFT(B118,4))</f>
        <v/>
      </c>
      <c r="G118">
        <f>IF(A118="","",INDEX(vehicles!$I$2:$I$5,MATCH(A118,vehicles!$A$2:$A$5,0)))</f>
        <v/>
      </c>
      <c r="H118" t="inlineStr">
        <is>
          <t>fuel</t>
        </is>
      </c>
    </row>
    <row r="119">
      <c r="A119" s="5">
        <f>fillups!A119</f>
        <v/>
      </c>
      <c r="B119" s="5">
        <f>LEFT(fillups!C119,10)</f>
        <v/>
      </c>
      <c r="C119" t="inlineStr">
        <is>
          <t>fuel</t>
        </is>
      </c>
      <c r="D119" t="inlineStr">
        <is>
          <t>fillups</t>
        </is>
      </c>
      <c r="E119" s="21">
        <f>fillups!H119</f>
        <v/>
      </c>
      <c r="F119">
        <f>IF(B119="","",LEFT(B119,4))</f>
        <v/>
      </c>
      <c r="G119">
        <f>IF(A119="","",INDEX(vehicles!$I$2:$I$5,MATCH(A119,vehicles!$A$2:$A$5,0)))</f>
        <v/>
      </c>
      <c r="H119" t="inlineStr">
        <is>
          <t>fuel</t>
        </is>
      </c>
    </row>
    <row r="120">
      <c r="A120" s="5">
        <f>fillups!A120</f>
        <v/>
      </c>
      <c r="B120" s="5">
        <f>LEFT(fillups!C120,10)</f>
        <v/>
      </c>
      <c r="C120" t="inlineStr">
        <is>
          <t>fuel</t>
        </is>
      </c>
      <c r="D120" t="inlineStr">
        <is>
          <t>fillups</t>
        </is>
      </c>
      <c r="E120" s="21">
        <f>fillups!H120</f>
        <v/>
      </c>
      <c r="F120">
        <f>IF(B120="","",LEFT(B120,4))</f>
        <v/>
      </c>
      <c r="G120">
        <f>IF(A120="","",INDEX(vehicles!$I$2:$I$5,MATCH(A120,vehicles!$A$2:$A$5,0)))</f>
        <v/>
      </c>
      <c r="H120" t="inlineStr">
        <is>
          <t>fuel</t>
        </is>
      </c>
    </row>
    <row r="121">
      <c r="A121" s="5">
        <f>fillups!A121</f>
        <v/>
      </c>
      <c r="B121" s="5">
        <f>LEFT(fillups!C121,10)</f>
        <v/>
      </c>
      <c r="C121" t="inlineStr">
        <is>
          <t>fuel</t>
        </is>
      </c>
      <c r="D121" t="inlineStr">
        <is>
          <t>fillups</t>
        </is>
      </c>
      <c r="E121" s="21">
        <f>fillups!H121</f>
        <v/>
      </c>
      <c r="F121">
        <f>IF(B121="","",LEFT(B121,4))</f>
        <v/>
      </c>
      <c r="G121">
        <f>IF(A121="","",INDEX(vehicles!$I$2:$I$5,MATCH(A121,vehicles!$A$2:$A$5,0)))</f>
        <v/>
      </c>
      <c r="H121" t="inlineStr">
        <is>
          <t>fuel</t>
        </is>
      </c>
    </row>
    <row r="122">
      <c r="A122" s="5">
        <f>fillups!A122</f>
        <v/>
      </c>
      <c r="B122" s="5">
        <f>LEFT(fillups!C122,10)</f>
        <v/>
      </c>
      <c r="C122" t="inlineStr">
        <is>
          <t>fuel</t>
        </is>
      </c>
      <c r="D122" t="inlineStr">
        <is>
          <t>fillups</t>
        </is>
      </c>
      <c r="E122" s="21">
        <f>fillups!H122</f>
        <v/>
      </c>
      <c r="F122">
        <f>IF(B122="","",LEFT(B122,4))</f>
        <v/>
      </c>
      <c r="G122">
        <f>IF(A122="","",INDEX(vehicles!$I$2:$I$5,MATCH(A122,vehicles!$A$2:$A$5,0)))</f>
        <v/>
      </c>
      <c r="H122" t="inlineStr">
        <is>
          <t>fuel</t>
        </is>
      </c>
    </row>
    <row r="123">
      <c r="A123" s="5">
        <f>fillups!A123</f>
        <v/>
      </c>
      <c r="B123" s="5">
        <f>LEFT(fillups!C123,10)</f>
        <v/>
      </c>
      <c r="C123" t="inlineStr">
        <is>
          <t>fuel</t>
        </is>
      </c>
      <c r="D123" t="inlineStr">
        <is>
          <t>fillups</t>
        </is>
      </c>
      <c r="E123" s="21">
        <f>fillups!H123</f>
        <v/>
      </c>
      <c r="F123">
        <f>IF(B123="","",LEFT(B123,4))</f>
        <v/>
      </c>
      <c r="G123">
        <f>IF(A123="","",INDEX(vehicles!$I$2:$I$5,MATCH(A123,vehicles!$A$2:$A$5,0)))</f>
        <v/>
      </c>
      <c r="H123" t="inlineStr">
        <is>
          <t>fuel</t>
        </is>
      </c>
    </row>
    <row r="124">
      <c r="A124" s="5">
        <f>fillups!A124</f>
        <v/>
      </c>
      <c r="B124" s="5">
        <f>LEFT(fillups!C124,10)</f>
        <v/>
      </c>
      <c r="C124" t="inlineStr">
        <is>
          <t>fuel</t>
        </is>
      </c>
      <c r="D124" t="inlineStr">
        <is>
          <t>fillups</t>
        </is>
      </c>
      <c r="E124" s="21">
        <f>fillups!H124</f>
        <v/>
      </c>
      <c r="F124">
        <f>IF(B124="","",LEFT(B124,4))</f>
        <v/>
      </c>
      <c r="G124">
        <f>IF(A124="","",INDEX(vehicles!$I$2:$I$5,MATCH(A124,vehicles!$A$2:$A$5,0)))</f>
        <v/>
      </c>
      <c r="H124" t="inlineStr">
        <is>
          <t>fuel</t>
        </is>
      </c>
    </row>
    <row r="125">
      <c r="A125" s="5">
        <f>fillups!A125</f>
        <v/>
      </c>
      <c r="B125" s="5">
        <f>LEFT(fillups!C125,10)</f>
        <v/>
      </c>
      <c r="C125" t="inlineStr">
        <is>
          <t>fuel</t>
        </is>
      </c>
      <c r="D125" t="inlineStr">
        <is>
          <t>fillups</t>
        </is>
      </c>
      <c r="E125" s="21">
        <f>fillups!H125</f>
        <v/>
      </c>
      <c r="F125">
        <f>IF(B125="","",LEFT(B125,4))</f>
        <v/>
      </c>
      <c r="G125">
        <f>IF(A125="","",INDEX(vehicles!$I$2:$I$5,MATCH(A125,vehicles!$A$2:$A$5,0)))</f>
        <v/>
      </c>
      <c r="H125" t="inlineStr">
        <is>
          <t>fuel</t>
        </is>
      </c>
    </row>
    <row r="126">
      <c r="A126" s="5">
        <f>fillups!A126</f>
        <v/>
      </c>
      <c r="B126" s="5">
        <f>LEFT(fillups!C126,10)</f>
        <v/>
      </c>
      <c r="C126" t="inlineStr">
        <is>
          <t>fuel</t>
        </is>
      </c>
      <c r="D126" t="inlineStr">
        <is>
          <t>fillups</t>
        </is>
      </c>
      <c r="E126" s="21">
        <f>fillups!H126</f>
        <v/>
      </c>
      <c r="F126">
        <f>IF(B126="","",LEFT(B126,4))</f>
        <v/>
      </c>
      <c r="G126">
        <f>IF(A126="","",INDEX(vehicles!$I$2:$I$5,MATCH(A126,vehicles!$A$2:$A$5,0)))</f>
        <v/>
      </c>
      <c r="H126" t="inlineStr">
        <is>
          <t>fuel</t>
        </is>
      </c>
    </row>
    <row r="127">
      <c r="A127" s="5">
        <f>fillups!A127</f>
        <v/>
      </c>
      <c r="B127" s="5">
        <f>LEFT(fillups!C127,10)</f>
        <v/>
      </c>
      <c r="C127" t="inlineStr">
        <is>
          <t>fuel</t>
        </is>
      </c>
      <c r="D127" t="inlineStr">
        <is>
          <t>fillups</t>
        </is>
      </c>
      <c r="E127" s="21">
        <f>fillups!H127</f>
        <v/>
      </c>
      <c r="F127">
        <f>IF(B127="","",LEFT(B127,4))</f>
        <v/>
      </c>
      <c r="G127">
        <f>IF(A127="","",INDEX(vehicles!$I$2:$I$5,MATCH(A127,vehicles!$A$2:$A$5,0)))</f>
        <v/>
      </c>
      <c r="H127" t="inlineStr">
        <is>
          <t>fuel</t>
        </is>
      </c>
    </row>
    <row r="128">
      <c r="A128" s="5">
        <f>fillups!A128</f>
        <v/>
      </c>
      <c r="B128" s="5">
        <f>LEFT(fillups!C128,10)</f>
        <v/>
      </c>
      <c r="C128" t="inlineStr">
        <is>
          <t>fuel</t>
        </is>
      </c>
      <c r="D128" t="inlineStr">
        <is>
          <t>fillups</t>
        </is>
      </c>
      <c r="E128" s="21">
        <f>fillups!H128</f>
        <v/>
      </c>
      <c r="F128">
        <f>IF(B128="","",LEFT(B128,4))</f>
        <v/>
      </c>
      <c r="G128">
        <f>IF(A128="","",INDEX(vehicles!$I$2:$I$5,MATCH(A128,vehicles!$A$2:$A$5,0)))</f>
        <v/>
      </c>
      <c r="H128" t="inlineStr">
        <is>
          <t>fuel</t>
        </is>
      </c>
    </row>
    <row r="129">
      <c r="A129" s="5">
        <f>fillups!A129</f>
        <v/>
      </c>
      <c r="B129" s="5">
        <f>LEFT(fillups!C129,10)</f>
        <v/>
      </c>
      <c r="C129" t="inlineStr">
        <is>
          <t>fuel</t>
        </is>
      </c>
      <c r="D129" t="inlineStr">
        <is>
          <t>fillups</t>
        </is>
      </c>
      <c r="E129" s="21">
        <f>fillups!H129</f>
        <v/>
      </c>
      <c r="F129">
        <f>IF(B129="","",LEFT(B129,4))</f>
        <v/>
      </c>
      <c r="G129">
        <f>IF(A129="","",INDEX(vehicles!$I$2:$I$5,MATCH(A129,vehicles!$A$2:$A$5,0)))</f>
        <v/>
      </c>
      <c r="H129" t="inlineStr">
        <is>
          <t>fuel</t>
        </is>
      </c>
    </row>
    <row r="130">
      <c r="A130" s="5">
        <f>fillups!A130</f>
        <v/>
      </c>
      <c r="B130" s="5">
        <f>LEFT(fillups!C130,10)</f>
        <v/>
      </c>
      <c r="C130" t="inlineStr">
        <is>
          <t>fuel</t>
        </is>
      </c>
      <c r="D130" t="inlineStr">
        <is>
          <t>fillups</t>
        </is>
      </c>
      <c r="E130" s="21">
        <f>fillups!H130</f>
        <v/>
      </c>
      <c r="F130">
        <f>IF(B130="","",LEFT(B130,4))</f>
        <v/>
      </c>
      <c r="G130">
        <f>IF(A130="","",INDEX(vehicles!$I$2:$I$5,MATCH(A130,vehicles!$A$2:$A$5,0)))</f>
        <v/>
      </c>
      <c r="H130" t="inlineStr">
        <is>
          <t>fuel</t>
        </is>
      </c>
    </row>
    <row r="131">
      <c r="A131" s="5">
        <f>fillups!A131</f>
        <v/>
      </c>
      <c r="B131" s="5">
        <f>LEFT(fillups!C131,10)</f>
        <v/>
      </c>
      <c r="C131" t="inlineStr">
        <is>
          <t>fuel</t>
        </is>
      </c>
      <c r="D131" t="inlineStr">
        <is>
          <t>fillups</t>
        </is>
      </c>
      <c r="E131" s="21">
        <f>fillups!H131</f>
        <v/>
      </c>
      <c r="F131">
        <f>IF(B131="","",LEFT(B131,4))</f>
        <v/>
      </c>
      <c r="G131">
        <f>IF(A131="","",INDEX(vehicles!$I$2:$I$5,MATCH(A131,vehicles!$A$2:$A$5,0)))</f>
        <v/>
      </c>
      <c r="H131" t="inlineStr">
        <is>
          <t>fuel</t>
        </is>
      </c>
    </row>
    <row r="132">
      <c r="A132" s="5">
        <f>fillups!A132</f>
        <v/>
      </c>
      <c r="B132" s="5">
        <f>LEFT(fillups!C132,10)</f>
        <v/>
      </c>
      <c r="C132" t="inlineStr">
        <is>
          <t>fuel</t>
        </is>
      </c>
      <c r="D132" t="inlineStr">
        <is>
          <t>fillups</t>
        </is>
      </c>
      <c r="E132" s="21">
        <f>fillups!H132</f>
        <v/>
      </c>
      <c r="F132">
        <f>IF(B132="","",LEFT(B132,4))</f>
        <v/>
      </c>
      <c r="G132">
        <f>IF(A132="","",INDEX(vehicles!$I$2:$I$5,MATCH(A132,vehicles!$A$2:$A$5,0)))</f>
        <v/>
      </c>
      <c r="H132" t="inlineStr">
        <is>
          <t>fuel</t>
        </is>
      </c>
    </row>
    <row r="133">
      <c r="A133" s="5">
        <f>fillups!A133</f>
        <v/>
      </c>
      <c r="B133" s="5">
        <f>LEFT(fillups!C133,10)</f>
        <v/>
      </c>
      <c r="C133" t="inlineStr">
        <is>
          <t>fuel</t>
        </is>
      </c>
      <c r="D133" t="inlineStr">
        <is>
          <t>fillups</t>
        </is>
      </c>
      <c r="E133" s="21">
        <f>fillups!H133</f>
        <v/>
      </c>
      <c r="F133">
        <f>IF(B133="","",LEFT(B133,4))</f>
        <v/>
      </c>
      <c r="G133">
        <f>IF(A133="","",INDEX(vehicles!$I$2:$I$5,MATCH(A133,vehicles!$A$2:$A$5,0)))</f>
        <v/>
      </c>
      <c r="H133" t="inlineStr">
        <is>
          <t>fuel</t>
        </is>
      </c>
    </row>
    <row r="134">
      <c r="A134" s="5">
        <f>fillups!A134</f>
        <v/>
      </c>
      <c r="B134" s="5">
        <f>LEFT(fillups!C134,10)</f>
        <v/>
      </c>
      <c r="C134" t="inlineStr">
        <is>
          <t>fuel</t>
        </is>
      </c>
      <c r="D134" t="inlineStr">
        <is>
          <t>fillups</t>
        </is>
      </c>
      <c r="E134" s="21">
        <f>fillups!H134</f>
        <v/>
      </c>
      <c r="F134">
        <f>IF(B134="","",LEFT(B134,4))</f>
        <v/>
      </c>
      <c r="G134">
        <f>IF(A134="","",INDEX(vehicles!$I$2:$I$5,MATCH(A134,vehicles!$A$2:$A$5,0)))</f>
        <v/>
      </c>
      <c r="H134" t="inlineStr">
        <is>
          <t>fuel</t>
        </is>
      </c>
    </row>
    <row r="135">
      <c r="A135" s="5">
        <f>fillups!A135</f>
        <v/>
      </c>
      <c r="B135" s="5">
        <f>LEFT(fillups!C135,10)</f>
        <v/>
      </c>
      <c r="C135" t="inlineStr">
        <is>
          <t>fuel</t>
        </is>
      </c>
      <c r="D135" t="inlineStr">
        <is>
          <t>fillups</t>
        </is>
      </c>
      <c r="E135" s="21">
        <f>fillups!H135</f>
        <v/>
      </c>
      <c r="F135">
        <f>IF(B135="","",LEFT(B135,4))</f>
        <v/>
      </c>
      <c r="G135">
        <f>IF(A135="","",INDEX(vehicles!$I$2:$I$5,MATCH(A135,vehicles!$A$2:$A$5,0)))</f>
        <v/>
      </c>
      <c r="H135" t="inlineStr">
        <is>
          <t>fuel</t>
        </is>
      </c>
    </row>
    <row r="136">
      <c r="A136" s="5">
        <f>fillups!A136</f>
        <v/>
      </c>
      <c r="B136" s="5">
        <f>LEFT(fillups!C136,10)</f>
        <v/>
      </c>
      <c r="C136" t="inlineStr">
        <is>
          <t>fuel</t>
        </is>
      </c>
      <c r="D136" t="inlineStr">
        <is>
          <t>fillups</t>
        </is>
      </c>
      <c r="E136" s="21">
        <f>fillups!H136</f>
        <v/>
      </c>
      <c r="F136">
        <f>IF(B136="","",LEFT(B136,4))</f>
        <v/>
      </c>
      <c r="G136">
        <f>IF(A136="","",INDEX(vehicles!$I$2:$I$5,MATCH(A136,vehicles!$A$2:$A$5,0)))</f>
        <v/>
      </c>
      <c r="H136" t="inlineStr">
        <is>
          <t>fuel</t>
        </is>
      </c>
    </row>
    <row r="137">
      <c r="A137" s="5">
        <f>fillups!A137</f>
        <v/>
      </c>
      <c r="B137" s="5">
        <f>LEFT(fillups!C137,10)</f>
        <v/>
      </c>
      <c r="C137" t="inlineStr">
        <is>
          <t>fuel</t>
        </is>
      </c>
      <c r="D137" t="inlineStr">
        <is>
          <t>fillups</t>
        </is>
      </c>
      <c r="E137" s="21">
        <f>fillups!H137</f>
        <v/>
      </c>
      <c r="F137">
        <f>IF(B137="","",LEFT(B137,4))</f>
        <v/>
      </c>
      <c r="G137">
        <f>IF(A137="","",INDEX(vehicles!$I$2:$I$5,MATCH(A137,vehicles!$A$2:$A$5,0)))</f>
        <v/>
      </c>
      <c r="H137" t="inlineStr">
        <is>
          <t>fuel</t>
        </is>
      </c>
    </row>
    <row r="138">
      <c r="A138" s="5">
        <f>fillups!A138</f>
        <v/>
      </c>
      <c r="B138" s="5">
        <f>LEFT(fillups!C138,10)</f>
        <v/>
      </c>
      <c r="C138" t="inlineStr">
        <is>
          <t>fuel</t>
        </is>
      </c>
      <c r="D138" t="inlineStr">
        <is>
          <t>fillups</t>
        </is>
      </c>
      <c r="E138" s="21">
        <f>fillups!H138</f>
        <v/>
      </c>
      <c r="F138">
        <f>IF(B138="","",LEFT(B138,4))</f>
        <v/>
      </c>
      <c r="G138">
        <f>IF(A138="","",INDEX(vehicles!$I$2:$I$5,MATCH(A138,vehicles!$A$2:$A$5,0)))</f>
        <v/>
      </c>
      <c r="H138" t="inlineStr">
        <is>
          <t>fuel</t>
        </is>
      </c>
    </row>
    <row r="139">
      <c r="A139" s="5">
        <f>fillups!A139</f>
        <v/>
      </c>
      <c r="B139" s="5">
        <f>LEFT(fillups!C139,10)</f>
        <v/>
      </c>
      <c r="C139" t="inlineStr">
        <is>
          <t>fuel</t>
        </is>
      </c>
      <c r="D139" t="inlineStr">
        <is>
          <t>fillups</t>
        </is>
      </c>
      <c r="E139" s="21">
        <f>fillups!H139</f>
        <v/>
      </c>
      <c r="F139">
        <f>IF(B139="","",LEFT(B139,4))</f>
        <v/>
      </c>
      <c r="G139">
        <f>IF(A139="","",INDEX(vehicles!$I$2:$I$5,MATCH(A139,vehicles!$A$2:$A$5,0)))</f>
        <v/>
      </c>
      <c r="H139" t="inlineStr">
        <is>
          <t>fuel</t>
        </is>
      </c>
    </row>
    <row r="140">
      <c r="A140" s="5">
        <f>fillups!A140</f>
        <v/>
      </c>
      <c r="B140" s="5">
        <f>LEFT(fillups!C140,10)</f>
        <v/>
      </c>
      <c r="C140" t="inlineStr">
        <is>
          <t>fuel</t>
        </is>
      </c>
      <c r="D140" t="inlineStr">
        <is>
          <t>fillups</t>
        </is>
      </c>
      <c r="E140" s="21">
        <f>fillups!H140</f>
        <v/>
      </c>
      <c r="F140">
        <f>IF(B140="","",LEFT(B140,4))</f>
        <v/>
      </c>
      <c r="G140">
        <f>IF(A140="","",INDEX(vehicles!$I$2:$I$5,MATCH(A140,vehicles!$A$2:$A$5,0)))</f>
        <v/>
      </c>
      <c r="H140" t="inlineStr">
        <is>
          <t>fuel</t>
        </is>
      </c>
    </row>
    <row r="141">
      <c r="A141" s="5">
        <f>fillups!A141</f>
        <v/>
      </c>
      <c r="B141" s="5">
        <f>LEFT(fillups!C141,10)</f>
        <v/>
      </c>
      <c r="C141" t="inlineStr">
        <is>
          <t>fuel</t>
        </is>
      </c>
      <c r="D141" t="inlineStr">
        <is>
          <t>fillups</t>
        </is>
      </c>
      <c r="E141" s="21">
        <f>fillups!H141</f>
        <v/>
      </c>
      <c r="F141">
        <f>IF(B141="","",LEFT(B141,4))</f>
        <v/>
      </c>
      <c r="G141">
        <f>IF(A141="","",INDEX(vehicles!$I$2:$I$5,MATCH(A141,vehicles!$A$2:$A$5,0)))</f>
        <v/>
      </c>
      <c r="H141" t="inlineStr">
        <is>
          <t>fuel</t>
        </is>
      </c>
    </row>
    <row r="142">
      <c r="A142" s="5">
        <f>fillups!A142</f>
        <v/>
      </c>
      <c r="B142" s="5">
        <f>LEFT(fillups!C142,10)</f>
        <v/>
      </c>
      <c r="C142" t="inlineStr">
        <is>
          <t>fuel</t>
        </is>
      </c>
      <c r="D142" t="inlineStr">
        <is>
          <t>fillups</t>
        </is>
      </c>
      <c r="E142" s="21">
        <f>fillups!H142</f>
        <v/>
      </c>
      <c r="F142">
        <f>IF(B142="","",LEFT(B142,4))</f>
        <v/>
      </c>
      <c r="G142">
        <f>IF(A142="","",INDEX(vehicles!$I$2:$I$5,MATCH(A142,vehicles!$A$2:$A$5,0)))</f>
        <v/>
      </c>
      <c r="H142" t="inlineStr">
        <is>
          <t>fuel</t>
        </is>
      </c>
    </row>
    <row r="143">
      <c r="A143" s="5">
        <f>fillups!A143</f>
        <v/>
      </c>
      <c r="B143" s="5">
        <f>LEFT(fillups!C143,10)</f>
        <v/>
      </c>
      <c r="C143" t="inlineStr">
        <is>
          <t>fuel</t>
        </is>
      </c>
      <c r="D143" t="inlineStr">
        <is>
          <t>fillups</t>
        </is>
      </c>
      <c r="E143" s="21">
        <f>fillups!H143</f>
        <v/>
      </c>
      <c r="F143">
        <f>IF(B143="","",LEFT(B143,4))</f>
        <v/>
      </c>
      <c r="G143">
        <f>IF(A143="","",INDEX(vehicles!$I$2:$I$5,MATCH(A143,vehicles!$A$2:$A$5,0)))</f>
        <v/>
      </c>
      <c r="H143" t="inlineStr">
        <is>
          <t>fuel</t>
        </is>
      </c>
    </row>
    <row r="144">
      <c r="A144" s="5">
        <f>fillups!A144</f>
        <v/>
      </c>
      <c r="B144" s="5">
        <f>LEFT(fillups!C144,10)</f>
        <v/>
      </c>
      <c r="C144" t="inlineStr">
        <is>
          <t>fuel</t>
        </is>
      </c>
      <c r="D144" t="inlineStr">
        <is>
          <t>fillups</t>
        </is>
      </c>
      <c r="E144" s="21">
        <f>fillups!H144</f>
        <v/>
      </c>
      <c r="F144">
        <f>IF(B144="","",LEFT(B144,4))</f>
        <v/>
      </c>
      <c r="G144">
        <f>IF(A144="","",INDEX(vehicles!$I$2:$I$5,MATCH(A144,vehicles!$A$2:$A$5,0)))</f>
        <v/>
      </c>
      <c r="H144" t="inlineStr">
        <is>
          <t>fuel</t>
        </is>
      </c>
    </row>
    <row r="145">
      <c r="A145" s="5">
        <f>fillups!A145</f>
        <v/>
      </c>
      <c r="B145" s="5">
        <f>LEFT(fillups!C145,10)</f>
        <v/>
      </c>
      <c r="C145" t="inlineStr">
        <is>
          <t>fuel</t>
        </is>
      </c>
      <c r="D145" t="inlineStr">
        <is>
          <t>fillups</t>
        </is>
      </c>
      <c r="E145" s="21">
        <f>fillups!H145</f>
        <v/>
      </c>
      <c r="F145">
        <f>IF(B145="","",LEFT(B145,4))</f>
        <v/>
      </c>
      <c r="G145">
        <f>IF(A145="","",INDEX(vehicles!$I$2:$I$5,MATCH(A145,vehicles!$A$2:$A$5,0)))</f>
        <v/>
      </c>
      <c r="H145" t="inlineStr">
        <is>
          <t>fuel</t>
        </is>
      </c>
    </row>
    <row r="146">
      <c r="A146" s="5">
        <f>fillups!A146</f>
        <v/>
      </c>
      <c r="B146" s="5">
        <f>LEFT(fillups!C146,10)</f>
        <v/>
      </c>
      <c r="C146" t="inlineStr">
        <is>
          <t>fuel</t>
        </is>
      </c>
      <c r="D146" t="inlineStr">
        <is>
          <t>fillups</t>
        </is>
      </c>
      <c r="E146" s="21">
        <f>fillups!H146</f>
        <v/>
      </c>
      <c r="F146">
        <f>IF(B146="","",LEFT(B146,4))</f>
        <v/>
      </c>
      <c r="G146">
        <f>IF(A146="","",INDEX(vehicles!$I$2:$I$5,MATCH(A146,vehicles!$A$2:$A$5,0)))</f>
        <v/>
      </c>
      <c r="H146" t="inlineStr">
        <is>
          <t>fuel</t>
        </is>
      </c>
    </row>
    <row r="147">
      <c r="A147" s="5">
        <f>fillups!A147</f>
        <v/>
      </c>
      <c r="B147" s="5">
        <f>LEFT(fillups!C147,10)</f>
        <v/>
      </c>
      <c r="C147" t="inlineStr">
        <is>
          <t>fuel</t>
        </is>
      </c>
      <c r="D147" t="inlineStr">
        <is>
          <t>fillups</t>
        </is>
      </c>
      <c r="E147" s="21">
        <f>fillups!H147</f>
        <v/>
      </c>
      <c r="F147">
        <f>IF(B147="","",LEFT(B147,4))</f>
        <v/>
      </c>
      <c r="G147">
        <f>IF(A147="","",INDEX(vehicles!$I$2:$I$5,MATCH(A147,vehicles!$A$2:$A$5,0)))</f>
        <v/>
      </c>
      <c r="H147" t="inlineStr">
        <is>
          <t>fuel</t>
        </is>
      </c>
    </row>
    <row r="148">
      <c r="A148" s="5">
        <f>fillups!A148</f>
        <v/>
      </c>
      <c r="B148" s="5">
        <f>LEFT(fillups!C148,10)</f>
        <v/>
      </c>
      <c r="C148" t="inlineStr">
        <is>
          <t>fuel</t>
        </is>
      </c>
      <c r="D148" t="inlineStr">
        <is>
          <t>fillups</t>
        </is>
      </c>
      <c r="E148" s="21">
        <f>fillups!H148</f>
        <v/>
      </c>
      <c r="F148">
        <f>IF(B148="","",LEFT(B148,4))</f>
        <v/>
      </c>
      <c r="G148">
        <f>IF(A148="","",INDEX(vehicles!$I$2:$I$5,MATCH(A148,vehicles!$A$2:$A$5,0)))</f>
        <v/>
      </c>
      <c r="H148" t="inlineStr">
        <is>
          <t>fuel</t>
        </is>
      </c>
    </row>
    <row r="149">
      <c r="A149" s="5">
        <f>fillups!A149</f>
        <v/>
      </c>
      <c r="B149" s="5">
        <f>LEFT(fillups!C149,10)</f>
        <v/>
      </c>
      <c r="C149" t="inlineStr">
        <is>
          <t>fuel</t>
        </is>
      </c>
      <c r="D149" t="inlineStr">
        <is>
          <t>fillups</t>
        </is>
      </c>
      <c r="E149" s="21">
        <f>fillups!H149</f>
        <v/>
      </c>
      <c r="F149">
        <f>IF(B149="","",LEFT(B149,4))</f>
        <v/>
      </c>
      <c r="G149">
        <f>IF(A149="","",INDEX(vehicles!$I$2:$I$5,MATCH(A149,vehicles!$A$2:$A$5,0)))</f>
        <v/>
      </c>
      <c r="H149" t="inlineStr">
        <is>
          <t>fuel</t>
        </is>
      </c>
    </row>
    <row r="150">
      <c r="A150" s="5">
        <f>fillups!A150</f>
        <v/>
      </c>
      <c r="B150" s="5">
        <f>LEFT(fillups!C150,10)</f>
        <v/>
      </c>
      <c r="C150" t="inlineStr">
        <is>
          <t>fuel</t>
        </is>
      </c>
      <c r="D150" t="inlineStr">
        <is>
          <t>fillups</t>
        </is>
      </c>
      <c r="E150" s="21">
        <f>fillups!H150</f>
        <v/>
      </c>
      <c r="F150">
        <f>IF(B150="","",LEFT(B150,4))</f>
        <v/>
      </c>
      <c r="G150">
        <f>IF(A150="","",INDEX(vehicles!$I$2:$I$5,MATCH(A150,vehicles!$A$2:$A$5,0)))</f>
        <v/>
      </c>
      <c r="H150" t="inlineStr">
        <is>
          <t>fuel</t>
        </is>
      </c>
    </row>
    <row r="151">
      <c r="A151" s="5">
        <f>fillups!A151</f>
        <v/>
      </c>
      <c r="B151" s="5">
        <f>LEFT(fillups!C151,10)</f>
        <v/>
      </c>
      <c r="C151" t="inlineStr">
        <is>
          <t>fuel</t>
        </is>
      </c>
      <c r="D151" t="inlineStr">
        <is>
          <t>fillups</t>
        </is>
      </c>
      <c r="E151" s="21">
        <f>fillups!H151</f>
        <v/>
      </c>
      <c r="F151">
        <f>IF(B151="","",LEFT(B151,4))</f>
        <v/>
      </c>
      <c r="G151">
        <f>IF(A151="","",INDEX(vehicles!$I$2:$I$5,MATCH(A151,vehicles!$A$2:$A$5,0)))</f>
        <v/>
      </c>
      <c r="H151" t="inlineStr">
        <is>
          <t>fuel</t>
        </is>
      </c>
    </row>
    <row r="152">
      <c r="A152" s="5">
        <f>fillups!A152</f>
        <v/>
      </c>
      <c r="B152" s="5">
        <f>LEFT(fillups!C152,10)</f>
        <v/>
      </c>
      <c r="C152" t="inlineStr">
        <is>
          <t>fuel</t>
        </is>
      </c>
      <c r="D152" t="inlineStr">
        <is>
          <t>fillups</t>
        </is>
      </c>
      <c r="E152" s="21">
        <f>fillups!H152</f>
        <v/>
      </c>
      <c r="F152">
        <f>IF(B152="","",LEFT(B152,4))</f>
        <v/>
      </c>
      <c r="G152">
        <f>IF(A152="","",INDEX(vehicles!$I$2:$I$5,MATCH(A152,vehicles!$A$2:$A$5,0)))</f>
        <v/>
      </c>
      <c r="H152" t="inlineStr">
        <is>
          <t>fuel</t>
        </is>
      </c>
    </row>
    <row r="153">
      <c r="A153" s="5">
        <f>fillups!A153</f>
        <v/>
      </c>
      <c r="B153" s="5">
        <f>LEFT(fillups!C153,10)</f>
        <v/>
      </c>
      <c r="C153" t="inlineStr">
        <is>
          <t>fuel</t>
        </is>
      </c>
      <c r="D153" t="inlineStr">
        <is>
          <t>fillups</t>
        </is>
      </c>
      <c r="E153" s="21">
        <f>fillups!H153</f>
        <v/>
      </c>
      <c r="F153">
        <f>IF(B153="","",LEFT(B153,4))</f>
        <v/>
      </c>
      <c r="G153">
        <f>IF(A153="","",INDEX(vehicles!$I$2:$I$5,MATCH(A153,vehicles!$A$2:$A$5,0)))</f>
        <v/>
      </c>
      <c r="H153" t="inlineStr">
        <is>
          <t>fuel</t>
        </is>
      </c>
    </row>
    <row r="154">
      <c r="A154" s="5">
        <f>fillups!A154</f>
        <v/>
      </c>
      <c r="B154" s="5">
        <f>LEFT(fillups!C154,10)</f>
        <v/>
      </c>
      <c r="C154" t="inlineStr">
        <is>
          <t>fuel</t>
        </is>
      </c>
      <c r="D154" t="inlineStr">
        <is>
          <t>fillups</t>
        </is>
      </c>
      <c r="E154" s="21">
        <f>fillups!H154</f>
        <v/>
      </c>
      <c r="F154">
        <f>IF(B154="","",LEFT(B154,4))</f>
        <v/>
      </c>
      <c r="G154">
        <f>IF(A154="","",INDEX(vehicles!$I$2:$I$5,MATCH(A154,vehicles!$A$2:$A$5,0)))</f>
        <v/>
      </c>
      <c r="H154" t="inlineStr">
        <is>
          <t>fuel</t>
        </is>
      </c>
    </row>
    <row r="155">
      <c r="A155" s="5">
        <f>fillups!A155</f>
        <v/>
      </c>
      <c r="B155" s="5">
        <f>LEFT(fillups!C155,10)</f>
        <v/>
      </c>
      <c r="C155" t="inlineStr">
        <is>
          <t>fuel</t>
        </is>
      </c>
      <c r="D155" t="inlineStr">
        <is>
          <t>fillups</t>
        </is>
      </c>
      <c r="E155" s="21">
        <f>fillups!H155</f>
        <v/>
      </c>
      <c r="F155">
        <f>IF(B155="","",LEFT(B155,4))</f>
        <v/>
      </c>
      <c r="G155">
        <f>IF(A155="","",INDEX(vehicles!$I$2:$I$5,MATCH(A155,vehicles!$A$2:$A$5,0)))</f>
        <v/>
      </c>
      <c r="H155" t="inlineStr">
        <is>
          <t>fuel</t>
        </is>
      </c>
    </row>
    <row r="156">
      <c r="A156" s="5">
        <f>fillups!A156</f>
        <v/>
      </c>
      <c r="B156" s="5">
        <f>LEFT(fillups!C156,10)</f>
        <v/>
      </c>
      <c r="C156" t="inlineStr">
        <is>
          <t>fuel</t>
        </is>
      </c>
      <c r="D156" t="inlineStr">
        <is>
          <t>fillups</t>
        </is>
      </c>
      <c r="E156" s="21">
        <f>fillups!H156</f>
        <v/>
      </c>
      <c r="F156">
        <f>IF(B156="","",LEFT(B156,4))</f>
        <v/>
      </c>
      <c r="G156">
        <f>IF(A156="","",INDEX(vehicles!$I$2:$I$5,MATCH(A156,vehicles!$A$2:$A$5,0)))</f>
        <v/>
      </c>
      <c r="H156" t="inlineStr">
        <is>
          <t>fuel</t>
        </is>
      </c>
    </row>
    <row r="157">
      <c r="A157" s="5">
        <f>fillups!A157</f>
        <v/>
      </c>
      <c r="B157" s="5">
        <f>LEFT(fillups!C157,10)</f>
        <v/>
      </c>
      <c r="C157" t="inlineStr">
        <is>
          <t>fuel</t>
        </is>
      </c>
      <c r="D157" t="inlineStr">
        <is>
          <t>fillups</t>
        </is>
      </c>
      <c r="E157" s="21">
        <f>fillups!H157</f>
        <v/>
      </c>
      <c r="F157">
        <f>IF(B157="","",LEFT(B157,4))</f>
        <v/>
      </c>
      <c r="G157">
        <f>IF(A157="","",INDEX(vehicles!$I$2:$I$5,MATCH(A157,vehicles!$A$2:$A$5,0)))</f>
        <v/>
      </c>
      <c r="H157" t="inlineStr">
        <is>
          <t>fuel</t>
        </is>
      </c>
    </row>
    <row r="158">
      <c r="A158" s="5">
        <f>fillups!A158</f>
        <v/>
      </c>
      <c r="B158" s="5">
        <f>LEFT(fillups!C158,10)</f>
        <v/>
      </c>
      <c r="C158" t="inlineStr">
        <is>
          <t>fuel</t>
        </is>
      </c>
      <c r="D158" t="inlineStr">
        <is>
          <t>fillups</t>
        </is>
      </c>
      <c r="E158" s="21">
        <f>fillups!H158</f>
        <v/>
      </c>
      <c r="F158">
        <f>IF(B158="","",LEFT(B158,4))</f>
        <v/>
      </c>
      <c r="G158">
        <f>IF(A158="","",INDEX(vehicles!$I$2:$I$5,MATCH(A158,vehicles!$A$2:$A$5,0)))</f>
        <v/>
      </c>
      <c r="H158" t="inlineStr">
        <is>
          <t>fuel</t>
        </is>
      </c>
    </row>
    <row r="159">
      <c r="A159" s="5">
        <f>fillups!A159</f>
        <v/>
      </c>
      <c r="B159" s="5">
        <f>LEFT(fillups!C159,10)</f>
        <v/>
      </c>
      <c r="C159" t="inlineStr">
        <is>
          <t>fuel</t>
        </is>
      </c>
      <c r="D159" t="inlineStr">
        <is>
          <t>fillups</t>
        </is>
      </c>
      <c r="E159" s="21">
        <f>fillups!H159</f>
        <v/>
      </c>
      <c r="F159">
        <f>IF(B159="","",LEFT(B159,4))</f>
        <v/>
      </c>
      <c r="G159">
        <f>IF(A159="","",INDEX(vehicles!$I$2:$I$5,MATCH(A159,vehicles!$A$2:$A$5,0)))</f>
        <v/>
      </c>
      <c r="H159" t="inlineStr">
        <is>
          <t>fuel</t>
        </is>
      </c>
    </row>
    <row r="160">
      <c r="A160" s="5">
        <f>fillups!A160</f>
        <v/>
      </c>
      <c r="B160" s="5">
        <f>LEFT(fillups!C160,10)</f>
        <v/>
      </c>
      <c r="C160" t="inlineStr">
        <is>
          <t>fuel</t>
        </is>
      </c>
      <c r="D160" t="inlineStr">
        <is>
          <t>fillups</t>
        </is>
      </c>
      <c r="E160" s="21">
        <f>fillups!H160</f>
        <v/>
      </c>
      <c r="F160">
        <f>IF(B160="","",LEFT(B160,4))</f>
        <v/>
      </c>
      <c r="G160">
        <f>IF(A160="","",INDEX(vehicles!$I$2:$I$5,MATCH(A160,vehicles!$A$2:$A$5,0)))</f>
        <v/>
      </c>
      <c r="H160" t="inlineStr">
        <is>
          <t>fuel</t>
        </is>
      </c>
    </row>
    <row r="161">
      <c r="A161" s="5">
        <f>fillups!A161</f>
        <v/>
      </c>
      <c r="B161" s="5">
        <f>LEFT(fillups!C161,10)</f>
        <v/>
      </c>
      <c r="C161" t="inlineStr">
        <is>
          <t>fuel</t>
        </is>
      </c>
      <c r="D161" t="inlineStr">
        <is>
          <t>fillups</t>
        </is>
      </c>
      <c r="E161" s="21">
        <f>fillups!H161</f>
        <v/>
      </c>
      <c r="F161">
        <f>IF(B161="","",LEFT(B161,4))</f>
        <v/>
      </c>
      <c r="G161">
        <f>IF(A161="","",INDEX(vehicles!$I$2:$I$5,MATCH(A161,vehicles!$A$2:$A$5,0)))</f>
        <v/>
      </c>
      <c r="H161" t="inlineStr">
        <is>
          <t>fuel</t>
        </is>
      </c>
    </row>
    <row r="162">
      <c r="A162" s="5">
        <f>fillups!A162</f>
        <v/>
      </c>
      <c r="B162" s="5">
        <f>LEFT(fillups!C162,10)</f>
        <v/>
      </c>
      <c r="C162" t="inlineStr">
        <is>
          <t>fuel</t>
        </is>
      </c>
      <c r="D162" t="inlineStr">
        <is>
          <t>fillups</t>
        </is>
      </c>
      <c r="E162" s="21">
        <f>fillups!H162</f>
        <v/>
      </c>
      <c r="F162">
        <f>IF(B162="","",LEFT(B162,4))</f>
        <v/>
      </c>
      <c r="G162">
        <f>IF(A162="","",INDEX(vehicles!$I$2:$I$5,MATCH(A162,vehicles!$A$2:$A$5,0)))</f>
        <v/>
      </c>
      <c r="H162" t="inlineStr">
        <is>
          <t>fuel</t>
        </is>
      </c>
    </row>
    <row r="163">
      <c r="A163" s="5">
        <f>fillups!A163</f>
        <v/>
      </c>
      <c r="B163" s="5">
        <f>LEFT(fillups!C163,10)</f>
        <v/>
      </c>
      <c r="C163" t="inlineStr">
        <is>
          <t>fuel</t>
        </is>
      </c>
      <c r="D163" t="inlineStr">
        <is>
          <t>fillups</t>
        </is>
      </c>
      <c r="E163" s="21">
        <f>fillups!H163</f>
        <v/>
      </c>
      <c r="F163">
        <f>IF(B163="","",LEFT(B163,4))</f>
        <v/>
      </c>
      <c r="G163">
        <f>IF(A163="","",INDEX(vehicles!$I$2:$I$5,MATCH(A163,vehicles!$A$2:$A$5,0)))</f>
        <v/>
      </c>
      <c r="H163" t="inlineStr">
        <is>
          <t>fuel</t>
        </is>
      </c>
    </row>
    <row r="164">
      <c r="A164" s="5">
        <f>fillups!A164</f>
        <v/>
      </c>
      <c r="B164" s="5">
        <f>LEFT(fillups!C164,10)</f>
        <v/>
      </c>
      <c r="C164" t="inlineStr">
        <is>
          <t>fuel</t>
        </is>
      </c>
      <c r="D164" t="inlineStr">
        <is>
          <t>fillups</t>
        </is>
      </c>
      <c r="E164" s="21">
        <f>fillups!H164</f>
        <v/>
      </c>
      <c r="F164">
        <f>IF(B164="","",LEFT(B164,4))</f>
        <v/>
      </c>
      <c r="G164">
        <f>IF(A164="","",INDEX(vehicles!$I$2:$I$5,MATCH(A164,vehicles!$A$2:$A$5,0)))</f>
        <v/>
      </c>
      <c r="H164" t="inlineStr">
        <is>
          <t>fuel</t>
        </is>
      </c>
    </row>
    <row r="165">
      <c r="A165" s="5">
        <f>fillups!A165</f>
        <v/>
      </c>
      <c r="B165" s="5">
        <f>LEFT(fillups!C165,10)</f>
        <v/>
      </c>
      <c r="C165" t="inlineStr">
        <is>
          <t>fuel</t>
        </is>
      </c>
      <c r="D165" t="inlineStr">
        <is>
          <t>fillups</t>
        </is>
      </c>
      <c r="E165" s="21">
        <f>fillups!H165</f>
        <v/>
      </c>
      <c r="F165">
        <f>IF(B165="","",LEFT(B165,4))</f>
        <v/>
      </c>
      <c r="G165">
        <f>IF(A165="","",INDEX(vehicles!$I$2:$I$5,MATCH(A165,vehicles!$A$2:$A$5,0)))</f>
        <v/>
      </c>
      <c r="H165" t="inlineStr">
        <is>
          <t>fuel</t>
        </is>
      </c>
    </row>
    <row r="166">
      <c r="A166" s="5">
        <f>fillups!A166</f>
        <v/>
      </c>
      <c r="B166" s="5">
        <f>LEFT(fillups!C166,10)</f>
        <v/>
      </c>
      <c r="C166" t="inlineStr">
        <is>
          <t>fuel</t>
        </is>
      </c>
      <c r="D166" t="inlineStr">
        <is>
          <t>fillups</t>
        </is>
      </c>
      <c r="E166" s="21">
        <f>fillups!H166</f>
        <v/>
      </c>
      <c r="F166">
        <f>IF(B166="","",LEFT(B166,4))</f>
        <v/>
      </c>
      <c r="G166">
        <f>IF(A166="","",INDEX(vehicles!$I$2:$I$5,MATCH(A166,vehicles!$A$2:$A$5,0)))</f>
        <v/>
      </c>
      <c r="H166" t="inlineStr">
        <is>
          <t>fuel</t>
        </is>
      </c>
    </row>
    <row r="167">
      <c r="A167" s="5">
        <f>fillups!A167</f>
        <v/>
      </c>
      <c r="B167" s="5">
        <f>LEFT(fillups!C167,10)</f>
        <v/>
      </c>
      <c r="C167" t="inlineStr">
        <is>
          <t>fuel</t>
        </is>
      </c>
      <c r="D167" t="inlineStr">
        <is>
          <t>fillups</t>
        </is>
      </c>
      <c r="E167" s="21">
        <f>fillups!H167</f>
        <v/>
      </c>
      <c r="F167">
        <f>IF(B167="","",LEFT(B167,4))</f>
        <v/>
      </c>
      <c r="G167">
        <f>IF(A167="","",INDEX(vehicles!$I$2:$I$5,MATCH(A167,vehicles!$A$2:$A$5,0)))</f>
        <v/>
      </c>
      <c r="H167" t="inlineStr">
        <is>
          <t>fuel</t>
        </is>
      </c>
    </row>
    <row r="168">
      <c r="A168" s="5">
        <f>fillups!A168</f>
        <v/>
      </c>
      <c r="B168" s="5">
        <f>LEFT(fillups!C168,10)</f>
        <v/>
      </c>
      <c r="C168" t="inlineStr">
        <is>
          <t>fuel</t>
        </is>
      </c>
      <c r="D168" t="inlineStr">
        <is>
          <t>fillups</t>
        </is>
      </c>
      <c r="E168" s="21">
        <f>fillups!H168</f>
        <v/>
      </c>
      <c r="F168">
        <f>IF(B168="","",LEFT(B168,4))</f>
        <v/>
      </c>
      <c r="G168">
        <f>IF(A168="","",INDEX(vehicles!$I$2:$I$5,MATCH(A168,vehicles!$A$2:$A$5,0)))</f>
        <v/>
      </c>
      <c r="H168" t="inlineStr">
        <is>
          <t>fuel</t>
        </is>
      </c>
    </row>
    <row r="169">
      <c r="A169" s="5">
        <f>fillups!A169</f>
        <v/>
      </c>
      <c r="B169" s="5">
        <f>LEFT(fillups!C169,10)</f>
        <v/>
      </c>
      <c r="C169" t="inlineStr">
        <is>
          <t>fuel</t>
        </is>
      </c>
      <c r="D169" t="inlineStr">
        <is>
          <t>fillups</t>
        </is>
      </c>
      <c r="E169" s="21">
        <f>fillups!H169</f>
        <v/>
      </c>
      <c r="F169">
        <f>IF(B169="","",LEFT(B169,4))</f>
        <v/>
      </c>
      <c r="G169">
        <f>IF(A169="","",INDEX(vehicles!$I$2:$I$5,MATCH(A169,vehicles!$A$2:$A$5,0)))</f>
        <v/>
      </c>
      <c r="H169" t="inlineStr">
        <is>
          <t>fuel</t>
        </is>
      </c>
    </row>
    <row r="170">
      <c r="A170" s="5">
        <f>fillups!A170</f>
        <v/>
      </c>
      <c r="B170" s="5">
        <f>LEFT(fillups!C170,10)</f>
        <v/>
      </c>
      <c r="C170" t="inlineStr">
        <is>
          <t>fuel</t>
        </is>
      </c>
      <c r="D170" t="inlineStr">
        <is>
          <t>fillups</t>
        </is>
      </c>
      <c r="E170" s="21">
        <f>fillups!H170</f>
        <v/>
      </c>
      <c r="F170">
        <f>IF(B170="","",LEFT(B170,4))</f>
        <v/>
      </c>
      <c r="G170">
        <f>IF(A170="","",INDEX(vehicles!$I$2:$I$5,MATCH(A170,vehicles!$A$2:$A$5,0)))</f>
        <v/>
      </c>
      <c r="H170" t="inlineStr">
        <is>
          <t>fuel</t>
        </is>
      </c>
    </row>
    <row r="171">
      <c r="A171" s="5">
        <f>fillups!A171</f>
        <v/>
      </c>
      <c r="B171" s="5">
        <f>LEFT(fillups!C171,10)</f>
        <v/>
      </c>
      <c r="C171" t="inlineStr">
        <is>
          <t>fuel</t>
        </is>
      </c>
      <c r="D171" t="inlineStr">
        <is>
          <t>fillups</t>
        </is>
      </c>
      <c r="E171" s="21">
        <f>fillups!H171</f>
        <v/>
      </c>
      <c r="F171">
        <f>IF(B171="","",LEFT(B171,4))</f>
        <v/>
      </c>
      <c r="G171">
        <f>IF(A171="","",INDEX(vehicles!$I$2:$I$5,MATCH(A171,vehicles!$A$2:$A$5,0)))</f>
        <v/>
      </c>
      <c r="H171" t="inlineStr">
        <is>
          <t>fuel</t>
        </is>
      </c>
    </row>
    <row r="172">
      <c r="A172" s="5">
        <f>fillups!A172</f>
        <v/>
      </c>
      <c r="B172" s="5">
        <f>LEFT(fillups!C172,10)</f>
        <v/>
      </c>
      <c r="C172" t="inlineStr">
        <is>
          <t>fuel</t>
        </is>
      </c>
      <c r="D172" t="inlineStr">
        <is>
          <t>fillups</t>
        </is>
      </c>
      <c r="E172" s="21">
        <f>fillups!H172</f>
        <v/>
      </c>
      <c r="F172">
        <f>IF(B172="","",LEFT(B172,4))</f>
        <v/>
      </c>
      <c r="G172">
        <f>IF(A172="","",INDEX(vehicles!$I$2:$I$5,MATCH(A172,vehicles!$A$2:$A$5,0)))</f>
        <v/>
      </c>
      <c r="H172" t="inlineStr">
        <is>
          <t>fuel</t>
        </is>
      </c>
    </row>
    <row r="173">
      <c r="A173" s="5">
        <f>fillups!A173</f>
        <v/>
      </c>
      <c r="B173" s="5">
        <f>LEFT(fillups!C173,10)</f>
        <v/>
      </c>
      <c r="C173" t="inlineStr">
        <is>
          <t>fuel</t>
        </is>
      </c>
      <c r="D173" t="inlineStr">
        <is>
          <t>fillups</t>
        </is>
      </c>
      <c r="E173" s="21">
        <f>fillups!H173</f>
        <v/>
      </c>
      <c r="F173">
        <f>IF(B173="","",LEFT(B173,4))</f>
        <v/>
      </c>
      <c r="G173">
        <f>IF(A173="","",INDEX(vehicles!$I$2:$I$5,MATCH(A173,vehicles!$A$2:$A$5,0)))</f>
        <v/>
      </c>
      <c r="H173" t="inlineStr">
        <is>
          <t>fuel</t>
        </is>
      </c>
    </row>
    <row r="174">
      <c r="A174" s="5">
        <f>fillups!A174</f>
        <v/>
      </c>
      <c r="B174" s="5">
        <f>LEFT(fillups!C174,10)</f>
        <v/>
      </c>
      <c r="C174" t="inlineStr">
        <is>
          <t>fuel</t>
        </is>
      </c>
      <c r="D174" t="inlineStr">
        <is>
          <t>fillups</t>
        </is>
      </c>
      <c r="E174" s="21">
        <f>fillups!H174</f>
        <v/>
      </c>
      <c r="F174">
        <f>IF(B174="","",LEFT(B174,4))</f>
        <v/>
      </c>
      <c r="G174">
        <f>IF(A174="","",INDEX(vehicles!$I$2:$I$5,MATCH(A174,vehicles!$A$2:$A$5,0)))</f>
        <v/>
      </c>
      <c r="H174" t="inlineStr">
        <is>
          <t>fuel</t>
        </is>
      </c>
    </row>
    <row r="175">
      <c r="A175" s="5">
        <f>fillups!A175</f>
        <v/>
      </c>
      <c r="B175" s="5">
        <f>LEFT(fillups!C175,10)</f>
        <v/>
      </c>
      <c r="C175" t="inlineStr">
        <is>
          <t>fuel</t>
        </is>
      </c>
      <c r="D175" t="inlineStr">
        <is>
          <t>fillups</t>
        </is>
      </c>
      <c r="E175" s="21">
        <f>fillups!H175</f>
        <v/>
      </c>
      <c r="F175">
        <f>IF(B175="","",LEFT(B175,4))</f>
        <v/>
      </c>
      <c r="G175">
        <f>IF(A175="","",INDEX(vehicles!$I$2:$I$5,MATCH(A175,vehicles!$A$2:$A$5,0)))</f>
        <v/>
      </c>
      <c r="H175" t="inlineStr">
        <is>
          <t>fuel</t>
        </is>
      </c>
    </row>
    <row r="176">
      <c r="A176" s="5">
        <f>fillups!A176</f>
        <v/>
      </c>
      <c r="B176" s="5">
        <f>LEFT(fillups!C176,10)</f>
        <v/>
      </c>
      <c r="C176" t="inlineStr">
        <is>
          <t>fuel</t>
        </is>
      </c>
      <c r="D176" t="inlineStr">
        <is>
          <t>fillups</t>
        </is>
      </c>
      <c r="E176" s="21">
        <f>fillups!H176</f>
        <v/>
      </c>
      <c r="F176">
        <f>IF(B176="","",LEFT(B176,4))</f>
        <v/>
      </c>
      <c r="G176">
        <f>IF(A176="","",INDEX(vehicles!$I$2:$I$5,MATCH(A176,vehicles!$A$2:$A$5,0)))</f>
        <v/>
      </c>
      <c r="H176" t="inlineStr">
        <is>
          <t>fuel</t>
        </is>
      </c>
    </row>
    <row r="177">
      <c r="A177" s="5">
        <f>fillups!A177</f>
        <v/>
      </c>
      <c r="B177" s="5">
        <f>LEFT(fillups!C177,10)</f>
        <v/>
      </c>
      <c r="C177" t="inlineStr">
        <is>
          <t>fuel</t>
        </is>
      </c>
      <c r="D177" t="inlineStr">
        <is>
          <t>fillups</t>
        </is>
      </c>
      <c r="E177" s="21">
        <f>fillups!H177</f>
        <v/>
      </c>
      <c r="F177">
        <f>IF(B177="","",LEFT(B177,4))</f>
        <v/>
      </c>
      <c r="G177">
        <f>IF(A177="","",INDEX(vehicles!$I$2:$I$5,MATCH(A177,vehicles!$A$2:$A$5,0)))</f>
        <v/>
      </c>
      <c r="H177" t="inlineStr">
        <is>
          <t>fuel</t>
        </is>
      </c>
    </row>
    <row r="178">
      <c r="A178" s="5">
        <f>fillups!A178</f>
        <v/>
      </c>
      <c r="B178" s="5">
        <f>LEFT(fillups!C178,10)</f>
        <v/>
      </c>
      <c r="C178" t="inlineStr">
        <is>
          <t>fuel</t>
        </is>
      </c>
      <c r="D178" t="inlineStr">
        <is>
          <t>fillups</t>
        </is>
      </c>
      <c r="E178" s="21">
        <f>fillups!H178</f>
        <v/>
      </c>
      <c r="F178">
        <f>IF(B178="","",LEFT(B178,4))</f>
        <v/>
      </c>
      <c r="G178">
        <f>IF(A178="","",INDEX(vehicles!$I$2:$I$5,MATCH(A178,vehicles!$A$2:$A$5,0)))</f>
        <v/>
      </c>
      <c r="H178" t="inlineStr">
        <is>
          <t>fuel</t>
        </is>
      </c>
    </row>
    <row r="179">
      <c r="A179" s="5">
        <f>fillups!A179</f>
        <v/>
      </c>
      <c r="B179" s="5">
        <f>LEFT(fillups!C179,10)</f>
        <v/>
      </c>
      <c r="C179" t="inlineStr">
        <is>
          <t>fuel</t>
        </is>
      </c>
      <c r="D179" t="inlineStr">
        <is>
          <t>fillups</t>
        </is>
      </c>
      <c r="E179" s="21">
        <f>fillups!H179</f>
        <v/>
      </c>
      <c r="F179">
        <f>IF(B179="","",LEFT(B179,4))</f>
        <v/>
      </c>
      <c r="G179">
        <f>IF(A179="","",INDEX(vehicles!$I$2:$I$5,MATCH(A179,vehicles!$A$2:$A$5,0)))</f>
        <v/>
      </c>
      <c r="H179" t="inlineStr">
        <is>
          <t>fuel</t>
        </is>
      </c>
    </row>
    <row r="180">
      <c r="A180" s="5">
        <f>fillups!A180</f>
        <v/>
      </c>
      <c r="B180" s="5">
        <f>LEFT(fillups!C180,10)</f>
        <v/>
      </c>
      <c r="C180" t="inlineStr">
        <is>
          <t>fuel</t>
        </is>
      </c>
      <c r="D180" t="inlineStr">
        <is>
          <t>fillups</t>
        </is>
      </c>
      <c r="E180" s="21">
        <f>fillups!H180</f>
        <v/>
      </c>
      <c r="F180">
        <f>IF(B180="","",LEFT(B180,4))</f>
        <v/>
      </c>
      <c r="G180">
        <f>IF(A180="","",INDEX(vehicles!$I$2:$I$5,MATCH(A180,vehicles!$A$2:$A$5,0)))</f>
        <v/>
      </c>
      <c r="H180" t="inlineStr">
        <is>
          <t>fuel</t>
        </is>
      </c>
    </row>
    <row r="181">
      <c r="A181" s="5">
        <f>fillups!A181</f>
        <v/>
      </c>
      <c r="B181" s="5">
        <f>LEFT(fillups!C181,10)</f>
        <v/>
      </c>
      <c r="C181" t="inlineStr">
        <is>
          <t>fuel</t>
        </is>
      </c>
      <c r="D181" t="inlineStr">
        <is>
          <t>fillups</t>
        </is>
      </c>
      <c r="E181" s="21">
        <f>fillups!H181</f>
        <v/>
      </c>
      <c r="F181">
        <f>IF(B181="","",LEFT(B181,4))</f>
        <v/>
      </c>
      <c r="G181">
        <f>IF(A181="","",INDEX(vehicles!$I$2:$I$5,MATCH(A181,vehicles!$A$2:$A$5,0)))</f>
        <v/>
      </c>
      <c r="H181" t="inlineStr">
        <is>
          <t>fuel</t>
        </is>
      </c>
    </row>
    <row r="182">
      <c r="A182" s="5">
        <f>fillups!A182</f>
        <v/>
      </c>
      <c r="B182" s="5">
        <f>LEFT(fillups!C182,10)</f>
        <v/>
      </c>
      <c r="C182" t="inlineStr">
        <is>
          <t>fuel</t>
        </is>
      </c>
      <c r="D182" t="inlineStr">
        <is>
          <t>fillups</t>
        </is>
      </c>
      <c r="E182" s="21">
        <f>fillups!H182</f>
        <v/>
      </c>
      <c r="F182">
        <f>IF(B182="","",LEFT(B182,4))</f>
        <v/>
      </c>
      <c r="G182">
        <f>IF(A182="","",INDEX(vehicles!$I$2:$I$5,MATCH(A182,vehicles!$A$2:$A$5,0)))</f>
        <v/>
      </c>
      <c r="H182" t="inlineStr">
        <is>
          <t>fuel</t>
        </is>
      </c>
    </row>
    <row r="183">
      <c r="A183" s="5">
        <f>fillups!A183</f>
        <v/>
      </c>
      <c r="B183" s="5">
        <f>LEFT(fillups!C183,10)</f>
        <v/>
      </c>
      <c r="C183" t="inlineStr">
        <is>
          <t>fuel</t>
        </is>
      </c>
      <c r="D183" t="inlineStr">
        <is>
          <t>fillups</t>
        </is>
      </c>
      <c r="E183" s="21">
        <f>fillups!H183</f>
        <v/>
      </c>
      <c r="F183">
        <f>IF(B183="","",LEFT(B183,4))</f>
        <v/>
      </c>
      <c r="G183">
        <f>IF(A183="","",INDEX(vehicles!$I$2:$I$5,MATCH(A183,vehicles!$A$2:$A$5,0)))</f>
        <v/>
      </c>
      <c r="H183" t="inlineStr">
        <is>
          <t>fuel</t>
        </is>
      </c>
    </row>
    <row r="184">
      <c r="A184" s="5">
        <f>fillups!A184</f>
        <v/>
      </c>
      <c r="B184" s="5">
        <f>LEFT(fillups!C184,10)</f>
        <v/>
      </c>
      <c r="C184" t="inlineStr">
        <is>
          <t>fuel</t>
        </is>
      </c>
      <c r="D184" t="inlineStr">
        <is>
          <t>fillups</t>
        </is>
      </c>
      <c r="E184" s="21">
        <f>fillups!H184</f>
        <v/>
      </c>
      <c r="F184">
        <f>IF(B184="","",LEFT(B184,4))</f>
        <v/>
      </c>
      <c r="G184">
        <f>IF(A184="","",INDEX(vehicles!$I$2:$I$5,MATCH(A184,vehicles!$A$2:$A$5,0)))</f>
        <v/>
      </c>
      <c r="H184" t="inlineStr">
        <is>
          <t>fuel</t>
        </is>
      </c>
    </row>
    <row r="185">
      <c r="A185" s="5">
        <f>fillups!A185</f>
        <v/>
      </c>
      <c r="B185" s="5">
        <f>LEFT(fillups!C185,10)</f>
        <v/>
      </c>
      <c r="C185" t="inlineStr">
        <is>
          <t>fuel</t>
        </is>
      </c>
      <c r="D185" t="inlineStr">
        <is>
          <t>fillups</t>
        </is>
      </c>
      <c r="E185" s="21">
        <f>fillups!H185</f>
        <v/>
      </c>
      <c r="F185">
        <f>IF(B185="","",LEFT(B185,4))</f>
        <v/>
      </c>
      <c r="G185">
        <f>IF(A185="","",INDEX(vehicles!$I$2:$I$5,MATCH(A185,vehicles!$A$2:$A$5,0)))</f>
        <v/>
      </c>
      <c r="H185" t="inlineStr">
        <is>
          <t>fuel</t>
        </is>
      </c>
    </row>
    <row r="186">
      <c r="A186" s="5">
        <f>fillups!A186</f>
        <v/>
      </c>
      <c r="B186" s="5">
        <f>LEFT(fillups!C186,10)</f>
        <v/>
      </c>
      <c r="C186" t="inlineStr">
        <is>
          <t>fuel</t>
        </is>
      </c>
      <c r="D186" t="inlineStr">
        <is>
          <t>fillups</t>
        </is>
      </c>
      <c r="E186" s="21">
        <f>fillups!H186</f>
        <v/>
      </c>
      <c r="F186">
        <f>IF(B186="","",LEFT(B186,4))</f>
        <v/>
      </c>
      <c r="G186">
        <f>IF(A186="","",INDEX(vehicles!$I$2:$I$5,MATCH(A186,vehicles!$A$2:$A$5,0)))</f>
        <v/>
      </c>
      <c r="H186" t="inlineStr">
        <is>
          <t>fuel</t>
        </is>
      </c>
    </row>
    <row r="187">
      <c r="A187" s="5">
        <f>fillups!A187</f>
        <v/>
      </c>
      <c r="B187" s="5">
        <f>LEFT(fillups!C187,10)</f>
        <v/>
      </c>
      <c r="C187" t="inlineStr">
        <is>
          <t>fuel</t>
        </is>
      </c>
      <c r="D187" t="inlineStr">
        <is>
          <t>fillups</t>
        </is>
      </c>
      <c r="E187" s="21">
        <f>fillups!H187</f>
        <v/>
      </c>
      <c r="F187">
        <f>IF(B187="","",LEFT(B187,4))</f>
        <v/>
      </c>
      <c r="G187">
        <f>IF(A187="","",INDEX(vehicles!$I$2:$I$5,MATCH(A187,vehicles!$A$2:$A$5,0)))</f>
        <v/>
      </c>
      <c r="H187" t="inlineStr">
        <is>
          <t>fuel</t>
        </is>
      </c>
    </row>
    <row r="188">
      <c r="A188" s="5">
        <f>fillups!A188</f>
        <v/>
      </c>
      <c r="B188" s="5">
        <f>LEFT(fillups!C188,10)</f>
        <v/>
      </c>
      <c r="C188" t="inlineStr">
        <is>
          <t>fuel</t>
        </is>
      </c>
      <c r="D188" t="inlineStr">
        <is>
          <t>fillups</t>
        </is>
      </c>
      <c r="E188" s="21">
        <f>fillups!H188</f>
        <v/>
      </c>
      <c r="F188">
        <f>IF(B188="","",LEFT(B188,4))</f>
        <v/>
      </c>
      <c r="G188">
        <f>IF(A188="","",INDEX(vehicles!$I$2:$I$5,MATCH(A188,vehicles!$A$2:$A$5,0)))</f>
        <v/>
      </c>
      <c r="H188" t="inlineStr">
        <is>
          <t>fuel</t>
        </is>
      </c>
    </row>
    <row r="189">
      <c r="A189" s="5">
        <f>fillups!A189</f>
        <v/>
      </c>
      <c r="B189" s="5">
        <f>LEFT(fillups!C189,10)</f>
        <v/>
      </c>
      <c r="C189" t="inlineStr">
        <is>
          <t>fuel</t>
        </is>
      </c>
      <c r="D189" t="inlineStr">
        <is>
          <t>fillups</t>
        </is>
      </c>
      <c r="E189" s="21">
        <f>fillups!H189</f>
        <v/>
      </c>
      <c r="F189">
        <f>IF(B189="","",LEFT(B189,4))</f>
        <v/>
      </c>
      <c r="G189">
        <f>IF(A189="","",INDEX(vehicles!$I$2:$I$5,MATCH(A189,vehicles!$A$2:$A$5,0)))</f>
        <v/>
      </c>
      <c r="H189" t="inlineStr">
        <is>
          <t>fuel</t>
        </is>
      </c>
    </row>
    <row r="190">
      <c r="A190" s="5">
        <f>fillups!A190</f>
        <v/>
      </c>
      <c r="B190" s="5">
        <f>LEFT(fillups!C190,10)</f>
        <v/>
      </c>
      <c r="C190" t="inlineStr">
        <is>
          <t>fuel</t>
        </is>
      </c>
      <c r="D190" t="inlineStr">
        <is>
          <t>fillups</t>
        </is>
      </c>
      <c r="E190" s="21">
        <f>fillups!H190</f>
        <v/>
      </c>
      <c r="F190">
        <f>IF(B190="","",LEFT(B190,4))</f>
        <v/>
      </c>
      <c r="G190">
        <f>IF(A190="","",INDEX(vehicles!$I$2:$I$5,MATCH(A190,vehicles!$A$2:$A$5,0)))</f>
        <v/>
      </c>
      <c r="H190" t="inlineStr">
        <is>
          <t>fuel</t>
        </is>
      </c>
    </row>
    <row r="191">
      <c r="A191" s="5">
        <f>fillups!A191</f>
        <v/>
      </c>
      <c r="B191" s="5">
        <f>LEFT(fillups!C191,10)</f>
        <v/>
      </c>
      <c r="C191" t="inlineStr">
        <is>
          <t>fuel</t>
        </is>
      </c>
      <c r="D191" t="inlineStr">
        <is>
          <t>fillups</t>
        </is>
      </c>
      <c r="E191" s="21">
        <f>fillups!H191</f>
        <v/>
      </c>
      <c r="F191">
        <f>IF(B191="","",LEFT(B191,4))</f>
        <v/>
      </c>
      <c r="G191">
        <f>IF(A191="","",INDEX(vehicles!$I$2:$I$5,MATCH(A191,vehicles!$A$2:$A$5,0)))</f>
        <v/>
      </c>
      <c r="H191" t="inlineStr">
        <is>
          <t>fuel</t>
        </is>
      </c>
    </row>
    <row r="192">
      <c r="A192" s="5">
        <f>fillups!A192</f>
        <v/>
      </c>
      <c r="B192" s="5">
        <f>LEFT(fillups!C192,10)</f>
        <v/>
      </c>
      <c r="C192" t="inlineStr">
        <is>
          <t>fuel</t>
        </is>
      </c>
      <c r="D192" t="inlineStr">
        <is>
          <t>fillups</t>
        </is>
      </c>
      <c r="E192" s="21">
        <f>fillups!H192</f>
        <v/>
      </c>
      <c r="F192">
        <f>IF(B192="","",LEFT(B192,4))</f>
        <v/>
      </c>
      <c r="G192">
        <f>IF(A192="","",INDEX(vehicles!$I$2:$I$5,MATCH(A192,vehicles!$A$2:$A$5,0)))</f>
        <v/>
      </c>
      <c r="H192" t="inlineStr">
        <is>
          <t>fuel</t>
        </is>
      </c>
    </row>
    <row r="193">
      <c r="A193" s="5">
        <f>fillups!A193</f>
        <v/>
      </c>
      <c r="B193" s="5">
        <f>LEFT(fillups!C193,10)</f>
        <v/>
      </c>
      <c r="C193" t="inlineStr">
        <is>
          <t>fuel</t>
        </is>
      </c>
      <c r="D193" t="inlineStr">
        <is>
          <t>fillups</t>
        </is>
      </c>
      <c r="E193" s="21">
        <f>fillups!H193</f>
        <v/>
      </c>
      <c r="F193">
        <f>IF(B193="","",LEFT(B193,4))</f>
        <v/>
      </c>
      <c r="G193">
        <f>IF(A193="","",INDEX(vehicles!$I$2:$I$5,MATCH(A193,vehicles!$A$2:$A$5,0)))</f>
        <v/>
      </c>
      <c r="H193" t="inlineStr">
        <is>
          <t>fuel</t>
        </is>
      </c>
    </row>
    <row r="194">
      <c r="A194" s="5">
        <f>fillups!A194</f>
        <v/>
      </c>
      <c r="B194" s="5">
        <f>LEFT(fillups!C194,10)</f>
        <v/>
      </c>
      <c r="C194" t="inlineStr">
        <is>
          <t>fuel</t>
        </is>
      </c>
      <c r="D194" t="inlineStr">
        <is>
          <t>fillups</t>
        </is>
      </c>
      <c r="E194" s="21">
        <f>fillups!H194</f>
        <v/>
      </c>
      <c r="F194">
        <f>IF(B194="","",LEFT(B194,4))</f>
        <v/>
      </c>
      <c r="G194">
        <f>IF(A194="","",INDEX(vehicles!$I$2:$I$5,MATCH(A194,vehicles!$A$2:$A$5,0)))</f>
        <v/>
      </c>
      <c r="H194" t="inlineStr">
        <is>
          <t>fuel</t>
        </is>
      </c>
    </row>
    <row r="195">
      <c r="A195" s="5">
        <f>fillups!A195</f>
        <v/>
      </c>
      <c r="B195" s="5">
        <f>LEFT(fillups!C195,10)</f>
        <v/>
      </c>
      <c r="C195" t="inlineStr">
        <is>
          <t>fuel</t>
        </is>
      </c>
      <c r="D195" t="inlineStr">
        <is>
          <t>fillups</t>
        </is>
      </c>
      <c r="E195" s="21">
        <f>fillups!H195</f>
        <v/>
      </c>
      <c r="F195">
        <f>IF(B195="","",LEFT(B195,4))</f>
        <v/>
      </c>
      <c r="G195">
        <f>IF(A195="","",INDEX(vehicles!$I$2:$I$5,MATCH(A195,vehicles!$A$2:$A$5,0)))</f>
        <v/>
      </c>
      <c r="H195" t="inlineStr">
        <is>
          <t>fuel</t>
        </is>
      </c>
    </row>
    <row r="196">
      <c r="A196" s="5">
        <f>fillups!A196</f>
        <v/>
      </c>
      <c r="B196" s="5">
        <f>LEFT(fillups!C196,10)</f>
        <v/>
      </c>
      <c r="C196" t="inlineStr">
        <is>
          <t>fuel</t>
        </is>
      </c>
      <c r="D196" t="inlineStr">
        <is>
          <t>fillups</t>
        </is>
      </c>
      <c r="E196" s="21">
        <f>fillups!H196</f>
        <v/>
      </c>
      <c r="F196">
        <f>IF(B196="","",LEFT(B196,4))</f>
        <v/>
      </c>
      <c r="G196">
        <f>IF(A196="","",INDEX(vehicles!$I$2:$I$5,MATCH(A196,vehicles!$A$2:$A$5,0)))</f>
        <v/>
      </c>
      <c r="H196" t="inlineStr">
        <is>
          <t>fuel</t>
        </is>
      </c>
    </row>
    <row r="197">
      <c r="A197" s="5">
        <f>fillups!A197</f>
        <v/>
      </c>
      <c r="B197" s="5">
        <f>LEFT(fillups!C197,10)</f>
        <v/>
      </c>
      <c r="C197" t="inlineStr">
        <is>
          <t>fuel</t>
        </is>
      </c>
      <c r="D197" t="inlineStr">
        <is>
          <t>fillups</t>
        </is>
      </c>
      <c r="E197" s="21">
        <f>fillups!H197</f>
        <v/>
      </c>
      <c r="F197">
        <f>IF(B197="","",LEFT(B197,4))</f>
        <v/>
      </c>
      <c r="G197">
        <f>IF(A197="","",INDEX(vehicles!$I$2:$I$5,MATCH(A197,vehicles!$A$2:$A$5,0)))</f>
        <v/>
      </c>
      <c r="H197" t="inlineStr">
        <is>
          <t>fuel</t>
        </is>
      </c>
    </row>
    <row r="198">
      <c r="A198" s="5">
        <f>fillups!A198</f>
        <v/>
      </c>
      <c r="B198" s="5">
        <f>LEFT(fillups!C198,10)</f>
        <v/>
      </c>
      <c r="C198" t="inlineStr">
        <is>
          <t>fuel</t>
        </is>
      </c>
      <c r="D198" t="inlineStr">
        <is>
          <t>fillups</t>
        </is>
      </c>
      <c r="E198" s="21">
        <f>fillups!H198</f>
        <v/>
      </c>
      <c r="F198">
        <f>IF(B198="","",LEFT(B198,4))</f>
        <v/>
      </c>
      <c r="G198">
        <f>IF(A198="","",INDEX(vehicles!$I$2:$I$5,MATCH(A198,vehicles!$A$2:$A$5,0)))</f>
        <v/>
      </c>
      <c r="H198" t="inlineStr">
        <is>
          <t>fuel</t>
        </is>
      </c>
    </row>
    <row r="199">
      <c r="A199" s="5">
        <f>fillups!A199</f>
        <v/>
      </c>
      <c r="B199" s="5">
        <f>LEFT(fillups!C199,10)</f>
        <v/>
      </c>
      <c r="C199" t="inlineStr">
        <is>
          <t>fuel</t>
        </is>
      </c>
      <c r="D199" t="inlineStr">
        <is>
          <t>fillups</t>
        </is>
      </c>
      <c r="E199" s="21">
        <f>fillups!H199</f>
        <v/>
      </c>
      <c r="F199">
        <f>IF(B199="","",LEFT(B199,4))</f>
        <v/>
      </c>
      <c r="G199">
        <f>IF(A199="","",INDEX(vehicles!$I$2:$I$5,MATCH(A199,vehicles!$A$2:$A$5,0)))</f>
        <v/>
      </c>
      <c r="H199" t="inlineStr">
        <is>
          <t>fuel</t>
        </is>
      </c>
    </row>
    <row r="200">
      <c r="A200" s="5">
        <f>fillups!A200</f>
        <v/>
      </c>
      <c r="B200" s="5">
        <f>LEFT(fillups!C200,10)</f>
        <v/>
      </c>
      <c r="C200" t="inlineStr">
        <is>
          <t>fuel</t>
        </is>
      </c>
      <c r="D200" t="inlineStr">
        <is>
          <t>fillups</t>
        </is>
      </c>
      <c r="E200" s="21">
        <f>fillups!H200</f>
        <v/>
      </c>
      <c r="F200">
        <f>IF(B200="","",LEFT(B200,4))</f>
        <v/>
      </c>
      <c r="G200">
        <f>IF(A200="","",INDEX(vehicles!$I$2:$I$5,MATCH(A200,vehicles!$A$2:$A$5,0)))</f>
        <v/>
      </c>
      <c r="H200" t="inlineStr">
        <is>
          <t>fuel</t>
        </is>
      </c>
    </row>
    <row r="201">
      <c r="A201" s="5">
        <f>fillups!A201</f>
        <v/>
      </c>
      <c r="B201" s="5">
        <f>LEFT(fillups!C201,10)</f>
        <v/>
      </c>
      <c r="C201" t="inlineStr">
        <is>
          <t>fuel</t>
        </is>
      </c>
      <c r="D201" t="inlineStr">
        <is>
          <t>fillups</t>
        </is>
      </c>
      <c r="E201" s="21">
        <f>fillups!H201</f>
        <v/>
      </c>
      <c r="F201">
        <f>IF(B201="","",LEFT(B201,4))</f>
        <v/>
      </c>
      <c r="G201">
        <f>IF(A201="","",INDEX(vehicles!$I$2:$I$5,MATCH(A201,vehicles!$A$2:$A$5,0)))</f>
        <v/>
      </c>
      <c r="H201" t="inlineStr">
        <is>
          <t>fuel</t>
        </is>
      </c>
    </row>
    <row r="202">
      <c r="A202" s="5">
        <f>fillups!A202</f>
        <v/>
      </c>
      <c r="B202" s="5">
        <f>LEFT(fillups!C202,10)</f>
        <v/>
      </c>
      <c r="C202" t="inlineStr">
        <is>
          <t>fuel</t>
        </is>
      </c>
      <c r="D202" t="inlineStr">
        <is>
          <t>fillups</t>
        </is>
      </c>
      <c r="E202" s="21">
        <f>fillups!H202</f>
        <v/>
      </c>
      <c r="F202">
        <f>IF(B202="","",LEFT(B202,4))</f>
        <v/>
      </c>
      <c r="G202">
        <f>IF(A202="","",INDEX(vehicles!$I$2:$I$5,MATCH(A202,vehicles!$A$2:$A$5,0)))</f>
        <v/>
      </c>
      <c r="H202" t="inlineStr">
        <is>
          <t>fuel</t>
        </is>
      </c>
    </row>
    <row r="203">
      <c r="A203" s="5">
        <f>fillups!A203</f>
        <v/>
      </c>
      <c r="B203" s="5">
        <f>LEFT(fillups!C203,10)</f>
        <v/>
      </c>
      <c r="C203" t="inlineStr">
        <is>
          <t>fuel</t>
        </is>
      </c>
      <c r="D203" t="inlineStr">
        <is>
          <t>fillups</t>
        </is>
      </c>
      <c r="E203" s="21">
        <f>fillups!H203</f>
        <v/>
      </c>
      <c r="F203">
        <f>IF(B203="","",LEFT(B203,4))</f>
        <v/>
      </c>
      <c r="G203">
        <f>IF(A203="","",INDEX(vehicles!$I$2:$I$5,MATCH(A203,vehicles!$A$2:$A$5,0)))</f>
        <v/>
      </c>
      <c r="H203" t="inlineStr">
        <is>
          <t>fuel</t>
        </is>
      </c>
    </row>
    <row r="204">
      <c r="A204" s="5">
        <f>fillups!A204</f>
        <v/>
      </c>
      <c r="B204" s="5">
        <f>LEFT(fillups!C204,10)</f>
        <v/>
      </c>
      <c r="C204" t="inlineStr">
        <is>
          <t>fuel</t>
        </is>
      </c>
      <c r="D204" t="inlineStr">
        <is>
          <t>fillups</t>
        </is>
      </c>
      <c r="E204" s="21">
        <f>fillups!H204</f>
        <v/>
      </c>
      <c r="F204">
        <f>IF(B204="","",LEFT(B204,4))</f>
        <v/>
      </c>
      <c r="G204">
        <f>IF(A204="","",INDEX(vehicles!$I$2:$I$5,MATCH(A204,vehicles!$A$2:$A$5,0)))</f>
        <v/>
      </c>
      <c r="H204" t="inlineStr">
        <is>
          <t>fuel</t>
        </is>
      </c>
    </row>
    <row r="205">
      <c r="A205" s="5">
        <f>fillups!A205</f>
        <v/>
      </c>
      <c r="B205" s="5">
        <f>LEFT(fillups!C205,10)</f>
        <v/>
      </c>
      <c r="C205" t="inlineStr">
        <is>
          <t>fuel</t>
        </is>
      </c>
      <c r="D205" t="inlineStr">
        <is>
          <t>fillups</t>
        </is>
      </c>
      <c r="E205" s="21">
        <f>fillups!H205</f>
        <v/>
      </c>
      <c r="F205">
        <f>IF(B205="","",LEFT(B205,4))</f>
        <v/>
      </c>
      <c r="G205">
        <f>IF(A205="","",INDEX(vehicles!$I$2:$I$5,MATCH(A205,vehicles!$A$2:$A$5,0)))</f>
        <v/>
      </c>
      <c r="H205" t="inlineStr">
        <is>
          <t>fuel</t>
        </is>
      </c>
    </row>
    <row r="206">
      <c r="A206" s="5">
        <f>fillups!A206</f>
        <v/>
      </c>
      <c r="B206" s="5">
        <f>LEFT(fillups!C206,10)</f>
        <v/>
      </c>
      <c r="C206" t="inlineStr">
        <is>
          <t>fuel</t>
        </is>
      </c>
      <c r="D206" t="inlineStr">
        <is>
          <t>fillups</t>
        </is>
      </c>
      <c r="E206" s="21">
        <f>fillups!H206</f>
        <v/>
      </c>
      <c r="F206">
        <f>IF(B206="","",LEFT(B206,4))</f>
        <v/>
      </c>
      <c r="G206">
        <f>IF(A206="","",INDEX(vehicles!$I$2:$I$5,MATCH(A206,vehicles!$A$2:$A$5,0)))</f>
        <v/>
      </c>
      <c r="H206" t="inlineStr">
        <is>
          <t>fuel</t>
        </is>
      </c>
    </row>
    <row r="207">
      <c r="A207" s="5">
        <f>fillups!A207</f>
        <v/>
      </c>
      <c r="B207" s="5">
        <f>LEFT(fillups!C207,10)</f>
        <v/>
      </c>
      <c r="C207" t="inlineStr">
        <is>
          <t>fuel</t>
        </is>
      </c>
      <c r="D207" t="inlineStr">
        <is>
          <t>fillups</t>
        </is>
      </c>
      <c r="E207" s="21">
        <f>fillups!H207</f>
        <v/>
      </c>
      <c r="F207">
        <f>IF(B207="","",LEFT(B207,4))</f>
        <v/>
      </c>
      <c r="G207">
        <f>IF(A207="","",INDEX(vehicles!$I$2:$I$5,MATCH(A207,vehicles!$A$2:$A$5,0)))</f>
        <v/>
      </c>
      <c r="H207" t="inlineStr">
        <is>
          <t>fuel</t>
        </is>
      </c>
    </row>
    <row r="208">
      <c r="A208" s="5">
        <f>fillups!A208</f>
        <v/>
      </c>
      <c r="B208" s="5">
        <f>LEFT(fillups!C208,10)</f>
        <v/>
      </c>
      <c r="C208" t="inlineStr">
        <is>
          <t>fuel</t>
        </is>
      </c>
      <c r="D208" t="inlineStr">
        <is>
          <t>fillups</t>
        </is>
      </c>
      <c r="E208" s="21">
        <f>fillups!H208</f>
        <v/>
      </c>
      <c r="F208">
        <f>IF(B208="","",LEFT(B208,4))</f>
        <v/>
      </c>
      <c r="G208">
        <f>IF(A208="","",INDEX(vehicles!$I$2:$I$5,MATCH(A208,vehicles!$A$2:$A$5,0)))</f>
        <v/>
      </c>
      <c r="H208" t="inlineStr">
        <is>
          <t>fuel</t>
        </is>
      </c>
    </row>
    <row r="209">
      <c r="A209" s="5">
        <f>fillups!A209</f>
        <v/>
      </c>
      <c r="B209" s="5">
        <f>LEFT(fillups!C209,10)</f>
        <v/>
      </c>
      <c r="C209" t="inlineStr">
        <is>
          <t>fuel</t>
        </is>
      </c>
      <c r="D209" t="inlineStr">
        <is>
          <t>fillups</t>
        </is>
      </c>
      <c r="E209" s="21">
        <f>fillups!H209</f>
        <v/>
      </c>
      <c r="F209">
        <f>IF(B209="","",LEFT(B209,4))</f>
        <v/>
      </c>
      <c r="G209">
        <f>IF(A209="","",INDEX(vehicles!$I$2:$I$5,MATCH(A209,vehicles!$A$2:$A$5,0)))</f>
        <v/>
      </c>
      <c r="H209" t="inlineStr">
        <is>
          <t>fuel</t>
        </is>
      </c>
    </row>
    <row r="210">
      <c r="A210" s="5">
        <f>fillups!A210</f>
        <v/>
      </c>
      <c r="B210" s="5">
        <f>LEFT(fillups!C210,10)</f>
        <v/>
      </c>
      <c r="C210" t="inlineStr">
        <is>
          <t>fuel</t>
        </is>
      </c>
      <c r="D210" t="inlineStr">
        <is>
          <t>fillups</t>
        </is>
      </c>
      <c r="E210" s="21">
        <f>fillups!H210</f>
        <v/>
      </c>
      <c r="F210">
        <f>IF(B210="","",LEFT(B210,4))</f>
        <v/>
      </c>
      <c r="G210">
        <f>IF(A210="","",INDEX(vehicles!$I$2:$I$5,MATCH(A210,vehicles!$A$2:$A$5,0)))</f>
        <v/>
      </c>
      <c r="H210" t="inlineStr">
        <is>
          <t>fuel</t>
        </is>
      </c>
    </row>
    <row r="211">
      <c r="A211" s="5">
        <f>fillups!A211</f>
        <v/>
      </c>
      <c r="B211" s="5">
        <f>LEFT(fillups!C211,10)</f>
        <v/>
      </c>
      <c r="C211" t="inlineStr">
        <is>
          <t>fuel</t>
        </is>
      </c>
      <c r="D211" t="inlineStr">
        <is>
          <t>fillups</t>
        </is>
      </c>
      <c r="E211" s="21">
        <f>fillups!H211</f>
        <v/>
      </c>
      <c r="F211">
        <f>IF(B211="","",LEFT(B211,4))</f>
        <v/>
      </c>
      <c r="G211">
        <f>IF(A211="","",INDEX(vehicles!$I$2:$I$5,MATCH(A211,vehicles!$A$2:$A$5,0)))</f>
        <v/>
      </c>
      <c r="H211" t="inlineStr">
        <is>
          <t>fuel</t>
        </is>
      </c>
    </row>
    <row r="212">
      <c r="A212" s="5">
        <f>fillups!A212</f>
        <v/>
      </c>
      <c r="B212" s="5">
        <f>LEFT(fillups!C212,10)</f>
        <v/>
      </c>
      <c r="C212" t="inlineStr">
        <is>
          <t>fuel</t>
        </is>
      </c>
      <c r="D212" t="inlineStr">
        <is>
          <t>fillups</t>
        </is>
      </c>
      <c r="E212" s="21">
        <f>fillups!H212</f>
        <v/>
      </c>
      <c r="F212">
        <f>IF(B212="","",LEFT(B212,4))</f>
        <v/>
      </c>
      <c r="G212">
        <f>IF(A212="","",INDEX(vehicles!$I$2:$I$5,MATCH(A212,vehicles!$A$2:$A$5,0)))</f>
        <v/>
      </c>
      <c r="H212" t="inlineStr">
        <is>
          <t>fuel</t>
        </is>
      </c>
    </row>
    <row r="213">
      <c r="A213" s="5">
        <f>fillups!A213</f>
        <v/>
      </c>
      <c r="B213" s="5">
        <f>LEFT(fillups!C213,10)</f>
        <v/>
      </c>
      <c r="C213" t="inlineStr">
        <is>
          <t>fuel</t>
        </is>
      </c>
      <c r="D213" t="inlineStr">
        <is>
          <t>fillups</t>
        </is>
      </c>
      <c r="E213" s="21">
        <f>fillups!H213</f>
        <v/>
      </c>
      <c r="F213">
        <f>IF(B213="","",LEFT(B213,4))</f>
        <v/>
      </c>
      <c r="G213">
        <f>IF(A213="","",INDEX(vehicles!$I$2:$I$5,MATCH(A213,vehicles!$A$2:$A$5,0)))</f>
        <v/>
      </c>
      <c r="H213" t="inlineStr">
        <is>
          <t>fuel</t>
        </is>
      </c>
    </row>
    <row r="214">
      <c r="A214" s="5">
        <f>fillups!A214</f>
        <v/>
      </c>
      <c r="B214" s="5">
        <f>LEFT(fillups!C214,10)</f>
        <v/>
      </c>
      <c r="C214" t="inlineStr">
        <is>
          <t>fuel</t>
        </is>
      </c>
      <c r="D214" t="inlineStr">
        <is>
          <t>fillups</t>
        </is>
      </c>
      <c r="E214" s="21">
        <f>fillups!H214</f>
        <v/>
      </c>
      <c r="F214">
        <f>IF(B214="","",LEFT(B214,4))</f>
        <v/>
      </c>
      <c r="G214">
        <f>IF(A214="","",INDEX(vehicles!$I$2:$I$5,MATCH(A214,vehicles!$A$2:$A$5,0)))</f>
        <v/>
      </c>
      <c r="H214" t="inlineStr">
        <is>
          <t>fuel</t>
        </is>
      </c>
    </row>
    <row r="215">
      <c r="A215" s="5">
        <f>fillups!A215</f>
        <v/>
      </c>
      <c r="B215" s="5">
        <f>LEFT(fillups!C215,10)</f>
        <v/>
      </c>
      <c r="C215" t="inlineStr">
        <is>
          <t>fuel</t>
        </is>
      </c>
      <c r="D215" t="inlineStr">
        <is>
          <t>fillups</t>
        </is>
      </c>
      <c r="E215" s="21">
        <f>fillups!H215</f>
        <v/>
      </c>
      <c r="F215">
        <f>IF(B215="","",LEFT(B215,4))</f>
        <v/>
      </c>
      <c r="G215">
        <f>IF(A215="","",INDEX(vehicles!$I$2:$I$5,MATCH(A215,vehicles!$A$2:$A$5,0)))</f>
        <v/>
      </c>
      <c r="H215" t="inlineStr">
        <is>
          <t>fuel</t>
        </is>
      </c>
    </row>
    <row r="216">
      <c r="A216" s="5">
        <f>fillups!A216</f>
        <v/>
      </c>
      <c r="B216" s="5">
        <f>LEFT(fillups!C216,10)</f>
        <v/>
      </c>
      <c r="C216" t="inlineStr">
        <is>
          <t>fuel</t>
        </is>
      </c>
      <c r="D216" t="inlineStr">
        <is>
          <t>fillups</t>
        </is>
      </c>
      <c r="E216" s="21">
        <f>fillups!H216</f>
        <v/>
      </c>
      <c r="F216">
        <f>IF(B216="","",LEFT(B216,4))</f>
        <v/>
      </c>
      <c r="G216">
        <f>IF(A216="","",INDEX(vehicles!$I$2:$I$5,MATCH(A216,vehicles!$A$2:$A$5,0)))</f>
        <v/>
      </c>
      <c r="H216" t="inlineStr">
        <is>
          <t>fuel</t>
        </is>
      </c>
    </row>
    <row r="217">
      <c r="A217" s="5">
        <f>fillups!A217</f>
        <v/>
      </c>
      <c r="B217" s="5">
        <f>LEFT(fillups!C217,10)</f>
        <v/>
      </c>
      <c r="C217" t="inlineStr">
        <is>
          <t>fuel</t>
        </is>
      </c>
      <c r="D217" t="inlineStr">
        <is>
          <t>fillups</t>
        </is>
      </c>
      <c r="E217" s="21">
        <f>fillups!H217</f>
        <v/>
      </c>
      <c r="F217">
        <f>IF(B217="","",LEFT(B217,4))</f>
        <v/>
      </c>
      <c r="G217">
        <f>IF(A217="","",INDEX(vehicles!$I$2:$I$5,MATCH(A217,vehicles!$A$2:$A$5,0)))</f>
        <v/>
      </c>
      <c r="H217" t="inlineStr">
        <is>
          <t>fuel</t>
        </is>
      </c>
    </row>
    <row r="218">
      <c r="A218" s="5">
        <f>fillups!A218</f>
        <v/>
      </c>
      <c r="B218" s="5">
        <f>LEFT(fillups!C218,10)</f>
        <v/>
      </c>
      <c r="C218" t="inlineStr">
        <is>
          <t>fuel</t>
        </is>
      </c>
      <c r="D218" t="inlineStr">
        <is>
          <t>fillups</t>
        </is>
      </c>
      <c r="E218" s="21">
        <f>fillups!H218</f>
        <v/>
      </c>
      <c r="F218">
        <f>IF(B218="","",LEFT(B218,4))</f>
        <v/>
      </c>
      <c r="G218">
        <f>IF(A218="","",INDEX(vehicles!$I$2:$I$5,MATCH(A218,vehicles!$A$2:$A$5,0)))</f>
        <v/>
      </c>
      <c r="H218" t="inlineStr">
        <is>
          <t>fuel</t>
        </is>
      </c>
    </row>
    <row r="219">
      <c r="A219" s="5">
        <f>fillups!A219</f>
        <v/>
      </c>
      <c r="B219" s="5">
        <f>LEFT(fillups!C219,10)</f>
        <v/>
      </c>
      <c r="C219" t="inlineStr">
        <is>
          <t>fuel</t>
        </is>
      </c>
      <c r="D219" t="inlineStr">
        <is>
          <t>fillups</t>
        </is>
      </c>
      <c r="E219" s="21">
        <f>fillups!H219</f>
        <v/>
      </c>
      <c r="F219">
        <f>IF(B219="","",LEFT(B219,4))</f>
        <v/>
      </c>
      <c r="G219">
        <f>IF(A219="","",INDEX(vehicles!$I$2:$I$5,MATCH(A219,vehicles!$A$2:$A$5,0)))</f>
        <v/>
      </c>
      <c r="H219" t="inlineStr">
        <is>
          <t>fuel</t>
        </is>
      </c>
    </row>
    <row r="220">
      <c r="A220" s="5">
        <f>fillups!A220</f>
        <v/>
      </c>
      <c r="B220" s="5">
        <f>LEFT(fillups!C220,10)</f>
        <v/>
      </c>
      <c r="C220" t="inlineStr">
        <is>
          <t>fuel</t>
        </is>
      </c>
      <c r="D220" t="inlineStr">
        <is>
          <t>fillups</t>
        </is>
      </c>
      <c r="E220" s="21">
        <f>fillups!H220</f>
        <v/>
      </c>
      <c r="F220">
        <f>IF(B220="","",LEFT(B220,4))</f>
        <v/>
      </c>
      <c r="G220">
        <f>IF(A220="","",INDEX(vehicles!$I$2:$I$5,MATCH(A220,vehicles!$A$2:$A$5,0)))</f>
        <v/>
      </c>
      <c r="H220" t="inlineStr">
        <is>
          <t>fuel</t>
        </is>
      </c>
    </row>
    <row r="221">
      <c r="A221" s="5">
        <f>fillups!A221</f>
        <v/>
      </c>
      <c r="B221" s="5">
        <f>LEFT(fillups!C221,10)</f>
        <v/>
      </c>
      <c r="C221" t="inlineStr">
        <is>
          <t>fuel</t>
        </is>
      </c>
      <c r="D221" t="inlineStr">
        <is>
          <t>fillups</t>
        </is>
      </c>
      <c r="E221" s="21">
        <f>fillups!H221</f>
        <v/>
      </c>
      <c r="F221">
        <f>IF(B221="","",LEFT(B221,4))</f>
        <v/>
      </c>
      <c r="G221">
        <f>IF(A221="","",INDEX(vehicles!$I$2:$I$5,MATCH(A221,vehicles!$A$2:$A$5,0)))</f>
        <v/>
      </c>
      <c r="H221" t="inlineStr">
        <is>
          <t>fuel</t>
        </is>
      </c>
    </row>
    <row r="222">
      <c r="A222" s="5">
        <f>fillups!A222</f>
        <v/>
      </c>
      <c r="B222" s="5">
        <f>LEFT(fillups!C222,10)</f>
        <v/>
      </c>
      <c r="C222" t="inlineStr">
        <is>
          <t>fuel</t>
        </is>
      </c>
      <c r="D222" t="inlineStr">
        <is>
          <t>fillups</t>
        </is>
      </c>
      <c r="E222" s="21">
        <f>fillups!H222</f>
        <v/>
      </c>
      <c r="F222">
        <f>IF(B222="","",LEFT(B222,4))</f>
        <v/>
      </c>
      <c r="G222">
        <f>IF(A222="","",INDEX(vehicles!$I$2:$I$5,MATCH(A222,vehicles!$A$2:$A$5,0)))</f>
        <v/>
      </c>
      <c r="H222" t="inlineStr">
        <is>
          <t>fuel</t>
        </is>
      </c>
    </row>
    <row r="223">
      <c r="A223" s="5">
        <f>fillups!A223</f>
        <v/>
      </c>
      <c r="B223" s="5">
        <f>LEFT(fillups!C223,10)</f>
        <v/>
      </c>
      <c r="C223" t="inlineStr">
        <is>
          <t>fuel</t>
        </is>
      </c>
      <c r="D223" t="inlineStr">
        <is>
          <t>fillups</t>
        </is>
      </c>
      <c r="E223" s="21">
        <f>fillups!H223</f>
        <v/>
      </c>
      <c r="F223">
        <f>IF(B223="","",LEFT(B223,4))</f>
        <v/>
      </c>
      <c r="G223">
        <f>IF(A223="","",INDEX(vehicles!$I$2:$I$5,MATCH(A223,vehicles!$A$2:$A$5,0)))</f>
        <v/>
      </c>
      <c r="H223" t="inlineStr">
        <is>
          <t>fuel</t>
        </is>
      </c>
    </row>
    <row r="224">
      <c r="A224" s="5">
        <f>fillups!A224</f>
        <v/>
      </c>
      <c r="B224" s="5">
        <f>LEFT(fillups!C224,10)</f>
        <v/>
      </c>
      <c r="C224" t="inlineStr">
        <is>
          <t>fuel</t>
        </is>
      </c>
      <c r="D224" t="inlineStr">
        <is>
          <t>fillups</t>
        </is>
      </c>
      <c r="E224" s="21">
        <f>fillups!H224</f>
        <v/>
      </c>
      <c r="F224">
        <f>IF(B224="","",LEFT(B224,4))</f>
        <v/>
      </c>
      <c r="G224">
        <f>IF(A224="","",INDEX(vehicles!$I$2:$I$5,MATCH(A224,vehicles!$A$2:$A$5,0)))</f>
        <v/>
      </c>
      <c r="H224" t="inlineStr">
        <is>
          <t>fuel</t>
        </is>
      </c>
    </row>
    <row r="225">
      <c r="A225" s="5">
        <f>fillups!A225</f>
        <v/>
      </c>
      <c r="B225" s="5">
        <f>LEFT(fillups!C225,10)</f>
        <v/>
      </c>
      <c r="C225" t="inlineStr">
        <is>
          <t>fuel</t>
        </is>
      </c>
      <c r="D225" t="inlineStr">
        <is>
          <t>fillups</t>
        </is>
      </c>
      <c r="E225" s="21">
        <f>fillups!H225</f>
        <v/>
      </c>
      <c r="F225">
        <f>IF(B225="","",LEFT(B225,4))</f>
        <v/>
      </c>
      <c r="G225">
        <f>IF(A225="","",INDEX(vehicles!$I$2:$I$5,MATCH(A225,vehicles!$A$2:$A$5,0)))</f>
        <v/>
      </c>
      <c r="H225" t="inlineStr">
        <is>
          <t>fuel</t>
        </is>
      </c>
    </row>
    <row r="226">
      <c r="A226" s="5">
        <f>fillups!A226</f>
        <v/>
      </c>
      <c r="B226" s="5">
        <f>LEFT(fillups!C226,10)</f>
        <v/>
      </c>
      <c r="C226" t="inlineStr">
        <is>
          <t>fuel</t>
        </is>
      </c>
      <c r="D226" t="inlineStr">
        <is>
          <t>fillups</t>
        </is>
      </c>
      <c r="E226" s="21">
        <f>fillups!H226</f>
        <v/>
      </c>
      <c r="F226">
        <f>IF(B226="","",LEFT(B226,4))</f>
        <v/>
      </c>
      <c r="G226">
        <f>IF(A226="","",INDEX(vehicles!$I$2:$I$5,MATCH(A226,vehicles!$A$2:$A$5,0)))</f>
        <v/>
      </c>
      <c r="H226" t="inlineStr">
        <is>
          <t>fuel</t>
        </is>
      </c>
    </row>
    <row r="227">
      <c r="A227" s="5">
        <f>fillups!A227</f>
        <v/>
      </c>
      <c r="B227" s="5">
        <f>LEFT(fillups!C227,10)</f>
        <v/>
      </c>
      <c r="C227" t="inlineStr">
        <is>
          <t>fuel</t>
        </is>
      </c>
      <c r="D227" t="inlineStr">
        <is>
          <t>fillups</t>
        </is>
      </c>
      <c r="E227" s="21">
        <f>fillups!H227</f>
        <v/>
      </c>
      <c r="F227">
        <f>IF(B227="","",LEFT(B227,4))</f>
        <v/>
      </c>
      <c r="G227">
        <f>IF(A227="","",INDEX(vehicles!$I$2:$I$5,MATCH(A227,vehicles!$A$2:$A$5,0)))</f>
        <v/>
      </c>
      <c r="H227" t="inlineStr">
        <is>
          <t>fuel</t>
        </is>
      </c>
    </row>
    <row r="228">
      <c r="A228" s="5">
        <f>fillups!A228</f>
        <v/>
      </c>
      <c r="B228" s="5">
        <f>LEFT(fillups!C228,10)</f>
        <v/>
      </c>
      <c r="C228" t="inlineStr">
        <is>
          <t>fuel</t>
        </is>
      </c>
      <c r="D228" t="inlineStr">
        <is>
          <t>fillups</t>
        </is>
      </c>
      <c r="E228" s="21">
        <f>fillups!H228</f>
        <v/>
      </c>
      <c r="F228">
        <f>IF(B228="","",LEFT(B228,4))</f>
        <v/>
      </c>
      <c r="G228">
        <f>IF(A228="","",INDEX(vehicles!$I$2:$I$5,MATCH(A228,vehicles!$A$2:$A$5,0)))</f>
        <v/>
      </c>
      <c r="H228" t="inlineStr">
        <is>
          <t>fuel</t>
        </is>
      </c>
    </row>
    <row r="229">
      <c r="A229" s="5">
        <f>fillups!A229</f>
        <v/>
      </c>
      <c r="B229" s="5">
        <f>LEFT(fillups!C229,10)</f>
        <v/>
      </c>
      <c r="C229" t="inlineStr">
        <is>
          <t>fuel</t>
        </is>
      </c>
      <c r="D229" t="inlineStr">
        <is>
          <t>fillups</t>
        </is>
      </c>
      <c r="E229" s="21">
        <f>fillups!H229</f>
        <v/>
      </c>
      <c r="F229">
        <f>IF(B229="","",LEFT(B229,4))</f>
        <v/>
      </c>
      <c r="G229">
        <f>IF(A229="","",INDEX(vehicles!$I$2:$I$5,MATCH(A229,vehicles!$A$2:$A$5,0)))</f>
        <v/>
      </c>
      <c r="H229" t="inlineStr">
        <is>
          <t>fuel</t>
        </is>
      </c>
    </row>
    <row r="230">
      <c r="A230" s="5">
        <f>fillups!A230</f>
        <v/>
      </c>
      <c r="B230" s="5">
        <f>LEFT(fillups!C230,10)</f>
        <v/>
      </c>
      <c r="C230" t="inlineStr">
        <is>
          <t>fuel</t>
        </is>
      </c>
      <c r="D230" t="inlineStr">
        <is>
          <t>fillups</t>
        </is>
      </c>
      <c r="E230" s="21">
        <f>fillups!H230</f>
        <v/>
      </c>
      <c r="F230">
        <f>IF(B230="","",LEFT(B230,4))</f>
        <v/>
      </c>
      <c r="G230">
        <f>IF(A230="","",INDEX(vehicles!$I$2:$I$5,MATCH(A230,vehicles!$A$2:$A$5,0)))</f>
        <v/>
      </c>
      <c r="H230" t="inlineStr">
        <is>
          <t>fuel</t>
        </is>
      </c>
    </row>
    <row r="231">
      <c r="A231" s="5">
        <f>fillups!A231</f>
        <v/>
      </c>
      <c r="B231" s="5">
        <f>LEFT(fillups!C231,10)</f>
        <v/>
      </c>
      <c r="C231" t="inlineStr">
        <is>
          <t>fuel</t>
        </is>
      </c>
      <c r="D231" t="inlineStr">
        <is>
          <t>fillups</t>
        </is>
      </c>
      <c r="E231" s="21">
        <f>fillups!H231</f>
        <v/>
      </c>
      <c r="F231">
        <f>IF(B231="","",LEFT(B231,4))</f>
        <v/>
      </c>
      <c r="G231">
        <f>IF(A231="","",INDEX(vehicles!$I$2:$I$5,MATCH(A231,vehicles!$A$2:$A$5,0)))</f>
        <v/>
      </c>
      <c r="H231" t="inlineStr">
        <is>
          <t>fuel</t>
        </is>
      </c>
    </row>
    <row r="232">
      <c r="A232" s="5">
        <f>fillups!A232</f>
        <v/>
      </c>
      <c r="B232" s="5">
        <f>LEFT(fillups!C232,10)</f>
        <v/>
      </c>
      <c r="C232" t="inlineStr">
        <is>
          <t>fuel</t>
        </is>
      </c>
      <c r="D232" t="inlineStr">
        <is>
          <t>fillups</t>
        </is>
      </c>
      <c r="E232" s="21">
        <f>fillups!H232</f>
        <v/>
      </c>
      <c r="F232">
        <f>IF(B232="","",LEFT(B232,4))</f>
        <v/>
      </c>
      <c r="G232">
        <f>IF(A232="","",INDEX(vehicles!$I$2:$I$5,MATCH(A232,vehicles!$A$2:$A$5,0)))</f>
        <v/>
      </c>
      <c r="H232" t="inlineStr">
        <is>
          <t>fuel</t>
        </is>
      </c>
    </row>
    <row r="233">
      <c r="A233" s="5">
        <f>fillups!A233</f>
        <v/>
      </c>
      <c r="B233" s="5">
        <f>LEFT(fillups!C233,10)</f>
        <v/>
      </c>
      <c r="C233" t="inlineStr">
        <is>
          <t>fuel</t>
        </is>
      </c>
      <c r="D233" t="inlineStr">
        <is>
          <t>fillups</t>
        </is>
      </c>
      <c r="E233" s="21">
        <f>fillups!H233</f>
        <v/>
      </c>
      <c r="F233">
        <f>IF(B233="","",LEFT(B233,4))</f>
        <v/>
      </c>
      <c r="G233">
        <f>IF(A233="","",INDEX(vehicles!$I$2:$I$5,MATCH(A233,vehicles!$A$2:$A$5,0)))</f>
        <v/>
      </c>
      <c r="H233" t="inlineStr">
        <is>
          <t>fuel</t>
        </is>
      </c>
    </row>
    <row r="234">
      <c r="A234" s="5">
        <f>fillups!A234</f>
        <v/>
      </c>
      <c r="B234" s="5">
        <f>LEFT(fillups!C234,10)</f>
        <v/>
      </c>
      <c r="C234" t="inlineStr">
        <is>
          <t>fuel</t>
        </is>
      </c>
      <c r="D234" t="inlineStr">
        <is>
          <t>fillups</t>
        </is>
      </c>
      <c r="E234" s="21">
        <f>fillups!H234</f>
        <v/>
      </c>
      <c r="F234">
        <f>IF(B234="","",LEFT(B234,4))</f>
        <v/>
      </c>
      <c r="G234">
        <f>IF(A234="","",INDEX(vehicles!$I$2:$I$5,MATCH(A234,vehicles!$A$2:$A$5,0)))</f>
        <v/>
      </c>
      <c r="H234" t="inlineStr">
        <is>
          <t>fuel</t>
        </is>
      </c>
    </row>
    <row r="235">
      <c r="A235" s="5">
        <f>fillups!A235</f>
        <v/>
      </c>
      <c r="B235" s="5">
        <f>LEFT(fillups!C235,10)</f>
        <v/>
      </c>
      <c r="C235" t="inlineStr">
        <is>
          <t>fuel</t>
        </is>
      </c>
      <c r="D235" t="inlineStr">
        <is>
          <t>fillups</t>
        </is>
      </c>
      <c r="E235" s="21">
        <f>fillups!H235</f>
        <v/>
      </c>
      <c r="F235">
        <f>IF(B235="","",LEFT(B235,4))</f>
        <v/>
      </c>
      <c r="G235">
        <f>IF(A235="","",INDEX(vehicles!$I$2:$I$5,MATCH(A235,vehicles!$A$2:$A$5,0)))</f>
        <v/>
      </c>
      <c r="H235" t="inlineStr">
        <is>
          <t>fuel</t>
        </is>
      </c>
    </row>
    <row r="236">
      <c r="A236" s="5">
        <f>fillups!A236</f>
        <v/>
      </c>
      <c r="B236" s="5">
        <f>LEFT(fillups!C236,10)</f>
        <v/>
      </c>
      <c r="C236" t="inlineStr">
        <is>
          <t>fuel</t>
        </is>
      </c>
      <c r="D236" t="inlineStr">
        <is>
          <t>fillups</t>
        </is>
      </c>
      <c r="E236" s="21">
        <f>fillups!H236</f>
        <v/>
      </c>
      <c r="F236">
        <f>IF(B236="","",LEFT(B236,4))</f>
        <v/>
      </c>
      <c r="G236">
        <f>IF(A236="","",INDEX(vehicles!$I$2:$I$5,MATCH(A236,vehicles!$A$2:$A$5,0)))</f>
        <v/>
      </c>
      <c r="H236" t="inlineStr">
        <is>
          <t>fuel</t>
        </is>
      </c>
    </row>
    <row r="237">
      <c r="A237" s="5">
        <f>fillups!A237</f>
        <v/>
      </c>
      <c r="B237" s="5">
        <f>LEFT(fillups!C237,10)</f>
        <v/>
      </c>
      <c r="C237" t="inlineStr">
        <is>
          <t>fuel</t>
        </is>
      </c>
      <c r="D237" t="inlineStr">
        <is>
          <t>fillups</t>
        </is>
      </c>
      <c r="E237" s="21">
        <f>fillups!H237</f>
        <v/>
      </c>
      <c r="F237">
        <f>IF(B237="","",LEFT(B237,4))</f>
        <v/>
      </c>
      <c r="G237">
        <f>IF(A237="","",INDEX(vehicles!$I$2:$I$5,MATCH(A237,vehicles!$A$2:$A$5,0)))</f>
        <v/>
      </c>
      <c r="H237" t="inlineStr">
        <is>
          <t>fuel</t>
        </is>
      </c>
    </row>
    <row r="238">
      <c r="A238" s="5">
        <f>fillups!A238</f>
        <v/>
      </c>
      <c r="B238" s="5">
        <f>LEFT(fillups!C238,10)</f>
        <v/>
      </c>
      <c r="C238" t="inlineStr">
        <is>
          <t>fuel</t>
        </is>
      </c>
      <c r="D238" t="inlineStr">
        <is>
          <t>fillups</t>
        </is>
      </c>
      <c r="E238" s="21">
        <f>fillups!H238</f>
        <v/>
      </c>
      <c r="F238">
        <f>IF(B238="","",LEFT(B238,4))</f>
        <v/>
      </c>
      <c r="G238">
        <f>IF(A238="","",INDEX(vehicles!$I$2:$I$5,MATCH(A238,vehicles!$A$2:$A$5,0)))</f>
        <v/>
      </c>
      <c r="H238" t="inlineStr">
        <is>
          <t>fuel</t>
        </is>
      </c>
    </row>
    <row r="239">
      <c r="A239" s="5">
        <f>fillups!A239</f>
        <v/>
      </c>
      <c r="B239" s="5">
        <f>LEFT(fillups!C239,10)</f>
        <v/>
      </c>
      <c r="C239" t="inlineStr">
        <is>
          <t>fuel</t>
        </is>
      </c>
      <c r="D239" t="inlineStr">
        <is>
          <t>fillups</t>
        </is>
      </c>
      <c r="E239" s="21">
        <f>fillups!H239</f>
        <v/>
      </c>
      <c r="F239">
        <f>IF(B239="","",LEFT(B239,4))</f>
        <v/>
      </c>
      <c r="G239">
        <f>IF(A239="","",INDEX(vehicles!$I$2:$I$5,MATCH(A239,vehicles!$A$2:$A$5,0)))</f>
        <v/>
      </c>
      <c r="H239" t="inlineStr">
        <is>
          <t>fuel</t>
        </is>
      </c>
    </row>
    <row r="240">
      <c r="A240" s="5">
        <f>fillups!A240</f>
        <v/>
      </c>
      <c r="B240" s="5">
        <f>LEFT(fillups!C240,10)</f>
        <v/>
      </c>
      <c r="C240" t="inlineStr">
        <is>
          <t>fuel</t>
        </is>
      </c>
      <c r="D240" t="inlineStr">
        <is>
          <t>fillups</t>
        </is>
      </c>
      <c r="E240" s="21">
        <f>fillups!H240</f>
        <v/>
      </c>
      <c r="F240">
        <f>IF(B240="","",LEFT(B240,4))</f>
        <v/>
      </c>
      <c r="G240">
        <f>IF(A240="","",INDEX(vehicles!$I$2:$I$5,MATCH(A240,vehicles!$A$2:$A$5,0)))</f>
        <v/>
      </c>
      <c r="H240" t="inlineStr">
        <is>
          <t>fuel</t>
        </is>
      </c>
    </row>
    <row r="241">
      <c r="A241" s="5">
        <f>fillups!A241</f>
        <v/>
      </c>
      <c r="B241" s="5">
        <f>LEFT(fillups!C241,10)</f>
        <v/>
      </c>
      <c r="C241" t="inlineStr">
        <is>
          <t>fuel</t>
        </is>
      </c>
      <c r="D241" t="inlineStr">
        <is>
          <t>fillups</t>
        </is>
      </c>
      <c r="E241" s="21">
        <f>fillups!H241</f>
        <v/>
      </c>
      <c r="F241">
        <f>IF(B241="","",LEFT(B241,4))</f>
        <v/>
      </c>
      <c r="G241">
        <f>IF(A241="","",INDEX(vehicles!$I$2:$I$5,MATCH(A241,vehicles!$A$2:$A$5,0)))</f>
        <v/>
      </c>
      <c r="H241" t="inlineStr">
        <is>
          <t>fuel</t>
        </is>
      </c>
    </row>
    <row r="242">
      <c r="A242" s="5">
        <f>fillups!A242</f>
        <v/>
      </c>
      <c r="B242" s="5">
        <f>LEFT(fillups!C242,10)</f>
        <v/>
      </c>
      <c r="C242" t="inlineStr">
        <is>
          <t>fuel</t>
        </is>
      </c>
      <c r="D242" t="inlineStr">
        <is>
          <t>fillups</t>
        </is>
      </c>
      <c r="E242" s="21">
        <f>fillups!H242</f>
        <v/>
      </c>
      <c r="F242">
        <f>IF(B242="","",LEFT(B242,4))</f>
        <v/>
      </c>
      <c r="G242">
        <f>IF(A242="","",INDEX(vehicles!$I$2:$I$5,MATCH(A242,vehicles!$A$2:$A$5,0)))</f>
        <v/>
      </c>
      <c r="H242" t="inlineStr">
        <is>
          <t>fuel</t>
        </is>
      </c>
    </row>
    <row r="243">
      <c r="A243" s="5">
        <f>fillups!A243</f>
        <v/>
      </c>
      <c r="B243" s="5">
        <f>LEFT(fillups!C243,10)</f>
        <v/>
      </c>
      <c r="C243" t="inlineStr">
        <is>
          <t>fuel</t>
        </is>
      </c>
      <c r="D243" t="inlineStr">
        <is>
          <t>fillups</t>
        </is>
      </c>
      <c r="E243" s="21">
        <f>fillups!H243</f>
        <v/>
      </c>
      <c r="F243">
        <f>IF(B243="","",LEFT(B243,4))</f>
        <v/>
      </c>
      <c r="G243">
        <f>IF(A243="","",INDEX(vehicles!$I$2:$I$5,MATCH(A243,vehicles!$A$2:$A$5,0)))</f>
        <v/>
      </c>
      <c r="H243" t="inlineStr">
        <is>
          <t>fuel</t>
        </is>
      </c>
    </row>
    <row r="244">
      <c r="A244" s="5">
        <f>fillups!A244</f>
        <v/>
      </c>
      <c r="B244" s="5">
        <f>LEFT(fillups!C244,10)</f>
        <v/>
      </c>
      <c r="C244" t="inlineStr">
        <is>
          <t>fuel</t>
        </is>
      </c>
      <c r="D244" t="inlineStr">
        <is>
          <t>fillups</t>
        </is>
      </c>
      <c r="E244" s="21">
        <f>fillups!H244</f>
        <v/>
      </c>
      <c r="F244">
        <f>IF(B244="","",LEFT(B244,4))</f>
        <v/>
      </c>
      <c r="G244">
        <f>IF(A244="","",INDEX(vehicles!$I$2:$I$5,MATCH(A244,vehicles!$A$2:$A$5,0)))</f>
        <v/>
      </c>
      <c r="H244" t="inlineStr">
        <is>
          <t>fuel</t>
        </is>
      </c>
    </row>
    <row r="245">
      <c r="A245" s="5">
        <f>fillups!A245</f>
        <v/>
      </c>
      <c r="B245" s="5">
        <f>LEFT(fillups!C245,10)</f>
        <v/>
      </c>
      <c r="C245" t="inlineStr">
        <is>
          <t>fuel</t>
        </is>
      </c>
      <c r="D245" t="inlineStr">
        <is>
          <t>fillups</t>
        </is>
      </c>
      <c r="E245" s="21">
        <f>fillups!H245</f>
        <v/>
      </c>
      <c r="F245">
        <f>IF(B245="","",LEFT(B245,4))</f>
        <v/>
      </c>
      <c r="G245">
        <f>IF(A245="","",INDEX(vehicles!$I$2:$I$5,MATCH(A245,vehicles!$A$2:$A$5,0)))</f>
        <v/>
      </c>
      <c r="H245" t="inlineStr">
        <is>
          <t>fuel</t>
        </is>
      </c>
    </row>
    <row r="246">
      <c r="A246" s="5">
        <f>fillups!A246</f>
        <v/>
      </c>
      <c r="B246" s="5">
        <f>LEFT(fillups!C246,10)</f>
        <v/>
      </c>
      <c r="C246" t="inlineStr">
        <is>
          <t>fuel</t>
        </is>
      </c>
      <c r="D246" t="inlineStr">
        <is>
          <t>fillups</t>
        </is>
      </c>
      <c r="E246" s="21">
        <f>fillups!H246</f>
        <v/>
      </c>
      <c r="F246">
        <f>IF(B246="","",LEFT(B246,4))</f>
        <v/>
      </c>
      <c r="G246">
        <f>IF(A246="","",INDEX(vehicles!$I$2:$I$5,MATCH(A246,vehicles!$A$2:$A$5,0)))</f>
        <v/>
      </c>
      <c r="H246" t="inlineStr">
        <is>
          <t>fuel</t>
        </is>
      </c>
    </row>
    <row r="247">
      <c r="A247" s="5">
        <f>fillups!A247</f>
        <v/>
      </c>
      <c r="B247" s="5">
        <f>LEFT(fillups!C247,10)</f>
        <v/>
      </c>
      <c r="C247" t="inlineStr">
        <is>
          <t>fuel</t>
        </is>
      </c>
      <c r="D247" t="inlineStr">
        <is>
          <t>fillups</t>
        </is>
      </c>
      <c r="E247" s="21">
        <f>fillups!H247</f>
        <v/>
      </c>
      <c r="F247">
        <f>IF(B247="","",LEFT(B247,4))</f>
        <v/>
      </c>
      <c r="G247">
        <f>IF(A247="","",INDEX(vehicles!$I$2:$I$5,MATCH(A247,vehicles!$A$2:$A$5,0)))</f>
        <v/>
      </c>
      <c r="H247" t="inlineStr">
        <is>
          <t>fuel</t>
        </is>
      </c>
    </row>
    <row r="248">
      <c r="A248" s="5">
        <f>fillups!A248</f>
        <v/>
      </c>
      <c r="B248" s="5">
        <f>LEFT(fillups!C248,10)</f>
        <v/>
      </c>
      <c r="C248" t="inlineStr">
        <is>
          <t>fuel</t>
        </is>
      </c>
      <c r="D248" t="inlineStr">
        <is>
          <t>fillups</t>
        </is>
      </c>
      <c r="E248" s="21">
        <f>fillups!H248</f>
        <v/>
      </c>
      <c r="F248">
        <f>IF(B248="","",LEFT(B248,4))</f>
        <v/>
      </c>
      <c r="G248">
        <f>IF(A248="","",INDEX(vehicles!$I$2:$I$5,MATCH(A248,vehicles!$A$2:$A$5,0)))</f>
        <v/>
      </c>
      <c r="H248" t="inlineStr">
        <is>
          <t>fuel</t>
        </is>
      </c>
    </row>
    <row r="249">
      <c r="A249" s="5">
        <f>fillups!A249</f>
        <v/>
      </c>
      <c r="B249" s="5">
        <f>LEFT(fillups!C249,10)</f>
        <v/>
      </c>
      <c r="C249" t="inlineStr">
        <is>
          <t>fuel</t>
        </is>
      </c>
      <c r="D249" t="inlineStr">
        <is>
          <t>fillups</t>
        </is>
      </c>
      <c r="E249" s="21">
        <f>fillups!H249</f>
        <v/>
      </c>
      <c r="F249">
        <f>IF(B249="","",LEFT(B249,4))</f>
        <v/>
      </c>
      <c r="G249">
        <f>IF(A249="","",INDEX(vehicles!$I$2:$I$5,MATCH(A249,vehicles!$A$2:$A$5,0)))</f>
        <v/>
      </c>
      <c r="H249" t="inlineStr">
        <is>
          <t>fuel</t>
        </is>
      </c>
    </row>
    <row r="250">
      <c r="A250" s="5">
        <f>fillups!A250</f>
        <v/>
      </c>
      <c r="B250" s="5">
        <f>LEFT(fillups!C250,10)</f>
        <v/>
      </c>
      <c r="C250" t="inlineStr">
        <is>
          <t>fuel</t>
        </is>
      </c>
      <c r="D250" t="inlineStr">
        <is>
          <t>fillups</t>
        </is>
      </c>
      <c r="E250" s="21">
        <f>fillups!H250</f>
        <v/>
      </c>
      <c r="F250">
        <f>IF(B250="","",LEFT(B250,4))</f>
        <v/>
      </c>
      <c r="G250">
        <f>IF(A250="","",INDEX(vehicles!$I$2:$I$5,MATCH(A250,vehicles!$A$2:$A$5,0)))</f>
        <v/>
      </c>
      <c r="H250" t="inlineStr">
        <is>
          <t>fuel</t>
        </is>
      </c>
    </row>
    <row r="251">
      <c r="A251" s="5">
        <f>fillups!A251</f>
        <v/>
      </c>
      <c r="B251" s="5">
        <f>LEFT(fillups!C251,10)</f>
        <v/>
      </c>
      <c r="C251" t="inlineStr">
        <is>
          <t>fuel</t>
        </is>
      </c>
      <c r="D251" t="inlineStr">
        <is>
          <t>fillups</t>
        </is>
      </c>
      <c r="E251" s="21">
        <f>fillups!H251</f>
        <v/>
      </c>
      <c r="F251">
        <f>IF(B251="","",LEFT(B251,4))</f>
        <v/>
      </c>
      <c r="G251">
        <f>IF(A251="","",INDEX(vehicles!$I$2:$I$5,MATCH(A251,vehicles!$A$2:$A$5,0)))</f>
        <v/>
      </c>
      <c r="H251" t="inlineStr">
        <is>
          <t>fuel</t>
        </is>
      </c>
    </row>
    <row r="252">
      <c r="A252" s="5">
        <f>fillups!A252</f>
        <v/>
      </c>
      <c r="B252" s="5">
        <f>LEFT(fillups!C252,10)</f>
        <v/>
      </c>
      <c r="C252" t="inlineStr">
        <is>
          <t>fuel</t>
        </is>
      </c>
      <c r="D252" t="inlineStr">
        <is>
          <t>fillups</t>
        </is>
      </c>
      <c r="E252" s="21">
        <f>fillups!H252</f>
        <v/>
      </c>
      <c r="F252">
        <f>IF(B252="","",LEFT(B252,4))</f>
        <v/>
      </c>
      <c r="G252">
        <f>IF(A252="","",INDEX(vehicles!$I$2:$I$5,MATCH(A252,vehicles!$A$2:$A$5,0)))</f>
        <v/>
      </c>
      <c r="H252" t="inlineStr">
        <is>
          <t>fuel</t>
        </is>
      </c>
    </row>
    <row r="253">
      <c r="A253" s="5">
        <f>fillups!A253</f>
        <v/>
      </c>
      <c r="B253" s="5">
        <f>LEFT(fillups!C253,10)</f>
        <v/>
      </c>
      <c r="C253" t="inlineStr">
        <is>
          <t>fuel</t>
        </is>
      </c>
      <c r="D253" t="inlineStr">
        <is>
          <t>fillups</t>
        </is>
      </c>
      <c r="E253" s="21">
        <f>fillups!H253</f>
        <v/>
      </c>
      <c r="F253">
        <f>IF(B253="","",LEFT(B253,4))</f>
        <v/>
      </c>
      <c r="G253">
        <f>IF(A253="","",INDEX(vehicles!$I$2:$I$5,MATCH(A253,vehicles!$A$2:$A$5,0)))</f>
        <v/>
      </c>
      <c r="H253" t="inlineStr">
        <is>
          <t>fuel</t>
        </is>
      </c>
    </row>
    <row r="254">
      <c r="A254" s="5">
        <f>fillups!A254</f>
        <v/>
      </c>
      <c r="B254" s="5">
        <f>LEFT(fillups!C254,10)</f>
        <v/>
      </c>
      <c r="C254" t="inlineStr">
        <is>
          <t>fuel</t>
        </is>
      </c>
      <c r="D254" t="inlineStr">
        <is>
          <t>fillups</t>
        </is>
      </c>
      <c r="E254" s="21">
        <f>fillups!H254</f>
        <v/>
      </c>
      <c r="F254">
        <f>IF(B254="","",LEFT(B254,4))</f>
        <v/>
      </c>
      <c r="G254">
        <f>IF(A254="","",INDEX(vehicles!$I$2:$I$5,MATCH(A254,vehicles!$A$2:$A$5,0)))</f>
        <v/>
      </c>
      <c r="H254" t="inlineStr">
        <is>
          <t>fuel</t>
        </is>
      </c>
    </row>
    <row r="255">
      <c r="A255" s="5">
        <f>fillups!A255</f>
        <v/>
      </c>
      <c r="B255" s="5">
        <f>LEFT(fillups!C255,10)</f>
        <v/>
      </c>
      <c r="C255" t="inlineStr">
        <is>
          <t>fuel</t>
        </is>
      </c>
      <c r="D255" t="inlineStr">
        <is>
          <t>fillups</t>
        </is>
      </c>
      <c r="E255" s="21">
        <f>fillups!H255</f>
        <v/>
      </c>
      <c r="F255">
        <f>IF(B255="","",LEFT(B255,4))</f>
        <v/>
      </c>
      <c r="G255">
        <f>IF(A255="","",INDEX(vehicles!$I$2:$I$5,MATCH(A255,vehicles!$A$2:$A$5,0)))</f>
        <v/>
      </c>
      <c r="H255" t="inlineStr">
        <is>
          <t>fuel</t>
        </is>
      </c>
    </row>
    <row r="256">
      <c r="A256" s="5">
        <f>fillups!A256</f>
        <v/>
      </c>
      <c r="B256" s="5">
        <f>LEFT(fillups!C256,10)</f>
        <v/>
      </c>
      <c r="C256" t="inlineStr">
        <is>
          <t>fuel</t>
        </is>
      </c>
      <c r="D256" t="inlineStr">
        <is>
          <t>fillups</t>
        </is>
      </c>
      <c r="E256" s="21">
        <f>fillups!H256</f>
        <v/>
      </c>
      <c r="F256">
        <f>IF(B256="","",LEFT(B256,4))</f>
        <v/>
      </c>
      <c r="G256">
        <f>IF(A256="","",INDEX(vehicles!$I$2:$I$5,MATCH(A256,vehicles!$A$2:$A$5,0)))</f>
        <v/>
      </c>
      <c r="H256" t="inlineStr">
        <is>
          <t>fuel</t>
        </is>
      </c>
    </row>
    <row r="257">
      <c r="A257" s="5">
        <f>fillups!A257</f>
        <v/>
      </c>
      <c r="B257" s="5">
        <f>LEFT(fillups!C257,10)</f>
        <v/>
      </c>
      <c r="C257" t="inlineStr">
        <is>
          <t>fuel</t>
        </is>
      </c>
      <c r="D257" t="inlineStr">
        <is>
          <t>fillups</t>
        </is>
      </c>
      <c r="E257" s="21">
        <f>fillups!H257</f>
        <v/>
      </c>
      <c r="F257">
        <f>IF(B257="","",LEFT(B257,4))</f>
        <v/>
      </c>
      <c r="G257">
        <f>IF(A257="","",INDEX(vehicles!$I$2:$I$5,MATCH(A257,vehicles!$A$2:$A$5,0)))</f>
        <v/>
      </c>
      <c r="H257" t="inlineStr">
        <is>
          <t>fuel</t>
        </is>
      </c>
    </row>
    <row r="258">
      <c r="A258" s="5">
        <f>fillups!A258</f>
        <v/>
      </c>
      <c r="B258" s="5">
        <f>LEFT(fillups!C258,10)</f>
        <v/>
      </c>
      <c r="C258" t="inlineStr">
        <is>
          <t>fuel</t>
        </is>
      </c>
      <c r="D258" t="inlineStr">
        <is>
          <t>fillups</t>
        </is>
      </c>
      <c r="E258" s="21">
        <f>fillups!H258</f>
        <v/>
      </c>
      <c r="F258">
        <f>IF(B258="","",LEFT(B258,4))</f>
        <v/>
      </c>
      <c r="G258">
        <f>IF(A258="","",INDEX(vehicles!$I$2:$I$5,MATCH(A258,vehicles!$A$2:$A$5,0)))</f>
        <v/>
      </c>
      <c r="H258" t="inlineStr">
        <is>
          <t>fuel</t>
        </is>
      </c>
    </row>
    <row r="259">
      <c r="A259" s="5">
        <f>fillups!A259</f>
        <v/>
      </c>
      <c r="B259" s="5">
        <f>LEFT(fillups!C259,10)</f>
        <v/>
      </c>
      <c r="C259" t="inlineStr">
        <is>
          <t>fuel</t>
        </is>
      </c>
      <c r="D259" t="inlineStr">
        <is>
          <t>fillups</t>
        </is>
      </c>
      <c r="E259" s="21">
        <f>fillups!H259</f>
        <v/>
      </c>
      <c r="F259">
        <f>IF(B259="","",LEFT(B259,4))</f>
        <v/>
      </c>
      <c r="G259">
        <f>IF(A259="","",INDEX(vehicles!$I$2:$I$5,MATCH(A259,vehicles!$A$2:$A$5,0)))</f>
        <v/>
      </c>
      <c r="H259" t="inlineStr">
        <is>
          <t>fuel</t>
        </is>
      </c>
    </row>
    <row r="260">
      <c r="A260" s="5">
        <f>fillups!A260</f>
        <v/>
      </c>
      <c r="B260" s="5">
        <f>LEFT(fillups!C260,10)</f>
        <v/>
      </c>
      <c r="C260" t="inlineStr">
        <is>
          <t>fuel</t>
        </is>
      </c>
      <c r="D260" t="inlineStr">
        <is>
          <t>fillups</t>
        </is>
      </c>
      <c r="E260" s="21">
        <f>fillups!H260</f>
        <v/>
      </c>
      <c r="F260">
        <f>IF(B260="","",LEFT(B260,4))</f>
        <v/>
      </c>
      <c r="G260">
        <f>IF(A260="","",INDEX(vehicles!$I$2:$I$5,MATCH(A260,vehicles!$A$2:$A$5,0)))</f>
        <v/>
      </c>
      <c r="H260" t="inlineStr">
        <is>
          <t>fuel</t>
        </is>
      </c>
    </row>
    <row r="261">
      <c r="A261" s="5">
        <f>fillups!A261</f>
        <v/>
      </c>
      <c r="B261" s="5">
        <f>LEFT(fillups!C261,10)</f>
        <v/>
      </c>
      <c r="C261" t="inlineStr">
        <is>
          <t>fuel</t>
        </is>
      </c>
      <c r="D261" t="inlineStr">
        <is>
          <t>fillups</t>
        </is>
      </c>
      <c r="E261" s="21">
        <f>fillups!H261</f>
        <v/>
      </c>
      <c r="F261">
        <f>IF(B261="","",LEFT(B261,4))</f>
        <v/>
      </c>
      <c r="G261">
        <f>IF(A261="","",INDEX(vehicles!$I$2:$I$5,MATCH(A261,vehicles!$A$2:$A$5,0)))</f>
        <v/>
      </c>
      <c r="H261" t="inlineStr">
        <is>
          <t>fuel</t>
        </is>
      </c>
    </row>
    <row r="262">
      <c r="A262" s="5">
        <f>fillups!A262</f>
        <v/>
      </c>
      <c r="B262" s="5">
        <f>LEFT(fillups!C262,10)</f>
        <v/>
      </c>
      <c r="C262" t="inlineStr">
        <is>
          <t>fuel</t>
        </is>
      </c>
      <c r="D262" t="inlineStr">
        <is>
          <t>fillups</t>
        </is>
      </c>
      <c r="E262" s="21">
        <f>fillups!H262</f>
        <v/>
      </c>
      <c r="F262">
        <f>IF(B262="","",LEFT(B262,4))</f>
        <v/>
      </c>
      <c r="G262">
        <f>IF(A262="","",INDEX(vehicles!$I$2:$I$5,MATCH(A262,vehicles!$A$2:$A$5,0)))</f>
        <v/>
      </c>
      <c r="H262" t="inlineStr">
        <is>
          <t>fuel</t>
        </is>
      </c>
    </row>
    <row r="263">
      <c r="A263" s="5">
        <f>fillups!A263</f>
        <v/>
      </c>
      <c r="B263" s="5">
        <f>LEFT(fillups!C263,10)</f>
        <v/>
      </c>
      <c r="C263" t="inlineStr">
        <is>
          <t>fuel</t>
        </is>
      </c>
      <c r="D263" t="inlineStr">
        <is>
          <t>fillups</t>
        </is>
      </c>
      <c r="E263" s="21">
        <f>fillups!H263</f>
        <v/>
      </c>
      <c r="F263">
        <f>IF(B263="","",LEFT(B263,4))</f>
        <v/>
      </c>
      <c r="G263">
        <f>IF(A263="","",INDEX(vehicles!$I$2:$I$5,MATCH(A263,vehicles!$A$2:$A$5,0)))</f>
        <v/>
      </c>
      <c r="H263" t="inlineStr">
        <is>
          <t>fuel</t>
        </is>
      </c>
    </row>
    <row r="264">
      <c r="A264" s="5">
        <f>fillups!A264</f>
        <v/>
      </c>
      <c r="B264" s="5">
        <f>LEFT(fillups!C264,10)</f>
        <v/>
      </c>
      <c r="C264" t="inlineStr">
        <is>
          <t>fuel</t>
        </is>
      </c>
      <c r="D264" t="inlineStr">
        <is>
          <t>fillups</t>
        </is>
      </c>
      <c r="E264" s="21">
        <f>fillups!H264</f>
        <v/>
      </c>
      <c r="F264">
        <f>IF(B264="","",LEFT(B264,4))</f>
        <v/>
      </c>
      <c r="G264">
        <f>IF(A264="","",INDEX(vehicles!$I$2:$I$5,MATCH(A264,vehicles!$A$2:$A$5,0)))</f>
        <v/>
      </c>
      <c r="H264" t="inlineStr">
        <is>
          <t>fuel</t>
        </is>
      </c>
    </row>
    <row r="265">
      <c r="A265" s="5">
        <f>fillups!A265</f>
        <v/>
      </c>
      <c r="B265" s="5">
        <f>LEFT(fillups!C265,10)</f>
        <v/>
      </c>
      <c r="C265" t="inlineStr">
        <is>
          <t>fuel</t>
        </is>
      </c>
      <c r="D265" t="inlineStr">
        <is>
          <t>fillups</t>
        </is>
      </c>
      <c r="E265" s="21">
        <f>fillups!H265</f>
        <v/>
      </c>
      <c r="F265">
        <f>IF(B265="","",LEFT(B265,4))</f>
        <v/>
      </c>
      <c r="G265">
        <f>IF(A265="","",INDEX(vehicles!$I$2:$I$5,MATCH(A265,vehicles!$A$2:$A$5,0)))</f>
        <v/>
      </c>
      <c r="H265" t="inlineStr">
        <is>
          <t>fuel</t>
        </is>
      </c>
    </row>
    <row r="266">
      <c r="A266" s="5">
        <f>fillups!A266</f>
        <v/>
      </c>
      <c r="B266" s="5">
        <f>LEFT(fillups!C266,10)</f>
        <v/>
      </c>
      <c r="C266" t="inlineStr">
        <is>
          <t>fuel</t>
        </is>
      </c>
      <c r="D266" t="inlineStr">
        <is>
          <t>fillups</t>
        </is>
      </c>
      <c r="E266" s="21">
        <f>fillups!H266</f>
        <v/>
      </c>
      <c r="F266">
        <f>IF(B266="","",LEFT(B266,4))</f>
        <v/>
      </c>
      <c r="G266">
        <f>IF(A266="","",INDEX(vehicles!$I$2:$I$5,MATCH(A266,vehicles!$A$2:$A$5,0)))</f>
        <v/>
      </c>
      <c r="H266" t="inlineStr">
        <is>
          <t>fuel</t>
        </is>
      </c>
    </row>
    <row r="267">
      <c r="A267" s="5">
        <f>fillups!A267</f>
        <v/>
      </c>
      <c r="B267" s="5">
        <f>LEFT(fillups!C267,10)</f>
        <v/>
      </c>
      <c r="C267" t="inlineStr">
        <is>
          <t>fuel</t>
        </is>
      </c>
      <c r="D267" t="inlineStr">
        <is>
          <t>fillups</t>
        </is>
      </c>
      <c r="E267" s="21">
        <f>fillups!H267</f>
        <v/>
      </c>
      <c r="F267">
        <f>IF(B267="","",LEFT(B267,4))</f>
        <v/>
      </c>
      <c r="G267">
        <f>IF(A267="","",INDEX(vehicles!$I$2:$I$5,MATCH(A267,vehicles!$A$2:$A$5,0)))</f>
        <v/>
      </c>
      <c r="H267" t="inlineStr">
        <is>
          <t>fuel</t>
        </is>
      </c>
    </row>
    <row r="268">
      <c r="A268" s="5">
        <f>fillups!A268</f>
        <v/>
      </c>
      <c r="B268" s="5">
        <f>LEFT(fillups!C268,10)</f>
        <v/>
      </c>
      <c r="C268" t="inlineStr">
        <is>
          <t>fuel</t>
        </is>
      </c>
      <c r="D268" t="inlineStr">
        <is>
          <t>fillups</t>
        </is>
      </c>
      <c r="E268" s="21">
        <f>fillups!H268</f>
        <v/>
      </c>
      <c r="F268">
        <f>IF(B268="","",LEFT(B268,4))</f>
        <v/>
      </c>
      <c r="G268">
        <f>IF(A268="","",INDEX(vehicles!$I$2:$I$5,MATCH(A268,vehicles!$A$2:$A$5,0)))</f>
        <v/>
      </c>
      <c r="H268" t="inlineStr">
        <is>
          <t>fuel</t>
        </is>
      </c>
    </row>
    <row r="269">
      <c r="A269" s="5">
        <f>fillups!A269</f>
        <v/>
      </c>
      <c r="B269" s="5">
        <f>LEFT(fillups!C269,10)</f>
        <v/>
      </c>
      <c r="C269" t="inlineStr">
        <is>
          <t>fuel</t>
        </is>
      </c>
      <c r="D269" t="inlineStr">
        <is>
          <t>fillups</t>
        </is>
      </c>
      <c r="E269" s="21">
        <f>fillups!H269</f>
        <v/>
      </c>
      <c r="F269">
        <f>IF(B269="","",LEFT(B269,4))</f>
        <v/>
      </c>
      <c r="G269">
        <f>IF(A269="","",INDEX(vehicles!$I$2:$I$5,MATCH(A269,vehicles!$A$2:$A$5,0)))</f>
        <v/>
      </c>
      <c r="H269" t="inlineStr">
        <is>
          <t>fuel</t>
        </is>
      </c>
    </row>
    <row r="270">
      <c r="A270" s="5">
        <f>fillups!A270</f>
        <v/>
      </c>
      <c r="B270" s="5">
        <f>LEFT(fillups!C270,10)</f>
        <v/>
      </c>
      <c r="C270" t="inlineStr">
        <is>
          <t>fuel</t>
        </is>
      </c>
      <c r="D270" t="inlineStr">
        <is>
          <t>fillups</t>
        </is>
      </c>
      <c r="E270" s="21">
        <f>fillups!H270</f>
        <v/>
      </c>
      <c r="F270">
        <f>IF(B270="","",LEFT(B270,4))</f>
        <v/>
      </c>
      <c r="G270">
        <f>IF(A270="","",INDEX(vehicles!$I$2:$I$5,MATCH(A270,vehicles!$A$2:$A$5,0)))</f>
        <v/>
      </c>
      <c r="H270" t="inlineStr">
        <is>
          <t>fuel</t>
        </is>
      </c>
    </row>
    <row r="271">
      <c r="A271" s="5">
        <f>fillups!A271</f>
        <v/>
      </c>
      <c r="B271" s="5">
        <f>LEFT(fillups!C271,10)</f>
        <v/>
      </c>
      <c r="C271" t="inlineStr">
        <is>
          <t>fuel</t>
        </is>
      </c>
      <c r="D271" t="inlineStr">
        <is>
          <t>fillups</t>
        </is>
      </c>
      <c r="E271" s="21">
        <f>fillups!H271</f>
        <v/>
      </c>
      <c r="F271">
        <f>IF(B271="","",LEFT(B271,4))</f>
        <v/>
      </c>
      <c r="G271">
        <f>IF(A271="","",INDEX(vehicles!$I$2:$I$5,MATCH(A271,vehicles!$A$2:$A$5,0)))</f>
        <v/>
      </c>
      <c r="H271" t="inlineStr">
        <is>
          <t>fuel</t>
        </is>
      </c>
    </row>
    <row r="272">
      <c r="A272" s="5">
        <f>fillups!A272</f>
        <v/>
      </c>
      <c r="B272" s="5">
        <f>LEFT(fillups!C272,10)</f>
        <v/>
      </c>
      <c r="C272" t="inlineStr">
        <is>
          <t>fuel</t>
        </is>
      </c>
      <c r="D272" t="inlineStr">
        <is>
          <t>fillups</t>
        </is>
      </c>
      <c r="E272" s="21">
        <f>fillups!H272</f>
        <v/>
      </c>
      <c r="F272">
        <f>IF(B272="","",LEFT(B272,4))</f>
        <v/>
      </c>
      <c r="G272">
        <f>IF(A272="","",INDEX(vehicles!$I$2:$I$5,MATCH(A272,vehicles!$A$2:$A$5,0)))</f>
        <v/>
      </c>
      <c r="H272" t="inlineStr">
        <is>
          <t>fuel</t>
        </is>
      </c>
    </row>
    <row r="273">
      <c r="A273" s="5">
        <f>fillups!A273</f>
        <v/>
      </c>
      <c r="B273" s="5">
        <f>LEFT(fillups!C273,10)</f>
        <v/>
      </c>
      <c r="C273" t="inlineStr">
        <is>
          <t>fuel</t>
        </is>
      </c>
      <c r="D273" t="inlineStr">
        <is>
          <t>fillups</t>
        </is>
      </c>
      <c r="E273" s="21">
        <f>fillups!H273</f>
        <v/>
      </c>
      <c r="F273">
        <f>IF(B273="","",LEFT(B273,4))</f>
        <v/>
      </c>
      <c r="G273">
        <f>IF(A273="","",INDEX(vehicles!$I$2:$I$5,MATCH(A273,vehicles!$A$2:$A$5,0)))</f>
        <v/>
      </c>
      <c r="H273" t="inlineStr">
        <is>
          <t>fuel</t>
        </is>
      </c>
    </row>
    <row r="274">
      <c r="A274" s="5">
        <f>fillups!A274</f>
        <v/>
      </c>
      <c r="B274" s="5">
        <f>LEFT(fillups!C274,10)</f>
        <v/>
      </c>
      <c r="C274" t="inlineStr">
        <is>
          <t>fuel</t>
        </is>
      </c>
      <c r="D274" t="inlineStr">
        <is>
          <t>fillups</t>
        </is>
      </c>
      <c r="E274" s="21">
        <f>fillups!H274</f>
        <v/>
      </c>
      <c r="F274">
        <f>IF(B274="","",LEFT(B274,4))</f>
        <v/>
      </c>
      <c r="G274">
        <f>IF(A274="","",INDEX(vehicles!$I$2:$I$5,MATCH(A274,vehicles!$A$2:$A$5,0)))</f>
        <v/>
      </c>
      <c r="H274" t="inlineStr">
        <is>
          <t>fuel</t>
        </is>
      </c>
    </row>
    <row r="275">
      <c r="A275" s="5">
        <f>fillups!A275</f>
        <v/>
      </c>
      <c r="B275" s="5">
        <f>LEFT(fillups!C275,10)</f>
        <v/>
      </c>
      <c r="C275" t="inlineStr">
        <is>
          <t>fuel</t>
        </is>
      </c>
      <c r="D275" t="inlineStr">
        <is>
          <t>fillups</t>
        </is>
      </c>
      <c r="E275" s="21">
        <f>fillups!H275</f>
        <v/>
      </c>
      <c r="F275">
        <f>IF(B275="","",LEFT(B275,4))</f>
        <v/>
      </c>
      <c r="G275">
        <f>IF(A275="","",INDEX(vehicles!$I$2:$I$5,MATCH(A275,vehicles!$A$2:$A$5,0)))</f>
        <v/>
      </c>
      <c r="H275" t="inlineStr">
        <is>
          <t>fuel</t>
        </is>
      </c>
    </row>
    <row r="276">
      <c r="A276" s="5">
        <f>fillups!A276</f>
        <v/>
      </c>
      <c r="B276" s="5">
        <f>LEFT(fillups!C276,10)</f>
        <v/>
      </c>
      <c r="C276" t="inlineStr">
        <is>
          <t>fuel</t>
        </is>
      </c>
      <c r="D276" t="inlineStr">
        <is>
          <t>fillups</t>
        </is>
      </c>
      <c r="E276" s="21">
        <f>fillups!H276</f>
        <v/>
      </c>
      <c r="F276">
        <f>IF(B276="","",LEFT(B276,4))</f>
        <v/>
      </c>
      <c r="G276">
        <f>IF(A276="","",INDEX(vehicles!$I$2:$I$5,MATCH(A276,vehicles!$A$2:$A$5,0)))</f>
        <v/>
      </c>
      <c r="H276" t="inlineStr">
        <is>
          <t>fuel</t>
        </is>
      </c>
    </row>
    <row r="277">
      <c r="A277" s="5">
        <f>fillups!A277</f>
        <v/>
      </c>
      <c r="B277" s="5">
        <f>LEFT(fillups!C277,10)</f>
        <v/>
      </c>
      <c r="C277" t="inlineStr">
        <is>
          <t>fuel</t>
        </is>
      </c>
      <c r="D277" t="inlineStr">
        <is>
          <t>fillups</t>
        </is>
      </c>
      <c r="E277" s="21">
        <f>fillups!H277</f>
        <v/>
      </c>
      <c r="F277">
        <f>IF(B277="","",LEFT(B277,4))</f>
        <v/>
      </c>
      <c r="G277">
        <f>IF(A277="","",INDEX(vehicles!$I$2:$I$5,MATCH(A277,vehicles!$A$2:$A$5,0)))</f>
        <v/>
      </c>
      <c r="H277" t="inlineStr">
        <is>
          <t>fuel</t>
        </is>
      </c>
    </row>
    <row r="278">
      <c r="A278" s="5">
        <f>fillups!A278</f>
        <v/>
      </c>
      <c r="B278" s="5">
        <f>LEFT(fillups!C278,10)</f>
        <v/>
      </c>
      <c r="C278" t="inlineStr">
        <is>
          <t>fuel</t>
        </is>
      </c>
      <c r="D278" t="inlineStr">
        <is>
          <t>fillups</t>
        </is>
      </c>
      <c r="E278" s="21">
        <f>fillups!H278</f>
        <v/>
      </c>
      <c r="F278">
        <f>IF(B278="","",LEFT(B278,4))</f>
        <v/>
      </c>
      <c r="G278">
        <f>IF(A278="","",INDEX(vehicles!$I$2:$I$5,MATCH(A278,vehicles!$A$2:$A$5,0)))</f>
        <v/>
      </c>
      <c r="H278" t="inlineStr">
        <is>
          <t>fuel</t>
        </is>
      </c>
    </row>
    <row r="279">
      <c r="A279" s="5">
        <f>fillups!A279</f>
        <v/>
      </c>
      <c r="B279" s="5">
        <f>LEFT(fillups!C279,10)</f>
        <v/>
      </c>
      <c r="C279" t="inlineStr">
        <is>
          <t>fuel</t>
        </is>
      </c>
      <c r="D279" t="inlineStr">
        <is>
          <t>fillups</t>
        </is>
      </c>
      <c r="E279" s="21">
        <f>fillups!H279</f>
        <v/>
      </c>
      <c r="F279">
        <f>IF(B279="","",LEFT(B279,4))</f>
        <v/>
      </c>
      <c r="G279">
        <f>IF(A279="","",INDEX(vehicles!$I$2:$I$5,MATCH(A279,vehicles!$A$2:$A$5,0)))</f>
        <v/>
      </c>
      <c r="H279" t="inlineStr">
        <is>
          <t>fuel</t>
        </is>
      </c>
    </row>
    <row r="280">
      <c r="A280" s="5">
        <f>fillups!A280</f>
        <v/>
      </c>
      <c r="B280" s="5">
        <f>LEFT(fillups!C280,10)</f>
        <v/>
      </c>
      <c r="C280" t="inlineStr">
        <is>
          <t>fuel</t>
        </is>
      </c>
      <c r="D280" t="inlineStr">
        <is>
          <t>fillups</t>
        </is>
      </c>
      <c r="E280" s="21">
        <f>fillups!H280</f>
        <v/>
      </c>
      <c r="F280">
        <f>IF(B280="","",LEFT(B280,4))</f>
        <v/>
      </c>
      <c r="G280">
        <f>IF(A280="","",INDEX(vehicles!$I$2:$I$5,MATCH(A280,vehicles!$A$2:$A$5,0)))</f>
        <v/>
      </c>
      <c r="H280" t="inlineStr">
        <is>
          <t>fuel</t>
        </is>
      </c>
    </row>
    <row r="281">
      <c r="A281" s="5">
        <f>fillups!A281</f>
        <v/>
      </c>
      <c r="B281" s="5">
        <f>LEFT(fillups!C281,10)</f>
        <v/>
      </c>
      <c r="C281" t="inlineStr">
        <is>
          <t>fuel</t>
        </is>
      </c>
      <c r="D281" t="inlineStr">
        <is>
          <t>fillups</t>
        </is>
      </c>
      <c r="E281" s="21">
        <f>fillups!H281</f>
        <v/>
      </c>
      <c r="F281">
        <f>IF(B281="","",LEFT(B281,4))</f>
        <v/>
      </c>
      <c r="G281">
        <f>IF(A281="","",INDEX(vehicles!$I$2:$I$5,MATCH(A281,vehicles!$A$2:$A$5,0)))</f>
        <v/>
      </c>
      <c r="H281" t="inlineStr">
        <is>
          <t>fuel</t>
        </is>
      </c>
    </row>
    <row r="282">
      <c r="A282" s="5">
        <f>fillups!A282</f>
        <v/>
      </c>
      <c r="B282" s="5">
        <f>LEFT(fillups!C282,10)</f>
        <v/>
      </c>
      <c r="C282" t="inlineStr">
        <is>
          <t>fuel</t>
        </is>
      </c>
      <c r="D282" t="inlineStr">
        <is>
          <t>fillups</t>
        </is>
      </c>
      <c r="E282" s="21">
        <f>fillups!H282</f>
        <v/>
      </c>
      <c r="F282">
        <f>IF(B282="","",LEFT(B282,4))</f>
        <v/>
      </c>
      <c r="G282">
        <f>IF(A282="","",INDEX(vehicles!$I$2:$I$5,MATCH(A282,vehicles!$A$2:$A$5,0)))</f>
        <v/>
      </c>
      <c r="H282" t="inlineStr">
        <is>
          <t>fuel</t>
        </is>
      </c>
    </row>
    <row r="283">
      <c r="A283" s="5">
        <f>fillups!A283</f>
        <v/>
      </c>
      <c r="B283" s="5">
        <f>LEFT(fillups!C283,10)</f>
        <v/>
      </c>
      <c r="C283" t="inlineStr">
        <is>
          <t>fuel</t>
        </is>
      </c>
      <c r="D283" t="inlineStr">
        <is>
          <t>fillups</t>
        </is>
      </c>
      <c r="E283" s="21">
        <f>fillups!H283</f>
        <v/>
      </c>
      <c r="F283">
        <f>IF(B283="","",LEFT(B283,4))</f>
        <v/>
      </c>
      <c r="G283">
        <f>IF(A283="","",INDEX(vehicles!$I$2:$I$5,MATCH(A283,vehicles!$A$2:$A$5,0)))</f>
        <v/>
      </c>
      <c r="H283" t="inlineStr">
        <is>
          <t>fuel</t>
        </is>
      </c>
    </row>
    <row r="284">
      <c r="A284" s="5">
        <f>fillups!A284</f>
        <v/>
      </c>
      <c r="B284" s="5">
        <f>LEFT(fillups!C284,10)</f>
        <v/>
      </c>
      <c r="C284" t="inlineStr">
        <is>
          <t>fuel</t>
        </is>
      </c>
      <c r="D284" t="inlineStr">
        <is>
          <t>fillups</t>
        </is>
      </c>
      <c r="E284" s="21">
        <f>fillups!H284</f>
        <v/>
      </c>
      <c r="F284">
        <f>IF(B284="","",LEFT(B284,4))</f>
        <v/>
      </c>
      <c r="G284">
        <f>IF(A284="","",INDEX(vehicles!$I$2:$I$5,MATCH(A284,vehicles!$A$2:$A$5,0)))</f>
        <v/>
      </c>
      <c r="H284" t="inlineStr">
        <is>
          <t>fuel</t>
        </is>
      </c>
    </row>
    <row r="285">
      <c r="A285" s="5">
        <f>fillups!A285</f>
        <v/>
      </c>
      <c r="B285" s="5">
        <f>LEFT(fillups!C285,10)</f>
        <v/>
      </c>
      <c r="C285" t="inlineStr">
        <is>
          <t>fuel</t>
        </is>
      </c>
      <c r="D285" t="inlineStr">
        <is>
          <t>fillups</t>
        </is>
      </c>
      <c r="E285" s="21">
        <f>fillups!H285</f>
        <v/>
      </c>
      <c r="F285">
        <f>IF(B285="","",LEFT(B285,4))</f>
        <v/>
      </c>
      <c r="G285">
        <f>IF(A285="","",INDEX(vehicles!$I$2:$I$5,MATCH(A285,vehicles!$A$2:$A$5,0)))</f>
        <v/>
      </c>
      <c r="H285" t="inlineStr">
        <is>
          <t>fuel</t>
        </is>
      </c>
    </row>
    <row r="286">
      <c r="A286" s="5">
        <f>fillups!A286</f>
        <v/>
      </c>
      <c r="B286" s="5">
        <f>LEFT(fillups!C286,10)</f>
        <v/>
      </c>
      <c r="C286" t="inlineStr">
        <is>
          <t>fuel</t>
        </is>
      </c>
      <c r="D286" t="inlineStr">
        <is>
          <t>fillups</t>
        </is>
      </c>
      <c r="E286" s="21">
        <f>fillups!H286</f>
        <v/>
      </c>
      <c r="F286">
        <f>IF(B286="","",LEFT(B286,4))</f>
        <v/>
      </c>
      <c r="G286">
        <f>IF(A286="","",INDEX(vehicles!$I$2:$I$5,MATCH(A286,vehicles!$A$2:$A$5,0)))</f>
        <v/>
      </c>
      <c r="H286" t="inlineStr">
        <is>
          <t>fuel</t>
        </is>
      </c>
    </row>
    <row r="287">
      <c r="A287" s="5">
        <f>fillups!A287</f>
        <v/>
      </c>
      <c r="B287" s="5">
        <f>LEFT(fillups!C287,10)</f>
        <v/>
      </c>
      <c r="C287" t="inlineStr">
        <is>
          <t>fuel</t>
        </is>
      </c>
      <c r="D287" t="inlineStr">
        <is>
          <t>fillups</t>
        </is>
      </c>
      <c r="E287" s="21">
        <f>fillups!H287</f>
        <v/>
      </c>
      <c r="F287">
        <f>IF(B287="","",LEFT(B287,4))</f>
        <v/>
      </c>
      <c r="G287">
        <f>IF(A287="","",INDEX(vehicles!$I$2:$I$5,MATCH(A287,vehicles!$A$2:$A$5,0)))</f>
        <v/>
      </c>
      <c r="H287" t="inlineStr">
        <is>
          <t>fuel</t>
        </is>
      </c>
    </row>
    <row r="288">
      <c r="A288" s="5">
        <f>fillups!A288</f>
        <v/>
      </c>
      <c r="B288" s="5">
        <f>LEFT(fillups!C288,10)</f>
        <v/>
      </c>
      <c r="C288" t="inlineStr">
        <is>
          <t>fuel</t>
        </is>
      </c>
      <c r="D288" t="inlineStr">
        <is>
          <t>fillups</t>
        </is>
      </c>
      <c r="E288" s="21">
        <f>fillups!H288</f>
        <v/>
      </c>
      <c r="F288">
        <f>IF(B288="","",LEFT(B288,4))</f>
        <v/>
      </c>
      <c r="G288">
        <f>IF(A288="","",INDEX(vehicles!$I$2:$I$5,MATCH(A288,vehicles!$A$2:$A$5,0)))</f>
        <v/>
      </c>
      <c r="H288" t="inlineStr">
        <is>
          <t>fuel</t>
        </is>
      </c>
    </row>
    <row r="289">
      <c r="A289" s="5">
        <f>fillups!A289</f>
        <v/>
      </c>
      <c r="B289" s="5">
        <f>LEFT(fillups!C289,10)</f>
        <v/>
      </c>
      <c r="C289" t="inlineStr">
        <is>
          <t>fuel</t>
        </is>
      </c>
      <c r="D289" t="inlineStr">
        <is>
          <t>fillups</t>
        </is>
      </c>
      <c r="E289" s="21">
        <f>fillups!H289</f>
        <v/>
      </c>
      <c r="F289">
        <f>IF(B289="","",LEFT(B289,4))</f>
        <v/>
      </c>
      <c r="G289">
        <f>IF(A289="","",INDEX(vehicles!$I$2:$I$5,MATCH(A289,vehicles!$A$2:$A$5,0)))</f>
        <v/>
      </c>
      <c r="H289" t="inlineStr">
        <is>
          <t>fuel</t>
        </is>
      </c>
    </row>
    <row r="290">
      <c r="A290" s="5">
        <f>fillups!A290</f>
        <v/>
      </c>
      <c r="B290" s="5">
        <f>LEFT(fillups!C290,10)</f>
        <v/>
      </c>
      <c r="C290" t="inlineStr">
        <is>
          <t>fuel</t>
        </is>
      </c>
      <c r="D290" t="inlineStr">
        <is>
          <t>fillups</t>
        </is>
      </c>
      <c r="E290" s="21">
        <f>fillups!H290</f>
        <v/>
      </c>
      <c r="F290">
        <f>IF(B290="","",LEFT(B290,4))</f>
        <v/>
      </c>
      <c r="G290">
        <f>IF(A290="","",INDEX(vehicles!$I$2:$I$5,MATCH(A290,vehicles!$A$2:$A$5,0)))</f>
        <v/>
      </c>
      <c r="H290" t="inlineStr">
        <is>
          <t>fuel</t>
        </is>
      </c>
    </row>
    <row r="291">
      <c r="A291" s="5">
        <f>fillups!A291</f>
        <v/>
      </c>
      <c r="B291" s="5">
        <f>LEFT(fillups!C291,10)</f>
        <v/>
      </c>
      <c r="C291" t="inlineStr">
        <is>
          <t>fuel</t>
        </is>
      </c>
      <c r="D291" t="inlineStr">
        <is>
          <t>fillups</t>
        </is>
      </c>
      <c r="E291" s="21">
        <f>fillups!H291</f>
        <v/>
      </c>
      <c r="F291">
        <f>IF(B291="","",LEFT(B291,4))</f>
        <v/>
      </c>
      <c r="G291">
        <f>IF(A291="","",INDEX(vehicles!$I$2:$I$5,MATCH(A291,vehicles!$A$2:$A$5,0)))</f>
        <v/>
      </c>
      <c r="H291" t="inlineStr">
        <is>
          <t>fuel</t>
        </is>
      </c>
    </row>
    <row r="292">
      <c r="A292" s="5">
        <f>fillups!A292</f>
        <v/>
      </c>
      <c r="B292" s="5">
        <f>LEFT(fillups!C292,10)</f>
        <v/>
      </c>
      <c r="C292" t="inlineStr">
        <is>
          <t>fuel</t>
        </is>
      </c>
      <c r="D292" t="inlineStr">
        <is>
          <t>fillups</t>
        </is>
      </c>
      <c r="E292" s="21">
        <f>fillups!H292</f>
        <v/>
      </c>
      <c r="F292">
        <f>IF(B292="","",LEFT(B292,4))</f>
        <v/>
      </c>
      <c r="G292">
        <f>IF(A292="","",INDEX(vehicles!$I$2:$I$5,MATCH(A292,vehicles!$A$2:$A$5,0)))</f>
        <v/>
      </c>
      <c r="H292" t="inlineStr">
        <is>
          <t>fuel</t>
        </is>
      </c>
    </row>
    <row r="293">
      <c r="A293" s="5">
        <f>fillups!A293</f>
        <v/>
      </c>
      <c r="B293" s="5">
        <f>LEFT(fillups!C293,10)</f>
        <v/>
      </c>
      <c r="C293" t="inlineStr">
        <is>
          <t>fuel</t>
        </is>
      </c>
      <c r="D293" t="inlineStr">
        <is>
          <t>fillups</t>
        </is>
      </c>
      <c r="E293" s="21">
        <f>fillups!H293</f>
        <v/>
      </c>
      <c r="F293">
        <f>IF(B293="","",LEFT(B293,4))</f>
        <v/>
      </c>
      <c r="G293">
        <f>IF(A293="","",INDEX(vehicles!$I$2:$I$5,MATCH(A293,vehicles!$A$2:$A$5,0)))</f>
        <v/>
      </c>
      <c r="H293" t="inlineStr">
        <is>
          <t>fuel</t>
        </is>
      </c>
    </row>
    <row r="294">
      <c r="A294" s="5">
        <f>fillups!A294</f>
        <v/>
      </c>
      <c r="B294" s="5">
        <f>LEFT(fillups!C294,10)</f>
        <v/>
      </c>
      <c r="C294" t="inlineStr">
        <is>
          <t>fuel</t>
        </is>
      </c>
      <c r="D294" t="inlineStr">
        <is>
          <t>fillups</t>
        </is>
      </c>
      <c r="E294" s="21">
        <f>fillups!H294</f>
        <v/>
      </c>
      <c r="F294">
        <f>IF(B294="","",LEFT(B294,4))</f>
        <v/>
      </c>
      <c r="G294">
        <f>IF(A294="","",INDEX(vehicles!$I$2:$I$5,MATCH(A294,vehicles!$A$2:$A$5,0)))</f>
        <v/>
      </c>
      <c r="H294" t="inlineStr">
        <is>
          <t>fuel</t>
        </is>
      </c>
    </row>
    <row r="295">
      <c r="A295" s="5">
        <f>fillups!A295</f>
        <v/>
      </c>
      <c r="B295" s="5">
        <f>LEFT(fillups!C295,10)</f>
        <v/>
      </c>
      <c r="C295" t="inlineStr">
        <is>
          <t>fuel</t>
        </is>
      </c>
      <c r="D295" t="inlineStr">
        <is>
          <t>fillups</t>
        </is>
      </c>
      <c r="E295" s="21">
        <f>fillups!H295</f>
        <v/>
      </c>
      <c r="F295">
        <f>IF(B295="","",LEFT(B295,4))</f>
        <v/>
      </c>
      <c r="G295">
        <f>IF(A295="","",INDEX(vehicles!$I$2:$I$5,MATCH(A295,vehicles!$A$2:$A$5,0)))</f>
        <v/>
      </c>
      <c r="H295" t="inlineStr">
        <is>
          <t>fuel</t>
        </is>
      </c>
    </row>
    <row r="296">
      <c r="A296" s="5">
        <f>fillups!A296</f>
        <v/>
      </c>
      <c r="B296" s="5">
        <f>LEFT(fillups!C296,10)</f>
        <v/>
      </c>
      <c r="C296" t="inlineStr">
        <is>
          <t>fuel</t>
        </is>
      </c>
      <c r="D296" t="inlineStr">
        <is>
          <t>fillups</t>
        </is>
      </c>
      <c r="E296" s="21">
        <f>fillups!H296</f>
        <v/>
      </c>
      <c r="F296">
        <f>IF(B296="","",LEFT(B296,4))</f>
        <v/>
      </c>
      <c r="G296">
        <f>IF(A296="","",INDEX(vehicles!$I$2:$I$5,MATCH(A296,vehicles!$A$2:$A$5,0)))</f>
        <v/>
      </c>
      <c r="H296" t="inlineStr">
        <is>
          <t>fuel</t>
        </is>
      </c>
    </row>
    <row r="297">
      <c r="A297" s="5">
        <f>fillups!A297</f>
        <v/>
      </c>
      <c r="B297" s="5">
        <f>LEFT(fillups!C297,10)</f>
        <v/>
      </c>
      <c r="C297" t="inlineStr">
        <is>
          <t>fuel</t>
        </is>
      </c>
      <c r="D297" t="inlineStr">
        <is>
          <t>fillups</t>
        </is>
      </c>
      <c r="E297" s="21">
        <f>fillups!H297</f>
        <v/>
      </c>
      <c r="F297">
        <f>IF(B297="","",LEFT(B297,4))</f>
        <v/>
      </c>
      <c r="G297">
        <f>IF(A297="","",INDEX(vehicles!$I$2:$I$5,MATCH(A297,vehicles!$A$2:$A$5,0)))</f>
        <v/>
      </c>
      <c r="H297" t="inlineStr">
        <is>
          <t>fuel</t>
        </is>
      </c>
    </row>
    <row r="298">
      <c r="A298" s="5">
        <f>fillups!A298</f>
        <v/>
      </c>
      <c r="B298" s="5">
        <f>LEFT(fillups!C298,10)</f>
        <v/>
      </c>
      <c r="C298" t="inlineStr">
        <is>
          <t>fuel</t>
        </is>
      </c>
      <c r="D298" t="inlineStr">
        <is>
          <t>fillups</t>
        </is>
      </c>
      <c r="E298" s="21">
        <f>fillups!H298</f>
        <v/>
      </c>
      <c r="F298">
        <f>IF(B298="","",LEFT(B298,4))</f>
        <v/>
      </c>
      <c r="G298">
        <f>IF(A298="","",INDEX(vehicles!$I$2:$I$5,MATCH(A298,vehicles!$A$2:$A$5,0)))</f>
        <v/>
      </c>
      <c r="H298" t="inlineStr">
        <is>
          <t>fuel</t>
        </is>
      </c>
    </row>
    <row r="299">
      <c r="A299" s="5">
        <f>fillups!A299</f>
        <v/>
      </c>
      <c r="B299" s="5">
        <f>LEFT(fillups!C299,10)</f>
        <v/>
      </c>
      <c r="C299" t="inlineStr">
        <is>
          <t>fuel</t>
        </is>
      </c>
      <c r="D299" t="inlineStr">
        <is>
          <t>fillups</t>
        </is>
      </c>
      <c r="E299" s="21">
        <f>fillups!H299</f>
        <v/>
      </c>
      <c r="F299">
        <f>IF(B299="","",LEFT(B299,4))</f>
        <v/>
      </c>
      <c r="G299">
        <f>IF(A299="","",INDEX(vehicles!$I$2:$I$5,MATCH(A299,vehicles!$A$2:$A$5,0)))</f>
        <v/>
      </c>
      <c r="H299" t="inlineStr">
        <is>
          <t>fuel</t>
        </is>
      </c>
    </row>
    <row r="300">
      <c r="A300" s="5">
        <f>fillups!A300</f>
        <v/>
      </c>
      <c r="B300" s="5">
        <f>LEFT(fillups!C300,10)</f>
        <v/>
      </c>
      <c r="C300" t="inlineStr">
        <is>
          <t>fuel</t>
        </is>
      </c>
      <c r="D300" t="inlineStr">
        <is>
          <t>fillups</t>
        </is>
      </c>
      <c r="E300" s="21">
        <f>fillups!H300</f>
        <v/>
      </c>
      <c r="F300">
        <f>IF(B300="","",LEFT(B300,4))</f>
        <v/>
      </c>
      <c r="G300">
        <f>IF(A300="","",INDEX(vehicles!$I$2:$I$5,MATCH(A300,vehicles!$A$2:$A$5,0)))</f>
        <v/>
      </c>
      <c r="H300" t="inlineStr">
        <is>
          <t>fuel</t>
        </is>
      </c>
    </row>
    <row r="301">
      <c r="A301" s="5">
        <f>fillups!A301</f>
        <v/>
      </c>
      <c r="B301" s="5">
        <f>LEFT(fillups!C301,10)</f>
        <v/>
      </c>
      <c r="C301" t="inlineStr">
        <is>
          <t>fuel</t>
        </is>
      </c>
      <c r="D301" t="inlineStr">
        <is>
          <t>fillups</t>
        </is>
      </c>
      <c r="E301" s="21">
        <f>fillups!H301</f>
        <v/>
      </c>
      <c r="F301">
        <f>IF(B301="","",LEFT(B301,4))</f>
        <v/>
      </c>
      <c r="G301">
        <f>IF(A301="","",INDEX(vehicles!$I$2:$I$5,MATCH(A301,vehicles!$A$2:$A$5,0)))</f>
        <v/>
      </c>
      <c r="H301" t="inlineStr">
        <is>
          <t>fuel</t>
        </is>
      </c>
    </row>
    <row r="302">
      <c r="A302" s="5">
        <f>fillups!A302</f>
        <v/>
      </c>
      <c r="B302" s="5">
        <f>LEFT(fillups!C302,10)</f>
        <v/>
      </c>
      <c r="C302" t="inlineStr">
        <is>
          <t>fuel</t>
        </is>
      </c>
      <c r="D302" t="inlineStr">
        <is>
          <t>fillups</t>
        </is>
      </c>
      <c r="E302" s="21">
        <f>fillups!H302</f>
        <v/>
      </c>
      <c r="F302">
        <f>IF(B302="","",LEFT(B302,4))</f>
        <v/>
      </c>
      <c r="G302">
        <f>IF(A302="","",INDEX(vehicles!$I$2:$I$5,MATCH(A302,vehicles!$A$2:$A$5,0)))</f>
        <v/>
      </c>
      <c r="H302" t="inlineStr">
        <is>
          <t>fuel</t>
        </is>
      </c>
    </row>
    <row r="303">
      <c r="A303" s="5">
        <f>fillups!A303</f>
        <v/>
      </c>
      <c r="B303" s="5">
        <f>LEFT(fillups!C303,10)</f>
        <v/>
      </c>
      <c r="C303" t="inlineStr">
        <is>
          <t>fuel</t>
        </is>
      </c>
      <c r="D303" t="inlineStr">
        <is>
          <t>fillups</t>
        </is>
      </c>
      <c r="E303" s="21">
        <f>fillups!H303</f>
        <v/>
      </c>
      <c r="F303">
        <f>IF(B303="","",LEFT(B303,4))</f>
        <v/>
      </c>
      <c r="G303">
        <f>IF(A303="","",INDEX(vehicles!$I$2:$I$5,MATCH(A303,vehicles!$A$2:$A$5,0)))</f>
        <v/>
      </c>
      <c r="H303" t="inlineStr">
        <is>
          <t>fuel</t>
        </is>
      </c>
    </row>
    <row r="304">
      <c r="A304" s="5">
        <f>fillups!A304</f>
        <v/>
      </c>
      <c r="B304" s="5">
        <f>LEFT(fillups!C304,10)</f>
        <v/>
      </c>
      <c r="C304" t="inlineStr">
        <is>
          <t>fuel</t>
        </is>
      </c>
      <c r="D304" t="inlineStr">
        <is>
          <t>fillups</t>
        </is>
      </c>
      <c r="E304" s="21">
        <f>fillups!H304</f>
        <v/>
      </c>
      <c r="F304">
        <f>IF(B304="","",LEFT(B304,4))</f>
        <v/>
      </c>
      <c r="G304">
        <f>IF(A304="","",INDEX(vehicles!$I$2:$I$5,MATCH(A304,vehicles!$A$2:$A$5,0)))</f>
        <v/>
      </c>
      <c r="H304" t="inlineStr">
        <is>
          <t>fuel</t>
        </is>
      </c>
    </row>
    <row r="305">
      <c r="A305" s="5">
        <f>fillups!A305</f>
        <v/>
      </c>
      <c r="B305" s="5">
        <f>LEFT(fillups!C305,10)</f>
        <v/>
      </c>
      <c r="C305" t="inlineStr">
        <is>
          <t>fuel</t>
        </is>
      </c>
      <c r="D305" t="inlineStr">
        <is>
          <t>fillups</t>
        </is>
      </c>
      <c r="E305" s="21">
        <f>fillups!H305</f>
        <v/>
      </c>
      <c r="F305">
        <f>IF(B305="","",LEFT(B305,4))</f>
        <v/>
      </c>
      <c r="G305">
        <f>IF(A305="","",INDEX(vehicles!$I$2:$I$5,MATCH(A305,vehicles!$A$2:$A$5,0)))</f>
        <v/>
      </c>
      <c r="H305" t="inlineStr">
        <is>
          <t>fuel</t>
        </is>
      </c>
    </row>
    <row r="306">
      <c r="A306" s="5">
        <f>fillups!A306</f>
        <v/>
      </c>
      <c r="B306" s="5">
        <f>LEFT(fillups!C306,10)</f>
        <v/>
      </c>
      <c r="C306" t="inlineStr">
        <is>
          <t>fuel</t>
        </is>
      </c>
      <c r="D306" t="inlineStr">
        <is>
          <t>fillups</t>
        </is>
      </c>
      <c r="E306" s="21">
        <f>fillups!H306</f>
        <v/>
      </c>
      <c r="F306">
        <f>IF(B306="","",LEFT(B306,4))</f>
        <v/>
      </c>
      <c r="G306">
        <f>IF(A306="","",INDEX(vehicles!$I$2:$I$5,MATCH(A306,vehicles!$A$2:$A$5,0)))</f>
        <v/>
      </c>
      <c r="H306" t="inlineStr">
        <is>
          <t>fuel</t>
        </is>
      </c>
    </row>
    <row r="307">
      <c r="A307" s="5">
        <f>fillups!A307</f>
        <v/>
      </c>
      <c r="B307" s="5">
        <f>LEFT(fillups!C307,10)</f>
        <v/>
      </c>
      <c r="C307" t="inlineStr">
        <is>
          <t>fuel</t>
        </is>
      </c>
      <c r="D307" t="inlineStr">
        <is>
          <t>fillups</t>
        </is>
      </c>
      <c r="E307" s="21">
        <f>fillups!H307</f>
        <v/>
      </c>
      <c r="F307">
        <f>IF(B307="","",LEFT(B307,4))</f>
        <v/>
      </c>
      <c r="G307">
        <f>IF(A307="","",INDEX(vehicles!$I$2:$I$5,MATCH(A307,vehicles!$A$2:$A$5,0)))</f>
        <v/>
      </c>
      <c r="H307" t="inlineStr">
        <is>
          <t>fuel</t>
        </is>
      </c>
    </row>
    <row r="308">
      <c r="A308" s="5">
        <f>fillups!A308</f>
        <v/>
      </c>
      <c r="B308" s="5">
        <f>LEFT(fillups!C308,10)</f>
        <v/>
      </c>
      <c r="C308" t="inlineStr">
        <is>
          <t>fuel</t>
        </is>
      </c>
      <c r="D308" t="inlineStr">
        <is>
          <t>fillups</t>
        </is>
      </c>
      <c r="E308" s="21">
        <f>fillups!H308</f>
        <v/>
      </c>
      <c r="F308">
        <f>IF(B308="","",LEFT(B308,4))</f>
        <v/>
      </c>
      <c r="G308">
        <f>IF(A308="","",INDEX(vehicles!$I$2:$I$5,MATCH(A308,vehicles!$A$2:$A$5,0)))</f>
        <v/>
      </c>
      <c r="H308" t="inlineStr">
        <is>
          <t>fuel</t>
        </is>
      </c>
    </row>
    <row r="309">
      <c r="A309" s="5">
        <f>fillups!A309</f>
        <v/>
      </c>
      <c r="B309" s="5">
        <f>LEFT(fillups!C309,10)</f>
        <v/>
      </c>
      <c r="C309" t="inlineStr">
        <is>
          <t>fuel</t>
        </is>
      </c>
      <c r="D309" t="inlineStr">
        <is>
          <t>fillups</t>
        </is>
      </c>
      <c r="E309" s="21">
        <f>fillups!H309</f>
        <v/>
      </c>
      <c r="F309">
        <f>IF(B309="","",LEFT(B309,4))</f>
        <v/>
      </c>
      <c r="G309">
        <f>IF(A309="","",INDEX(vehicles!$I$2:$I$5,MATCH(A309,vehicles!$A$2:$A$5,0)))</f>
        <v/>
      </c>
      <c r="H309" t="inlineStr">
        <is>
          <t>fuel</t>
        </is>
      </c>
    </row>
    <row r="310">
      <c r="A310" s="5">
        <f>fillups!A310</f>
        <v/>
      </c>
      <c r="B310" s="5">
        <f>LEFT(fillups!C310,10)</f>
        <v/>
      </c>
      <c r="C310" t="inlineStr">
        <is>
          <t>fuel</t>
        </is>
      </c>
      <c r="D310" t="inlineStr">
        <is>
          <t>fillups</t>
        </is>
      </c>
      <c r="E310" s="21">
        <f>fillups!H310</f>
        <v/>
      </c>
      <c r="F310">
        <f>IF(B310="","",LEFT(B310,4))</f>
        <v/>
      </c>
      <c r="G310">
        <f>IF(A310="","",INDEX(vehicles!$I$2:$I$5,MATCH(A310,vehicles!$A$2:$A$5,0)))</f>
        <v/>
      </c>
      <c r="H310" t="inlineStr">
        <is>
          <t>fuel</t>
        </is>
      </c>
    </row>
    <row r="311">
      <c r="A311" s="5">
        <f>fillups!A311</f>
        <v/>
      </c>
      <c r="B311" s="5">
        <f>LEFT(fillups!C311,10)</f>
        <v/>
      </c>
      <c r="C311" t="inlineStr">
        <is>
          <t>fuel</t>
        </is>
      </c>
      <c r="D311" t="inlineStr">
        <is>
          <t>fillups</t>
        </is>
      </c>
      <c r="E311" s="21">
        <f>fillups!H311</f>
        <v/>
      </c>
      <c r="F311">
        <f>IF(B311="","",LEFT(B311,4))</f>
        <v/>
      </c>
      <c r="G311">
        <f>IF(A311="","",INDEX(vehicles!$I$2:$I$5,MATCH(A311,vehicles!$A$2:$A$5,0)))</f>
        <v/>
      </c>
      <c r="H311" t="inlineStr">
        <is>
          <t>fuel</t>
        </is>
      </c>
    </row>
    <row r="312">
      <c r="A312" s="5">
        <f>fillups!A312</f>
        <v/>
      </c>
      <c r="B312" s="5">
        <f>LEFT(fillups!C312,10)</f>
        <v/>
      </c>
      <c r="C312" t="inlineStr">
        <is>
          <t>fuel</t>
        </is>
      </c>
      <c r="D312" t="inlineStr">
        <is>
          <t>fillups</t>
        </is>
      </c>
      <c r="E312" s="21">
        <f>fillups!H312</f>
        <v/>
      </c>
      <c r="F312">
        <f>IF(B312="","",LEFT(B312,4))</f>
        <v/>
      </c>
      <c r="G312">
        <f>IF(A312="","",INDEX(vehicles!$I$2:$I$5,MATCH(A312,vehicles!$A$2:$A$5,0)))</f>
        <v/>
      </c>
      <c r="H312" t="inlineStr">
        <is>
          <t>fuel</t>
        </is>
      </c>
    </row>
    <row r="313">
      <c r="A313" s="5">
        <f>fillups!A313</f>
        <v/>
      </c>
      <c r="B313" s="5">
        <f>LEFT(fillups!C313,10)</f>
        <v/>
      </c>
      <c r="C313" t="inlineStr">
        <is>
          <t>fuel</t>
        </is>
      </c>
      <c r="D313" t="inlineStr">
        <is>
          <t>fillups</t>
        </is>
      </c>
      <c r="E313" s="21">
        <f>fillups!H313</f>
        <v/>
      </c>
      <c r="F313">
        <f>IF(B313="","",LEFT(B313,4))</f>
        <v/>
      </c>
      <c r="G313">
        <f>IF(A313="","",INDEX(vehicles!$I$2:$I$5,MATCH(A313,vehicles!$A$2:$A$5,0)))</f>
        <v/>
      </c>
      <c r="H313" t="inlineStr">
        <is>
          <t>fuel</t>
        </is>
      </c>
    </row>
    <row r="314">
      <c r="A314" s="5">
        <f>fillups!A314</f>
        <v/>
      </c>
      <c r="B314" s="5">
        <f>LEFT(fillups!C314,10)</f>
        <v/>
      </c>
      <c r="C314" t="inlineStr">
        <is>
          <t>fuel</t>
        </is>
      </c>
      <c r="D314" t="inlineStr">
        <is>
          <t>fillups</t>
        </is>
      </c>
      <c r="E314" s="21">
        <f>fillups!H314</f>
        <v/>
      </c>
      <c r="F314">
        <f>IF(B314="","",LEFT(B314,4))</f>
        <v/>
      </c>
      <c r="G314">
        <f>IF(A314="","",INDEX(vehicles!$I$2:$I$5,MATCH(A314,vehicles!$A$2:$A$5,0)))</f>
        <v/>
      </c>
      <c r="H314" t="inlineStr">
        <is>
          <t>fuel</t>
        </is>
      </c>
    </row>
    <row r="315">
      <c r="A315" s="5">
        <f>fillups!A315</f>
        <v/>
      </c>
      <c r="B315" s="5">
        <f>LEFT(fillups!C315,10)</f>
        <v/>
      </c>
      <c r="C315" t="inlineStr">
        <is>
          <t>fuel</t>
        </is>
      </c>
      <c r="D315" t="inlineStr">
        <is>
          <t>fillups</t>
        </is>
      </c>
      <c r="E315" s="21">
        <f>fillups!H315</f>
        <v/>
      </c>
      <c r="F315">
        <f>IF(B315="","",LEFT(B315,4))</f>
        <v/>
      </c>
      <c r="G315">
        <f>IF(A315="","",INDEX(vehicles!$I$2:$I$5,MATCH(A315,vehicles!$A$2:$A$5,0)))</f>
        <v/>
      </c>
      <c r="H315" t="inlineStr">
        <is>
          <t>fuel</t>
        </is>
      </c>
    </row>
    <row r="316">
      <c r="A316" s="5">
        <f>fillups!A316</f>
        <v/>
      </c>
      <c r="B316" s="5">
        <f>LEFT(fillups!C316,10)</f>
        <v/>
      </c>
      <c r="C316" t="inlineStr">
        <is>
          <t>fuel</t>
        </is>
      </c>
      <c r="D316" t="inlineStr">
        <is>
          <t>fillups</t>
        </is>
      </c>
      <c r="E316" s="21">
        <f>fillups!H316</f>
        <v/>
      </c>
      <c r="F316">
        <f>IF(B316="","",LEFT(B316,4))</f>
        <v/>
      </c>
      <c r="G316">
        <f>IF(A316="","",INDEX(vehicles!$I$2:$I$5,MATCH(A316,vehicles!$A$2:$A$5,0)))</f>
        <v/>
      </c>
      <c r="H316" t="inlineStr">
        <is>
          <t>fuel</t>
        </is>
      </c>
    </row>
    <row r="317">
      <c r="A317" s="5">
        <f>fillups!A317</f>
        <v/>
      </c>
      <c r="B317" s="5">
        <f>LEFT(fillups!C317,10)</f>
        <v/>
      </c>
      <c r="C317" t="inlineStr">
        <is>
          <t>fuel</t>
        </is>
      </c>
      <c r="D317" t="inlineStr">
        <is>
          <t>fillups</t>
        </is>
      </c>
      <c r="E317" s="21">
        <f>fillups!H317</f>
        <v/>
      </c>
      <c r="F317">
        <f>IF(B317="","",LEFT(B317,4))</f>
        <v/>
      </c>
      <c r="G317">
        <f>IF(A317="","",INDEX(vehicles!$I$2:$I$5,MATCH(A317,vehicles!$A$2:$A$5,0)))</f>
        <v/>
      </c>
      <c r="H317" t="inlineStr">
        <is>
          <t>fuel</t>
        </is>
      </c>
    </row>
    <row r="318">
      <c r="A318" s="5">
        <f>fillups!A318</f>
        <v/>
      </c>
      <c r="B318" s="5">
        <f>LEFT(fillups!C318,10)</f>
        <v/>
      </c>
      <c r="C318" t="inlineStr">
        <is>
          <t>fuel</t>
        </is>
      </c>
      <c r="D318" t="inlineStr">
        <is>
          <t>fillups</t>
        </is>
      </c>
      <c r="E318" s="21">
        <f>fillups!H318</f>
        <v/>
      </c>
      <c r="F318">
        <f>IF(B318="","",LEFT(B318,4))</f>
        <v/>
      </c>
      <c r="G318">
        <f>IF(A318="","",INDEX(vehicles!$I$2:$I$5,MATCH(A318,vehicles!$A$2:$A$5,0)))</f>
        <v/>
      </c>
      <c r="H318" t="inlineStr">
        <is>
          <t>fuel</t>
        </is>
      </c>
    </row>
    <row r="319">
      <c r="A319" s="5">
        <f>fillups!A319</f>
        <v/>
      </c>
      <c r="B319" s="5">
        <f>LEFT(fillups!C319,10)</f>
        <v/>
      </c>
      <c r="C319" t="inlineStr">
        <is>
          <t>fuel</t>
        </is>
      </c>
      <c r="D319" t="inlineStr">
        <is>
          <t>fillups</t>
        </is>
      </c>
      <c r="E319" s="21">
        <f>fillups!H319</f>
        <v/>
      </c>
      <c r="F319">
        <f>IF(B319="","",LEFT(B319,4))</f>
        <v/>
      </c>
      <c r="G319">
        <f>IF(A319="","",INDEX(vehicles!$I$2:$I$5,MATCH(A319,vehicles!$A$2:$A$5,0)))</f>
        <v/>
      </c>
      <c r="H319" t="inlineStr">
        <is>
          <t>fuel</t>
        </is>
      </c>
    </row>
    <row r="320">
      <c r="A320" s="5">
        <f>fillups!A320</f>
        <v/>
      </c>
      <c r="B320" s="5">
        <f>LEFT(fillups!C320,10)</f>
        <v/>
      </c>
      <c r="C320" t="inlineStr">
        <is>
          <t>fuel</t>
        </is>
      </c>
      <c r="D320" t="inlineStr">
        <is>
          <t>fillups</t>
        </is>
      </c>
      <c r="E320" s="21">
        <f>fillups!H320</f>
        <v/>
      </c>
      <c r="F320">
        <f>IF(B320="","",LEFT(B320,4))</f>
        <v/>
      </c>
      <c r="G320">
        <f>IF(A320="","",INDEX(vehicles!$I$2:$I$5,MATCH(A320,vehicles!$A$2:$A$5,0)))</f>
        <v/>
      </c>
      <c r="H320" t="inlineStr">
        <is>
          <t>fuel</t>
        </is>
      </c>
    </row>
    <row r="321">
      <c r="A321" s="5">
        <f>fillups!A321</f>
        <v/>
      </c>
      <c r="B321" s="5">
        <f>LEFT(fillups!C321,10)</f>
        <v/>
      </c>
      <c r="C321" t="inlineStr">
        <is>
          <t>fuel</t>
        </is>
      </c>
      <c r="D321" t="inlineStr">
        <is>
          <t>fillups</t>
        </is>
      </c>
      <c r="E321" s="21">
        <f>fillups!H321</f>
        <v/>
      </c>
      <c r="F321">
        <f>IF(B321="","",LEFT(B321,4))</f>
        <v/>
      </c>
      <c r="G321">
        <f>IF(A321="","",INDEX(vehicles!$I$2:$I$5,MATCH(A321,vehicles!$A$2:$A$5,0)))</f>
        <v/>
      </c>
      <c r="H321" t="inlineStr">
        <is>
          <t>fuel</t>
        </is>
      </c>
    </row>
    <row r="322">
      <c r="A322" s="5">
        <f>fillups!A322</f>
        <v/>
      </c>
      <c r="B322" s="5">
        <f>LEFT(fillups!C322,10)</f>
        <v/>
      </c>
      <c r="C322" t="inlineStr">
        <is>
          <t>fuel</t>
        </is>
      </c>
      <c r="D322" t="inlineStr">
        <is>
          <t>fillups</t>
        </is>
      </c>
      <c r="E322" s="21">
        <f>fillups!H322</f>
        <v/>
      </c>
      <c r="F322">
        <f>IF(B322="","",LEFT(B322,4))</f>
        <v/>
      </c>
      <c r="G322">
        <f>IF(A322="","",INDEX(vehicles!$I$2:$I$5,MATCH(A322,vehicles!$A$2:$A$5,0)))</f>
        <v/>
      </c>
      <c r="H322" t="inlineStr">
        <is>
          <t>fuel</t>
        </is>
      </c>
    </row>
    <row r="323">
      <c r="A323" s="5">
        <f>fillups!A323</f>
        <v/>
      </c>
      <c r="B323" s="5">
        <f>LEFT(fillups!C323,10)</f>
        <v/>
      </c>
      <c r="C323" t="inlineStr">
        <is>
          <t>fuel</t>
        </is>
      </c>
      <c r="D323" t="inlineStr">
        <is>
          <t>fillups</t>
        </is>
      </c>
      <c r="E323" s="21">
        <f>fillups!H323</f>
        <v/>
      </c>
      <c r="F323">
        <f>IF(B323="","",LEFT(B323,4))</f>
        <v/>
      </c>
      <c r="G323">
        <f>IF(A323="","",INDEX(vehicles!$I$2:$I$5,MATCH(A323,vehicles!$A$2:$A$5,0)))</f>
        <v/>
      </c>
      <c r="H323" t="inlineStr">
        <is>
          <t>fuel</t>
        </is>
      </c>
    </row>
    <row r="324">
      <c r="A324" s="5">
        <f>fillups!A324</f>
        <v/>
      </c>
      <c r="B324" s="5">
        <f>LEFT(fillups!C324,10)</f>
        <v/>
      </c>
      <c r="C324" t="inlineStr">
        <is>
          <t>fuel</t>
        </is>
      </c>
      <c r="D324" t="inlineStr">
        <is>
          <t>fillups</t>
        </is>
      </c>
      <c r="E324" s="21">
        <f>fillups!H324</f>
        <v/>
      </c>
      <c r="F324">
        <f>IF(B324="","",LEFT(B324,4))</f>
        <v/>
      </c>
      <c r="G324">
        <f>IF(A324="","",INDEX(vehicles!$I$2:$I$5,MATCH(A324,vehicles!$A$2:$A$5,0)))</f>
        <v/>
      </c>
      <c r="H324" t="inlineStr">
        <is>
          <t>fuel</t>
        </is>
      </c>
    </row>
    <row r="325">
      <c r="A325" s="5">
        <f>fillups!A325</f>
        <v/>
      </c>
      <c r="B325" s="5">
        <f>LEFT(fillups!C325,10)</f>
        <v/>
      </c>
      <c r="C325" t="inlineStr">
        <is>
          <t>fuel</t>
        </is>
      </c>
      <c r="D325" t="inlineStr">
        <is>
          <t>fillups</t>
        </is>
      </c>
      <c r="E325" s="21">
        <f>fillups!H325</f>
        <v/>
      </c>
      <c r="F325">
        <f>IF(B325="","",LEFT(B325,4))</f>
        <v/>
      </c>
      <c r="G325">
        <f>IF(A325="","",INDEX(vehicles!$I$2:$I$5,MATCH(A325,vehicles!$A$2:$A$5,0)))</f>
        <v/>
      </c>
      <c r="H325" t="inlineStr">
        <is>
          <t>fuel</t>
        </is>
      </c>
    </row>
    <row r="326">
      <c r="A326" s="5">
        <f>fillups!A326</f>
        <v/>
      </c>
      <c r="B326" s="5">
        <f>LEFT(fillups!C326,10)</f>
        <v/>
      </c>
      <c r="C326" t="inlineStr">
        <is>
          <t>fuel</t>
        </is>
      </c>
      <c r="D326" t="inlineStr">
        <is>
          <t>fillups</t>
        </is>
      </c>
      <c r="E326" s="21">
        <f>fillups!H326</f>
        <v/>
      </c>
      <c r="F326">
        <f>IF(B326="","",LEFT(B326,4))</f>
        <v/>
      </c>
      <c r="G326">
        <f>IF(A326="","",INDEX(vehicles!$I$2:$I$5,MATCH(A326,vehicles!$A$2:$A$5,0)))</f>
        <v/>
      </c>
      <c r="H326" t="inlineStr">
        <is>
          <t>fuel</t>
        </is>
      </c>
    </row>
    <row r="327">
      <c r="A327" s="5">
        <f>fillups!A327</f>
        <v/>
      </c>
      <c r="B327" s="5">
        <f>LEFT(fillups!C327,10)</f>
        <v/>
      </c>
      <c r="C327" t="inlineStr">
        <is>
          <t>fuel</t>
        </is>
      </c>
      <c r="D327" t="inlineStr">
        <is>
          <t>fillups</t>
        </is>
      </c>
      <c r="E327" s="21">
        <f>fillups!H327</f>
        <v/>
      </c>
      <c r="F327">
        <f>IF(B327="","",LEFT(B327,4))</f>
        <v/>
      </c>
      <c r="G327">
        <f>IF(A327="","",INDEX(vehicles!$I$2:$I$5,MATCH(A327,vehicles!$A$2:$A$5,0)))</f>
        <v/>
      </c>
      <c r="H327" t="inlineStr">
        <is>
          <t>fuel</t>
        </is>
      </c>
    </row>
    <row r="328">
      <c r="A328" s="5">
        <f>fillups!A328</f>
        <v/>
      </c>
      <c r="B328" s="5">
        <f>LEFT(fillups!C328,10)</f>
        <v/>
      </c>
      <c r="C328" t="inlineStr">
        <is>
          <t>fuel</t>
        </is>
      </c>
      <c r="D328" t="inlineStr">
        <is>
          <t>fillups</t>
        </is>
      </c>
      <c r="E328" s="21">
        <f>fillups!H328</f>
        <v/>
      </c>
      <c r="F328">
        <f>IF(B328="","",LEFT(B328,4))</f>
        <v/>
      </c>
      <c r="G328">
        <f>IF(A328="","",INDEX(vehicles!$I$2:$I$5,MATCH(A328,vehicles!$A$2:$A$5,0)))</f>
        <v/>
      </c>
      <c r="H328" t="inlineStr">
        <is>
          <t>fuel</t>
        </is>
      </c>
    </row>
    <row r="329">
      <c r="A329" s="5">
        <f>fillups!A329</f>
        <v/>
      </c>
      <c r="B329" s="5">
        <f>LEFT(fillups!C329,10)</f>
        <v/>
      </c>
      <c r="C329" t="inlineStr">
        <is>
          <t>fuel</t>
        </is>
      </c>
      <c r="D329" t="inlineStr">
        <is>
          <t>fillups</t>
        </is>
      </c>
      <c r="E329" s="21">
        <f>fillups!H329</f>
        <v/>
      </c>
      <c r="F329">
        <f>IF(B329="","",LEFT(B329,4))</f>
        <v/>
      </c>
      <c r="G329">
        <f>IF(A329="","",INDEX(vehicles!$I$2:$I$5,MATCH(A329,vehicles!$A$2:$A$5,0)))</f>
        <v/>
      </c>
      <c r="H329" t="inlineStr">
        <is>
          <t>fuel</t>
        </is>
      </c>
    </row>
    <row r="330">
      <c r="A330" s="5">
        <f>fillups!A330</f>
        <v/>
      </c>
      <c r="B330" s="5">
        <f>LEFT(fillups!C330,10)</f>
        <v/>
      </c>
      <c r="C330" t="inlineStr">
        <is>
          <t>fuel</t>
        </is>
      </c>
      <c r="D330" t="inlineStr">
        <is>
          <t>fillups</t>
        </is>
      </c>
      <c r="E330" s="21">
        <f>fillups!H330</f>
        <v/>
      </c>
      <c r="F330">
        <f>IF(B330="","",LEFT(B330,4))</f>
        <v/>
      </c>
      <c r="G330">
        <f>IF(A330="","",INDEX(vehicles!$I$2:$I$5,MATCH(A330,vehicles!$A$2:$A$5,0)))</f>
        <v/>
      </c>
      <c r="H330" t="inlineStr">
        <is>
          <t>fuel</t>
        </is>
      </c>
    </row>
    <row r="331">
      <c r="A331" s="5">
        <f>fillups!A331</f>
        <v/>
      </c>
      <c r="B331" s="5">
        <f>LEFT(fillups!C331,10)</f>
        <v/>
      </c>
      <c r="C331" t="inlineStr">
        <is>
          <t>fuel</t>
        </is>
      </c>
      <c r="D331" t="inlineStr">
        <is>
          <t>fillups</t>
        </is>
      </c>
      <c r="E331" s="21">
        <f>fillups!H331</f>
        <v/>
      </c>
      <c r="F331">
        <f>IF(B331="","",LEFT(B331,4))</f>
        <v/>
      </c>
      <c r="G331">
        <f>IF(A331="","",INDEX(vehicles!$I$2:$I$5,MATCH(A331,vehicles!$A$2:$A$5,0)))</f>
        <v/>
      </c>
      <c r="H331" t="inlineStr">
        <is>
          <t>fuel</t>
        </is>
      </c>
    </row>
    <row r="332">
      <c r="A332" s="5">
        <f>fillups!A332</f>
        <v/>
      </c>
      <c r="B332" s="5">
        <f>LEFT(fillups!C332,10)</f>
        <v/>
      </c>
      <c r="C332" t="inlineStr">
        <is>
          <t>fuel</t>
        </is>
      </c>
      <c r="D332" t="inlineStr">
        <is>
          <t>fillups</t>
        </is>
      </c>
      <c r="E332" s="21">
        <f>fillups!H332</f>
        <v/>
      </c>
      <c r="F332">
        <f>IF(B332="","",LEFT(B332,4))</f>
        <v/>
      </c>
      <c r="G332">
        <f>IF(A332="","",INDEX(vehicles!$I$2:$I$5,MATCH(A332,vehicles!$A$2:$A$5,0)))</f>
        <v/>
      </c>
      <c r="H332" t="inlineStr">
        <is>
          <t>fuel</t>
        </is>
      </c>
    </row>
    <row r="333">
      <c r="A333" s="5">
        <f>fillups!A333</f>
        <v/>
      </c>
      <c r="B333" s="5">
        <f>LEFT(fillups!C333,10)</f>
        <v/>
      </c>
      <c r="C333" t="inlineStr">
        <is>
          <t>fuel</t>
        </is>
      </c>
      <c r="D333" t="inlineStr">
        <is>
          <t>fillups</t>
        </is>
      </c>
      <c r="E333" s="21">
        <f>fillups!H333</f>
        <v/>
      </c>
      <c r="F333">
        <f>IF(B333="","",LEFT(B333,4))</f>
        <v/>
      </c>
      <c r="G333">
        <f>IF(A333="","",INDEX(vehicles!$I$2:$I$5,MATCH(A333,vehicles!$A$2:$A$5,0)))</f>
        <v/>
      </c>
      <c r="H333" t="inlineStr">
        <is>
          <t>fuel</t>
        </is>
      </c>
    </row>
    <row r="334">
      <c r="A334" s="5">
        <f>fillups!A334</f>
        <v/>
      </c>
      <c r="B334" s="5">
        <f>LEFT(fillups!C334,10)</f>
        <v/>
      </c>
      <c r="C334" t="inlineStr">
        <is>
          <t>fuel</t>
        </is>
      </c>
      <c r="D334" t="inlineStr">
        <is>
          <t>fillups</t>
        </is>
      </c>
      <c r="E334" s="21">
        <f>fillups!H334</f>
        <v/>
      </c>
      <c r="F334">
        <f>IF(B334="","",LEFT(B334,4))</f>
        <v/>
      </c>
      <c r="G334">
        <f>IF(A334="","",INDEX(vehicles!$I$2:$I$5,MATCH(A334,vehicles!$A$2:$A$5,0)))</f>
        <v/>
      </c>
      <c r="H334" t="inlineStr">
        <is>
          <t>fuel</t>
        </is>
      </c>
    </row>
    <row r="335">
      <c r="A335" s="5">
        <f>fillups!A335</f>
        <v/>
      </c>
      <c r="B335" s="5">
        <f>LEFT(fillups!C335,10)</f>
        <v/>
      </c>
      <c r="C335" t="inlineStr">
        <is>
          <t>fuel</t>
        </is>
      </c>
      <c r="D335" t="inlineStr">
        <is>
          <t>fillups</t>
        </is>
      </c>
      <c r="E335" s="21">
        <f>fillups!H335</f>
        <v/>
      </c>
      <c r="F335">
        <f>IF(B335="","",LEFT(B335,4))</f>
        <v/>
      </c>
      <c r="G335">
        <f>IF(A335="","",INDEX(vehicles!$I$2:$I$5,MATCH(A335,vehicles!$A$2:$A$5,0)))</f>
        <v/>
      </c>
      <c r="H335" t="inlineStr">
        <is>
          <t>fuel</t>
        </is>
      </c>
    </row>
    <row r="336">
      <c r="A336" s="5">
        <f>fillups!A336</f>
        <v/>
      </c>
      <c r="B336" s="5">
        <f>LEFT(fillups!C336,10)</f>
        <v/>
      </c>
      <c r="C336" t="inlineStr">
        <is>
          <t>fuel</t>
        </is>
      </c>
      <c r="D336" t="inlineStr">
        <is>
          <t>fillups</t>
        </is>
      </c>
      <c r="E336" s="21">
        <f>fillups!H336</f>
        <v/>
      </c>
      <c r="F336">
        <f>IF(B336="","",LEFT(B336,4))</f>
        <v/>
      </c>
      <c r="G336">
        <f>IF(A336="","",INDEX(vehicles!$I$2:$I$5,MATCH(A336,vehicles!$A$2:$A$5,0)))</f>
        <v/>
      </c>
      <c r="H336" t="inlineStr">
        <is>
          <t>fuel</t>
        </is>
      </c>
    </row>
    <row r="337">
      <c r="A337" s="5">
        <f>fillups!A337</f>
        <v/>
      </c>
      <c r="B337" s="5">
        <f>LEFT(fillups!C337,10)</f>
        <v/>
      </c>
      <c r="C337" t="inlineStr">
        <is>
          <t>fuel</t>
        </is>
      </c>
      <c r="D337" t="inlineStr">
        <is>
          <t>fillups</t>
        </is>
      </c>
      <c r="E337" s="21">
        <f>fillups!H337</f>
        <v/>
      </c>
      <c r="F337">
        <f>IF(B337="","",LEFT(B337,4))</f>
        <v/>
      </c>
      <c r="G337">
        <f>IF(A337="","",INDEX(vehicles!$I$2:$I$5,MATCH(A337,vehicles!$A$2:$A$5,0)))</f>
        <v/>
      </c>
      <c r="H337" t="inlineStr">
        <is>
          <t>fuel</t>
        </is>
      </c>
    </row>
    <row r="338">
      <c r="A338" s="5">
        <f>fillups!A338</f>
        <v/>
      </c>
      <c r="B338" s="5">
        <f>LEFT(fillups!C338,10)</f>
        <v/>
      </c>
      <c r="C338" t="inlineStr">
        <is>
          <t>fuel</t>
        </is>
      </c>
      <c r="D338" t="inlineStr">
        <is>
          <t>fillups</t>
        </is>
      </c>
      <c r="E338" s="21">
        <f>fillups!H338</f>
        <v/>
      </c>
      <c r="F338">
        <f>IF(B338="","",LEFT(B338,4))</f>
        <v/>
      </c>
      <c r="G338">
        <f>IF(A338="","",INDEX(vehicles!$I$2:$I$5,MATCH(A338,vehicles!$A$2:$A$5,0)))</f>
        <v/>
      </c>
      <c r="H338" t="inlineStr">
        <is>
          <t>fuel</t>
        </is>
      </c>
    </row>
    <row r="339">
      <c r="A339" s="5">
        <f>fillups!A339</f>
        <v/>
      </c>
      <c r="B339" s="5">
        <f>LEFT(fillups!C339,10)</f>
        <v/>
      </c>
      <c r="C339" t="inlineStr">
        <is>
          <t>fuel</t>
        </is>
      </c>
      <c r="D339" t="inlineStr">
        <is>
          <t>fillups</t>
        </is>
      </c>
      <c r="E339" s="21">
        <f>fillups!H339</f>
        <v/>
      </c>
      <c r="F339">
        <f>IF(B339="","",LEFT(B339,4))</f>
        <v/>
      </c>
      <c r="G339">
        <f>IF(A339="","",INDEX(vehicles!$I$2:$I$5,MATCH(A339,vehicles!$A$2:$A$5,0)))</f>
        <v/>
      </c>
      <c r="H339" t="inlineStr">
        <is>
          <t>fuel</t>
        </is>
      </c>
    </row>
    <row r="340">
      <c r="A340" s="5">
        <f>fillups!A340</f>
        <v/>
      </c>
      <c r="B340" s="5">
        <f>LEFT(fillups!C340,10)</f>
        <v/>
      </c>
      <c r="C340" t="inlineStr">
        <is>
          <t>fuel</t>
        </is>
      </c>
      <c r="D340" t="inlineStr">
        <is>
          <t>fillups</t>
        </is>
      </c>
      <c r="E340" s="21">
        <f>fillups!H340</f>
        <v/>
      </c>
      <c r="F340">
        <f>IF(B340="","",LEFT(B340,4))</f>
        <v/>
      </c>
      <c r="G340">
        <f>IF(A340="","",INDEX(vehicles!$I$2:$I$5,MATCH(A340,vehicles!$A$2:$A$5,0)))</f>
        <v/>
      </c>
      <c r="H340" t="inlineStr">
        <is>
          <t>fuel</t>
        </is>
      </c>
    </row>
    <row r="341">
      <c r="A341" s="5">
        <f>fillups!A341</f>
        <v/>
      </c>
      <c r="B341" s="5">
        <f>LEFT(fillups!C341,10)</f>
        <v/>
      </c>
      <c r="C341" t="inlineStr">
        <is>
          <t>fuel</t>
        </is>
      </c>
      <c r="D341" t="inlineStr">
        <is>
          <t>fillups</t>
        </is>
      </c>
      <c r="E341" s="21">
        <f>fillups!H341</f>
        <v/>
      </c>
      <c r="F341">
        <f>IF(B341="","",LEFT(B341,4))</f>
        <v/>
      </c>
      <c r="G341">
        <f>IF(A341="","",INDEX(vehicles!$I$2:$I$5,MATCH(A341,vehicles!$A$2:$A$5,0)))</f>
        <v/>
      </c>
      <c r="H341" t="inlineStr">
        <is>
          <t>fuel</t>
        </is>
      </c>
    </row>
    <row r="342">
      <c r="A342" s="5">
        <f>fillups!A342</f>
        <v/>
      </c>
      <c r="B342" s="5">
        <f>LEFT(fillups!C342,10)</f>
        <v/>
      </c>
      <c r="C342" t="inlineStr">
        <is>
          <t>fuel</t>
        </is>
      </c>
      <c r="D342" t="inlineStr">
        <is>
          <t>fillups</t>
        </is>
      </c>
      <c r="E342" s="21">
        <f>fillups!H342</f>
        <v/>
      </c>
      <c r="F342">
        <f>IF(B342="","",LEFT(B342,4))</f>
        <v/>
      </c>
      <c r="G342">
        <f>IF(A342="","",INDEX(vehicles!$I$2:$I$5,MATCH(A342,vehicles!$A$2:$A$5,0)))</f>
        <v/>
      </c>
      <c r="H342" t="inlineStr">
        <is>
          <t>fuel</t>
        </is>
      </c>
    </row>
    <row r="343">
      <c r="A343" s="5">
        <f>fillups!A343</f>
        <v/>
      </c>
      <c r="B343" s="5">
        <f>LEFT(fillups!C343,10)</f>
        <v/>
      </c>
      <c r="C343" t="inlineStr">
        <is>
          <t>fuel</t>
        </is>
      </c>
      <c r="D343" t="inlineStr">
        <is>
          <t>fillups</t>
        </is>
      </c>
      <c r="E343" s="21">
        <f>fillups!H343</f>
        <v/>
      </c>
      <c r="F343">
        <f>IF(B343="","",LEFT(B343,4))</f>
        <v/>
      </c>
      <c r="G343">
        <f>IF(A343="","",INDEX(vehicles!$I$2:$I$5,MATCH(A343,vehicles!$A$2:$A$5,0)))</f>
        <v/>
      </c>
      <c r="H343" t="inlineStr">
        <is>
          <t>fuel</t>
        </is>
      </c>
    </row>
    <row r="344">
      <c r="A344" s="5">
        <f>fillups!A344</f>
        <v/>
      </c>
      <c r="B344" s="5">
        <f>LEFT(fillups!C344,10)</f>
        <v/>
      </c>
      <c r="C344" t="inlineStr">
        <is>
          <t>fuel</t>
        </is>
      </c>
      <c r="D344" t="inlineStr">
        <is>
          <t>fillups</t>
        </is>
      </c>
      <c r="E344" s="21">
        <f>fillups!H344</f>
        <v/>
      </c>
      <c r="F344">
        <f>IF(B344="","",LEFT(B344,4))</f>
        <v/>
      </c>
      <c r="G344">
        <f>IF(A344="","",INDEX(vehicles!$I$2:$I$5,MATCH(A344,vehicles!$A$2:$A$5,0)))</f>
        <v/>
      </c>
      <c r="H344" t="inlineStr">
        <is>
          <t>fuel</t>
        </is>
      </c>
    </row>
    <row r="345">
      <c r="A345" s="5">
        <f>fillups!A345</f>
        <v/>
      </c>
      <c r="B345" s="5">
        <f>LEFT(fillups!C345,10)</f>
        <v/>
      </c>
      <c r="C345" t="inlineStr">
        <is>
          <t>fuel</t>
        </is>
      </c>
      <c r="D345" t="inlineStr">
        <is>
          <t>fillups</t>
        </is>
      </c>
      <c r="E345" s="21">
        <f>fillups!H345</f>
        <v/>
      </c>
      <c r="F345">
        <f>IF(B345="","",LEFT(B345,4))</f>
        <v/>
      </c>
      <c r="G345">
        <f>IF(A345="","",INDEX(vehicles!$I$2:$I$5,MATCH(A345,vehicles!$A$2:$A$5,0)))</f>
        <v/>
      </c>
      <c r="H345" t="inlineStr">
        <is>
          <t>fuel</t>
        </is>
      </c>
    </row>
    <row r="346">
      <c r="A346" s="5">
        <f>fillups!A346</f>
        <v/>
      </c>
      <c r="B346" s="5">
        <f>LEFT(fillups!C346,10)</f>
        <v/>
      </c>
      <c r="C346" t="inlineStr">
        <is>
          <t>fuel</t>
        </is>
      </c>
      <c r="D346" t="inlineStr">
        <is>
          <t>fillups</t>
        </is>
      </c>
      <c r="E346" s="21">
        <f>fillups!H346</f>
        <v/>
      </c>
      <c r="F346">
        <f>IF(B346="","",LEFT(B346,4))</f>
        <v/>
      </c>
      <c r="G346">
        <f>IF(A346="","",INDEX(vehicles!$I$2:$I$5,MATCH(A346,vehicles!$A$2:$A$5,0)))</f>
        <v/>
      </c>
      <c r="H346" t="inlineStr">
        <is>
          <t>fuel</t>
        </is>
      </c>
    </row>
    <row r="347">
      <c r="A347" s="5">
        <f>fillups!A347</f>
        <v/>
      </c>
      <c r="B347" s="5">
        <f>LEFT(fillups!C347,10)</f>
        <v/>
      </c>
      <c r="C347" t="inlineStr">
        <is>
          <t>fuel</t>
        </is>
      </c>
      <c r="D347" t="inlineStr">
        <is>
          <t>fillups</t>
        </is>
      </c>
      <c r="E347" s="21">
        <f>fillups!H347</f>
        <v/>
      </c>
      <c r="F347">
        <f>IF(B347="","",LEFT(B347,4))</f>
        <v/>
      </c>
      <c r="G347">
        <f>IF(A347="","",INDEX(vehicles!$I$2:$I$5,MATCH(A347,vehicles!$A$2:$A$5,0)))</f>
        <v/>
      </c>
      <c r="H347" t="inlineStr">
        <is>
          <t>fuel</t>
        </is>
      </c>
    </row>
    <row r="348">
      <c r="A348" s="5">
        <f>fillups!A348</f>
        <v/>
      </c>
      <c r="B348" s="5">
        <f>LEFT(fillups!C348,10)</f>
        <v/>
      </c>
      <c r="C348" t="inlineStr">
        <is>
          <t>fuel</t>
        </is>
      </c>
      <c r="D348" t="inlineStr">
        <is>
          <t>fillups</t>
        </is>
      </c>
      <c r="E348" s="21">
        <f>fillups!H348</f>
        <v/>
      </c>
      <c r="F348">
        <f>IF(B348="","",LEFT(B348,4))</f>
        <v/>
      </c>
      <c r="G348">
        <f>IF(A348="","",INDEX(vehicles!$I$2:$I$5,MATCH(A348,vehicles!$A$2:$A$5,0)))</f>
        <v/>
      </c>
      <c r="H348" t="inlineStr">
        <is>
          <t>fuel</t>
        </is>
      </c>
    </row>
    <row r="349">
      <c r="A349" s="5">
        <f>fillups!A349</f>
        <v/>
      </c>
      <c r="B349" s="5">
        <f>LEFT(fillups!C349,10)</f>
        <v/>
      </c>
      <c r="C349" t="inlineStr">
        <is>
          <t>fuel</t>
        </is>
      </c>
      <c r="D349" t="inlineStr">
        <is>
          <t>fillups</t>
        </is>
      </c>
      <c r="E349" s="21">
        <f>fillups!H349</f>
        <v/>
      </c>
      <c r="F349">
        <f>IF(B349="","",LEFT(B349,4))</f>
        <v/>
      </c>
      <c r="G349">
        <f>IF(A349="","",INDEX(vehicles!$I$2:$I$5,MATCH(A349,vehicles!$A$2:$A$5,0)))</f>
        <v/>
      </c>
      <c r="H349" t="inlineStr">
        <is>
          <t>fuel</t>
        </is>
      </c>
    </row>
    <row r="350">
      <c r="A350" s="5">
        <f>fillups!A350</f>
        <v/>
      </c>
      <c r="B350" s="5">
        <f>LEFT(fillups!C350,10)</f>
        <v/>
      </c>
      <c r="C350" t="inlineStr">
        <is>
          <t>fuel</t>
        </is>
      </c>
      <c r="D350" t="inlineStr">
        <is>
          <t>fillups</t>
        </is>
      </c>
      <c r="E350" s="21">
        <f>fillups!H350</f>
        <v/>
      </c>
      <c r="F350">
        <f>IF(B350="","",LEFT(B350,4))</f>
        <v/>
      </c>
      <c r="G350">
        <f>IF(A350="","",INDEX(vehicles!$I$2:$I$5,MATCH(A350,vehicles!$A$2:$A$5,0)))</f>
        <v/>
      </c>
      <c r="H350" t="inlineStr">
        <is>
          <t>fuel</t>
        </is>
      </c>
    </row>
    <row r="351">
      <c r="A351" s="5">
        <f>fillups!A351</f>
        <v/>
      </c>
      <c r="B351" s="5">
        <f>LEFT(fillups!C351,10)</f>
        <v/>
      </c>
      <c r="C351" t="inlineStr">
        <is>
          <t>fuel</t>
        </is>
      </c>
      <c r="D351" t="inlineStr">
        <is>
          <t>fillups</t>
        </is>
      </c>
      <c r="E351" s="21">
        <f>fillups!H351</f>
        <v/>
      </c>
      <c r="F351">
        <f>IF(B351="","",LEFT(B351,4))</f>
        <v/>
      </c>
      <c r="G351">
        <f>IF(A351="","",INDEX(vehicles!$I$2:$I$5,MATCH(A351,vehicles!$A$2:$A$5,0)))</f>
        <v/>
      </c>
      <c r="H351" t="inlineStr">
        <is>
          <t>fuel</t>
        </is>
      </c>
    </row>
    <row r="352">
      <c r="A352" s="5">
        <f>fillups!A352</f>
        <v/>
      </c>
      <c r="B352" s="5">
        <f>LEFT(fillups!C352,10)</f>
        <v/>
      </c>
      <c r="C352" t="inlineStr">
        <is>
          <t>fuel</t>
        </is>
      </c>
      <c r="D352" t="inlineStr">
        <is>
          <t>fillups</t>
        </is>
      </c>
      <c r="E352" s="21">
        <f>fillups!H352</f>
        <v/>
      </c>
      <c r="F352">
        <f>IF(B352="","",LEFT(B352,4))</f>
        <v/>
      </c>
      <c r="G352">
        <f>IF(A352="","",INDEX(vehicles!$I$2:$I$5,MATCH(A352,vehicles!$A$2:$A$5,0)))</f>
        <v/>
      </c>
      <c r="H352" t="inlineStr">
        <is>
          <t>fuel</t>
        </is>
      </c>
    </row>
    <row r="353">
      <c r="A353" s="5">
        <f>fillups!A353</f>
        <v/>
      </c>
      <c r="B353" s="5">
        <f>LEFT(fillups!C353,10)</f>
        <v/>
      </c>
      <c r="C353" t="inlineStr">
        <is>
          <t>fuel</t>
        </is>
      </c>
      <c r="D353" t="inlineStr">
        <is>
          <t>fillups</t>
        </is>
      </c>
      <c r="E353" s="21">
        <f>fillups!H353</f>
        <v/>
      </c>
      <c r="F353">
        <f>IF(B353="","",LEFT(B353,4))</f>
        <v/>
      </c>
      <c r="G353">
        <f>IF(A353="","",INDEX(vehicles!$I$2:$I$5,MATCH(A353,vehicles!$A$2:$A$5,0)))</f>
        <v/>
      </c>
      <c r="H353" t="inlineStr">
        <is>
          <t>fuel</t>
        </is>
      </c>
    </row>
    <row r="354">
      <c r="A354" s="5">
        <f>fillups!A354</f>
        <v/>
      </c>
      <c r="B354" s="5">
        <f>LEFT(fillups!C354,10)</f>
        <v/>
      </c>
      <c r="C354" t="inlineStr">
        <is>
          <t>fuel</t>
        </is>
      </c>
      <c r="D354" t="inlineStr">
        <is>
          <t>fillups</t>
        </is>
      </c>
      <c r="E354" s="21">
        <f>fillups!H354</f>
        <v/>
      </c>
      <c r="F354">
        <f>IF(B354="","",LEFT(B354,4))</f>
        <v/>
      </c>
      <c r="G354">
        <f>IF(A354="","",INDEX(vehicles!$I$2:$I$5,MATCH(A354,vehicles!$A$2:$A$5,0)))</f>
        <v/>
      </c>
      <c r="H354" t="inlineStr">
        <is>
          <t>fuel</t>
        </is>
      </c>
    </row>
    <row r="355">
      <c r="A355" s="5">
        <f>fillups!A355</f>
        <v/>
      </c>
      <c r="B355" s="5">
        <f>LEFT(fillups!C355,10)</f>
        <v/>
      </c>
      <c r="C355" t="inlineStr">
        <is>
          <t>fuel</t>
        </is>
      </c>
      <c r="D355" t="inlineStr">
        <is>
          <t>fillups</t>
        </is>
      </c>
      <c r="E355" s="21">
        <f>fillups!H355</f>
        <v/>
      </c>
      <c r="F355">
        <f>IF(B355="","",LEFT(B355,4))</f>
        <v/>
      </c>
      <c r="G355">
        <f>IF(A355="","",INDEX(vehicles!$I$2:$I$5,MATCH(A355,vehicles!$A$2:$A$5,0)))</f>
        <v/>
      </c>
      <c r="H355" t="inlineStr">
        <is>
          <t>fuel</t>
        </is>
      </c>
    </row>
    <row r="356">
      <c r="A356" s="5">
        <f>fillups!A356</f>
        <v/>
      </c>
      <c r="B356" s="5">
        <f>LEFT(fillups!C356,10)</f>
        <v/>
      </c>
      <c r="C356" t="inlineStr">
        <is>
          <t>fuel</t>
        </is>
      </c>
      <c r="D356" t="inlineStr">
        <is>
          <t>fillups</t>
        </is>
      </c>
      <c r="E356" s="21">
        <f>fillups!H356</f>
        <v/>
      </c>
      <c r="F356">
        <f>IF(B356="","",LEFT(B356,4))</f>
        <v/>
      </c>
      <c r="G356">
        <f>IF(A356="","",INDEX(vehicles!$I$2:$I$5,MATCH(A356,vehicles!$A$2:$A$5,0)))</f>
        <v/>
      </c>
      <c r="H356" t="inlineStr">
        <is>
          <t>fuel</t>
        </is>
      </c>
    </row>
    <row r="357">
      <c r="A357" s="5">
        <f>fillups!A357</f>
        <v/>
      </c>
      <c r="B357" s="5">
        <f>LEFT(fillups!C357,10)</f>
        <v/>
      </c>
      <c r="C357" t="inlineStr">
        <is>
          <t>fuel</t>
        </is>
      </c>
      <c r="D357" t="inlineStr">
        <is>
          <t>fillups</t>
        </is>
      </c>
      <c r="E357" s="21">
        <f>fillups!H357</f>
        <v/>
      </c>
      <c r="F357">
        <f>IF(B357="","",LEFT(B357,4))</f>
        <v/>
      </c>
      <c r="G357">
        <f>IF(A357="","",INDEX(vehicles!$I$2:$I$5,MATCH(A357,vehicles!$A$2:$A$5,0)))</f>
        <v/>
      </c>
      <c r="H357" t="inlineStr">
        <is>
          <t>fuel</t>
        </is>
      </c>
    </row>
    <row r="358">
      <c r="A358" s="5">
        <f>fillups!A358</f>
        <v/>
      </c>
      <c r="B358" s="5">
        <f>LEFT(fillups!C358,10)</f>
        <v/>
      </c>
      <c r="C358" t="inlineStr">
        <is>
          <t>fuel</t>
        </is>
      </c>
      <c r="D358" t="inlineStr">
        <is>
          <t>fillups</t>
        </is>
      </c>
      <c r="E358" s="21">
        <f>fillups!H358</f>
        <v/>
      </c>
      <c r="F358">
        <f>IF(B358="","",LEFT(B358,4))</f>
        <v/>
      </c>
      <c r="G358">
        <f>IF(A358="","",INDEX(vehicles!$I$2:$I$5,MATCH(A358,vehicles!$A$2:$A$5,0)))</f>
        <v/>
      </c>
      <c r="H358" t="inlineStr">
        <is>
          <t>fuel</t>
        </is>
      </c>
    </row>
    <row r="359">
      <c r="A359" s="5">
        <f>fillups!A359</f>
        <v/>
      </c>
      <c r="B359" s="5">
        <f>LEFT(fillups!C359,10)</f>
        <v/>
      </c>
      <c r="C359" t="inlineStr">
        <is>
          <t>fuel</t>
        </is>
      </c>
      <c r="D359" t="inlineStr">
        <is>
          <t>fillups</t>
        </is>
      </c>
      <c r="E359" s="21">
        <f>fillups!H359</f>
        <v/>
      </c>
      <c r="F359">
        <f>IF(B359="","",LEFT(B359,4))</f>
        <v/>
      </c>
      <c r="G359">
        <f>IF(A359="","",INDEX(vehicles!$I$2:$I$5,MATCH(A359,vehicles!$A$2:$A$5,0)))</f>
        <v/>
      </c>
      <c r="H359" t="inlineStr">
        <is>
          <t>fuel</t>
        </is>
      </c>
    </row>
    <row r="360">
      <c r="A360" s="5">
        <f>fillups!A360</f>
        <v/>
      </c>
      <c r="B360" s="5">
        <f>LEFT(fillups!C360,10)</f>
        <v/>
      </c>
      <c r="C360" t="inlineStr">
        <is>
          <t>fuel</t>
        </is>
      </c>
      <c r="D360" t="inlineStr">
        <is>
          <t>fillups</t>
        </is>
      </c>
      <c r="E360" s="21">
        <f>fillups!H360</f>
        <v/>
      </c>
      <c r="F360">
        <f>IF(B360="","",LEFT(B360,4))</f>
        <v/>
      </c>
      <c r="G360">
        <f>IF(A360="","",INDEX(vehicles!$I$2:$I$5,MATCH(A360,vehicles!$A$2:$A$5,0)))</f>
        <v/>
      </c>
      <c r="H360" t="inlineStr">
        <is>
          <t>fuel</t>
        </is>
      </c>
    </row>
    <row r="361">
      <c r="A361" s="5">
        <f>fillups!A361</f>
        <v/>
      </c>
      <c r="B361" s="5">
        <f>LEFT(fillups!C361,10)</f>
        <v/>
      </c>
      <c r="C361" t="inlineStr">
        <is>
          <t>fuel</t>
        </is>
      </c>
      <c r="D361" t="inlineStr">
        <is>
          <t>fillups</t>
        </is>
      </c>
      <c r="E361" s="21">
        <f>fillups!H361</f>
        <v/>
      </c>
      <c r="F361">
        <f>IF(B361="","",LEFT(B361,4))</f>
        <v/>
      </c>
      <c r="G361">
        <f>IF(A361="","",INDEX(vehicles!$I$2:$I$5,MATCH(A361,vehicles!$A$2:$A$5,0)))</f>
        <v/>
      </c>
      <c r="H361" t="inlineStr">
        <is>
          <t>fuel</t>
        </is>
      </c>
    </row>
    <row r="362">
      <c r="A362" s="5">
        <f>fillups!A362</f>
        <v/>
      </c>
      <c r="B362" s="5">
        <f>LEFT(fillups!C362,10)</f>
        <v/>
      </c>
      <c r="C362" t="inlineStr">
        <is>
          <t>fuel</t>
        </is>
      </c>
      <c r="D362" t="inlineStr">
        <is>
          <t>fillups</t>
        </is>
      </c>
      <c r="E362" s="21">
        <f>fillups!H362</f>
        <v/>
      </c>
      <c r="F362">
        <f>IF(B362="","",LEFT(B362,4))</f>
        <v/>
      </c>
      <c r="G362">
        <f>IF(A362="","",INDEX(vehicles!$I$2:$I$5,MATCH(A362,vehicles!$A$2:$A$5,0)))</f>
        <v/>
      </c>
      <c r="H362" t="inlineStr">
        <is>
          <t>fuel</t>
        </is>
      </c>
    </row>
    <row r="363">
      <c r="A363" s="5">
        <f>fillups!A363</f>
        <v/>
      </c>
      <c r="B363" s="5">
        <f>LEFT(fillups!C363,10)</f>
        <v/>
      </c>
      <c r="C363" t="inlineStr">
        <is>
          <t>fuel</t>
        </is>
      </c>
      <c r="D363" t="inlineStr">
        <is>
          <t>fillups</t>
        </is>
      </c>
      <c r="E363" s="21">
        <f>fillups!H363</f>
        <v/>
      </c>
      <c r="F363">
        <f>IF(B363="","",LEFT(B363,4))</f>
        <v/>
      </c>
      <c r="G363">
        <f>IF(A363="","",INDEX(vehicles!$I$2:$I$5,MATCH(A363,vehicles!$A$2:$A$5,0)))</f>
        <v/>
      </c>
      <c r="H363" t="inlineStr">
        <is>
          <t>fuel</t>
        </is>
      </c>
    </row>
    <row r="364">
      <c r="A364" s="5">
        <f>fillups!A364</f>
        <v/>
      </c>
      <c r="B364" s="5">
        <f>LEFT(fillups!C364,10)</f>
        <v/>
      </c>
      <c r="C364" t="inlineStr">
        <is>
          <t>fuel</t>
        </is>
      </c>
      <c r="D364" t="inlineStr">
        <is>
          <t>fillups</t>
        </is>
      </c>
      <c r="E364" s="21">
        <f>fillups!H364</f>
        <v/>
      </c>
      <c r="F364">
        <f>IF(B364="","",LEFT(B364,4))</f>
        <v/>
      </c>
      <c r="G364">
        <f>IF(A364="","",INDEX(vehicles!$I$2:$I$5,MATCH(A364,vehicles!$A$2:$A$5,0)))</f>
        <v/>
      </c>
      <c r="H364" t="inlineStr">
        <is>
          <t>fuel</t>
        </is>
      </c>
    </row>
    <row r="365">
      <c r="A365" s="5">
        <f>fillups!A365</f>
        <v/>
      </c>
      <c r="B365" s="5">
        <f>LEFT(fillups!C365,10)</f>
        <v/>
      </c>
      <c r="C365" t="inlineStr">
        <is>
          <t>fuel</t>
        </is>
      </c>
      <c r="D365" t="inlineStr">
        <is>
          <t>fillups</t>
        </is>
      </c>
      <c r="E365" s="21">
        <f>fillups!H365</f>
        <v/>
      </c>
      <c r="F365">
        <f>IF(B365="","",LEFT(B365,4))</f>
        <v/>
      </c>
      <c r="G365">
        <f>IF(A365="","",INDEX(vehicles!$I$2:$I$5,MATCH(A365,vehicles!$A$2:$A$5,0)))</f>
        <v/>
      </c>
      <c r="H365" t="inlineStr">
        <is>
          <t>fuel</t>
        </is>
      </c>
    </row>
    <row r="366">
      <c r="A366" s="5">
        <f>fillups!A366</f>
        <v/>
      </c>
      <c r="B366" s="5">
        <f>LEFT(fillups!C366,10)</f>
        <v/>
      </c>
      <c r="C366" t="inlineStr">
        <is>
          <t>fuel</t>
        </is>
      </c>
      <c r="D366" t="inlineStr">
        <is>
          <t>fillups</t>
        </is>
      </c>
      <c r="E366" s="21">
        <f>fillups!H366</f>
        <v/>
      </c>
      <c r="F366">
        <f>IF(B366="","",LEFT(B366,4))</f>
        <v/>
      </c>
      <c r="G366">
        <f>IF(A366="","",INDEX(vehicles!$I$2:$I$5,MATCH(A366,vehicles!$A$2:$A$5,0)))</f>
        <v/>
      </c>
      <c r="H366" t="inlineStr">
        <is>
          <t>fuel</t>
        </is>
      </c>
    </row>
    <row r="367">
      <c r="A367" s="5">
        <f>fillups!A367</f>
        <v/>
      </c>
      <c r="B367" s="5">
        <f>LEFT(fillups!C367,10)</f>
        <v/>
      </c>
      <c r="C367" t="inlineStr">
        <is>
          <t>fuel</t>
        </is>
      </c>
      <c r="D367" t="inlineStr">
        <is>
          <t>fillups</t>
        </is>
      </c>
      <c r="E367" s="21">
        <f>fillups!H367</f>
        <v/>
      </c>
      <c r="F367">
        <f>IF(B367="","",LEFT(B367,4))</f>
        <v/>
      </c>
      <c r="G367">
        <f>IF(A367="","",INDEX(vehicles!$I$2:$I$5,MATCH(A367,vehicles!$A$2:$A$5,0)))</f>
        <v/>
      </c>
      <c r="H367" t="inlineStr">
        <is>
          <t>fuel</t>
        </is>
      </c>
    </row>
    <row r="368">
      <c r="A368" s="5">
        <f>fillups!A368</f>
        <v/>
      </c>
      <c r="B368" s="5">
        <f>LEFT(fillups!C368,10)</f>
        <v/>
      </c>
      <c r="C368" t="inlineStr">
        <is>
          <t>fuel</t>
        </is>
      </c>
      <c r="D368" t="inlineStr">
        <is>
          <t>fillups</t>
        </is>
      </c>
      <c r="E368" s="21">
        <f>fillups!H368</f>
        <v/>
      </c>
      <c r="F368">
        <f>IF(B368="","",LEFT(B368,4))</f>
        <v/>
      </c>
      <c r="G368">
        <f>IF(A368="","",INDEX(vehicles!$I$2:$I$5,MATCH(A368,vehicles!$A$2:$A$5,0)))</f>
        <v/>
      </c>
      <c r="H368" t="inlineStr">
        <is>
          <t>fuel</t>
        </is>
      </c>
    </row>
    <row r="369">
      <c r="A369" s="5">
        <f>fillups!A369</f>
        <v/>
      </c>
      <c r="B369" s="5">
        <f>LEFT(fillups!C369,10)</f>
        <v/>
      </c>
      <c r="C369" t="inlineStr">
        <is>
          <t>fuel</t>
        </is>
      </c>
      <c r="D369" t="inlineStr">
        <is>
          <t>fillups</t>
        </is>
      </c>
      <c r="E369" s="21">
        <f>fillups!H369</f>
        <v/>
      </c>
      <c r="F369">
        <f>IF(B369="","",LEFT(B369,4))</f>
        <v/>
      </c>
      <c r="G369">
        <f>IF(A369="","",INDEX(vehicles!$I$2:$I$5,MATCH(A369,vehicles!$A$2:$A$5,0)))</f>
        <v/>
      </c>
      <c r="H369" t="inlineStr">
        <is>
          <t>fuel</t>
        </is>
      </c>
    </row>
    <row r="370">
      <c r="A370" s="5">
        <f>fillups!A370</f>
        <v/>
      </c>
      <c r="B370" s="5">
        <f>LEFT(fillups!C370,10)</f>
        <v/>
      </c>
      <c r="C370" t="inlineStr">
        <is>
          <t>fuel</t>
        </is>
      </c>
      <c r="D370" t="inlineStr">
        <is>
          <t>fillups</t>
        </is>
      </c>
      <c r="E370" s="21">
        <f>fillups!H370</f>
        <v/>
      </c>
      <c r="F370">
        <f>IF(B370="","",LEFT(B370,4))</f>
        <v/>
      </c>
      <c r="G370">
        <f>IF(A370="","",INDEX(vehicles!$I$2:$I$5,MATCH(A370,vehicles!$A$2:$A$5,0)))</f>
        <v/>
      </c>
      <c r="H370" t="inlineStr">
        <is>
          <t>fuel</t>
        </is>
      </c>
    </row>
    <row r="371">
      <c r="A371" s="5">
        <f>fillups!A371</f>
        <v/>
      </c>
      <c r="B371" s="5">
        <f>LEFT(fillups!C371,10)</f>
        <v/>
      </c>
      <c r="C371" t="inlineStr">
        <is>
          <t>fuel</t>
        </is>
      </c>
      <c r="D371" t="inlineStr">
        <is>
          <t>fillups</t>
        </is>
      </c>
      <c r="E371" s="21">
        <f>fillups!H371</f>
        <v/>
      </c>
      <c r="F371">
        <f>IF(B371="","",LEFT(B371,4))</f>
        <v/>
      </c>
      <c r="G371">
        <f>IF(A371="","",INDEX(vehicles!$I$2:$I$5,MATCH(A371,vehicles!$A$2:$A$5,0)))</f>
        <v/>
      </c>
      <c r="H371" t="inlineStr">
        <is>
          <t>fuel</t>
        </is>
      </c>
    </row>
    <row r="372">
      <c r="A372" s="5">
        <f>fillups!A372</f>
        <v/>
      </c>
      <c r="B372" s="5">
        <f>LEFT(fillups!C372,10)</f>
        <v/>
      </c>
      <c r="C372" t="inlineStr">
        <is>
          <t>fuel</t>
        </is>
      </c>
      <c r="D372" t="inlineStr">
        <is>
          <t>fillups</t>
        </is>
      </c>
      <c r="E372" s="21">
        <f>fillups!H372</f>
        <v/>
      </c>
      <c r="F372">
        <f>IF(B372="","",LEFT(B372,4))</f>
        <v/>
      </c>
      <c r="G372">
        <f>IF(A372="","",INDEX(vehicles!$I$2:$I$5,MATCH(A372,vehicles!$A$2:$A$5,0)))</f>
        <v/>
      </c>
      <c r="H372" t="inlineStr">
        <is>
          <t>fuel</t>
        </is>
      </c>
    </row>
    <row r="373">
      <c r="A373" s="5">
        <f>fillups!A373</f>
        <v/>
      </c>
      <c r="B373" s="5">
        <f>LEFT(fillups!C373,10)</f>
        <v/>
      </c>
      <c r="C373" t="inlineStr">
        <is>
          <t>fuel</t>
        </is>
      </c>
      <c r="D373" t="inlineStr">
        <is>
          <t>fillups</t>
        </is>
      </c>
      <c r="E373" s="21">
        <f>fillups!H373</f>
        <v/>
      </c>
      <c r="F373">
        <f>IF(B373="","",LEFT(B373,4))</f>
        <v/>
      </c>
      <c r="G373">
        <f>IF(A373="","",INDEX(vehicles!$I$2:$I$5,MATCH(A373,vehicles!$A$2:$A$5,0)))</f>
        <v/>
      </c>
      <c r="H373" t="inlineStr">
        <is>
          <t>fuel</t>
        </is>
      </c>
    </row>
    <row r="374">
      <c r="A374" s="5">
        <f>fillups!A374</f>
        <v/>
      </c>
      <c r="B374" s="5">
        <f>LEFT(fillups!C374,10)</f>
        <v/>
      </c>
      <c r="C374" t="inlineStr">
        <is>
          <t>fuel</t>
        </is>
      </c>
      <c r="D374" t="inlineStr">
        <is>
          <t>fillups</t>
        </is>
      </c>
      <c r="E374" s="21">
        <f>fillups!H374</f>
        <v/>
      </c>
      <c r="F374">
        <f>IF(B374="","",LEFT(B374,4))</f>
        <v/>
      </c>
      <c r="G374">
        <f>IF(A374="","",INDEX(vehicles!$I$2:$I$5,MATCH(A374,vehicles!$A$2:$A$5,0)))</f>
        <v/>
      </c>
      <c r="H374" t="inlineStr">
        <is>
          <t>fuel</t>
        </is>
      </c>
    </row>
    <row r="375">
      <c r="A375" s="5">
        <f>fillups!A375</f>
        <v/>
      </c>
      <c r="B375" s="5">
        <f>LEFT(fillups!C375,10)</f>
        <v/>
      </c>
      <c r="C375" t="inlineStr">
        <is>
          <t>fuel</t>
        </is>
      </c>
      <c r="D375" t="inlineStr">
        <is>
          <t>fillups</t>
        </is>
      </c>
      <c r="E375" s="21">
        <f>fillups!H375</f>
        <v/>
      </c>
      <c r="F375">
        <f>IF(B375="","",LEFT(B375,4))</f>
        <v/>
      </c>
      <c r="G375">
        <f>IF(A375="","",INDEX(vehicles!$I$2:$I$5,MATCH(A375,vehicles!$A$2:$A$5,0)))</f>
        <v/>
      </c>
      <c r="H375" t="inlineStr">
        <is>
          <t>fuel</t>
        </is>
      </c>
    </row>
    <row r="376">
      <c r="A376" s="5">
        <f>fillups!A376</f>
        <v/>
      </c>
      <c r="B376" s="5">
        <f>LEFT(fillups!C376,10)</f>
        <v/>
      </c>
      <c r="C376" t="inlineStr">
        <is>
          <t>fuel</t>
        </is>
      </c>
      <c r="D376" t="inlineStr">
        <is>
          <t>fillups</t>
        </is>
      </c>
      <c r="E376" s="21">
        <f>fillups!H376</f>
        <v/>
      </c>
      <c r="F376">
        <f>IF(B376="","",LEFT(B376,4))</f>
        <v/>
      </c>
      <c r="G376">
        <f>IF(A376="","",INDEX(vehicles!$I$2:$I$5,MATCH(A376,vehicles!$A$2:$A$5,0)))</f>
        <v/>
      </c>
      <c r="H376" t="inlineStr">
        <is>
          <t>fuel</t>
        </is>
      </c>
    </row>
    <row r="377">
      <c r="A377" s="5">
        <f>fillups!A377</f>
        <v/>
      </c>
      <c r="B377" s="5">
        <f>LEFT(fillups!C377,10)</f>
        <v/>
      </c>
      <c r="C377" t="inlineStr">
        <is>
          <t>fuel</t>
        </is>
      </c>
      <c r="D377" t="inlineStr">
        <is>
          <t>fillups</t>
        </is>
      </c>
      <c r="E377" s="21">
        <f>fillups!H377</f>
        <v/>
      </c>
      <c r="F377">
        <f>IF(B377="","",LEFT(B377,4))</f>
        <v/>
      </c>
      <c r="G377">
        <f>IF(A377="","",INDEX(vehicles!$I$2:$I$5,MATCH(A377,vehicles!$A$2:$A$5,0)))</f>
        <v/>
      </c>
      <c r="H377" t="inlineStr">
        <is>
          <t>fuel</t>
        </is>
      </c>
    </row>
    <row r="378">
      <c r="A378" s="5">
        <f>fillups!A378</f>
        <v/>
      </c>
      <c r="B378" s="5">
        <f>LEFT(fillups!C378,10)</f>
        <v/>
      </c>
      <c r="C378" t="inlineStr">
        <is>
          <t>fuel</t>
        </is>
      </c>
      <c r="D378" t="inlineStr">
        <is>
          <t>fillups</t>
        </is>
      </c>
      <c r="E378" s="21">
        <f>fillups!H378</f>
        <v/>
      </c>
      <c r="F378">
        <f>IF(B378="","",LEFT(B378,4))</f>
        <v/>
      </c>
      <c r="G378">
        <f>IF(A378="","",INDEX(vehicles!$I$2:$I$5,MATCH(A378,vehicles!$A$2:$A$5,0)))</f>
        <v/>
      </c>
      <c r="H378" t="inlineStr">
        <is>
          <t>fuel</t>
        </is>
      </c>
    </row>
    <row r="379">
      <c r="A379" s="5">
        <f>fillups!A379</f>
        <v/>
      </c>
      <c r="B379" s="5">
        <f>LEFT(fillups!C379,10)</f>
        <v/>
      </c>
      <c r="C379" t="inlineStr">
        <is>
          <t>fuel</t>
        </is>
      </c>
      <c r="D379" t="inlineStr">
        <is>
          <t>fillups</t>
        </is>
      </c>
      <c r="E379" s="21">
        <f>fillups!H379</f>
        <v/>
      </c>
      <c r="F379">
        <f>IF(B379="","",LEFT(B379,4))</f>
        <v/>
      </c>
      <c r="G379">
        <f>IF(A379="","",INDEX(vehicles!$I$2:$I$5,MATCH(A379,vehicles!$A$2:$A$5,0)))</f>
        <v/>
      </c>
      <c r="H379" t="inlineStr">
        <is>
          <t>fuel</t>
        </is>
      </c>
    </row>
    <row r="380">
      <c r="A380" s="5">
        <f>fillups!A380</f>
        <v/>
      </c>
      <c r="B380" s="5">
        <f>LEFT(fillups!C380,10)</f>
        <v/>
      </c>
      <c r="C380" t="inlineStr">
        <is>
          <t>fuel</t>
        </is>
      </c>
      <c r="D380" t="inlineStr">
        <is>
          <t>fillups</t>
        </is>
      </c>
      <c r="E380" s="21">
        <f>fillups!H380</f>
        <v/>
      </c>
      <c r="F380">
        <f>IF(B380="","",LEFT(B380,4))</f>
        <v/>
      </c>
      <c r="G380">
        <f>IF(A380="","",INDEX(vehicles!$I$2:$I$5,MATCH(A380,vehicles!$A$2:$A$5,0)))</f>
        <v/>
      </c>
      <c r="H380" t="inlineStr">
        <is>
          <t>fuel</t>
        </is>
      </c>
    </row>
    <row r="381">
      <c r="A381" s="5">
        <f>fillups!A381</f>
        <v/>
      </c>
      <c r="B381" s="5">
        <f>LEFT(fillups!C381,10)</f>
        <v/>
      </c>
      <c r="C381" t="inlineStr">
        <is>
          <t>fuel</t>
        </is>
      </c>
      <c r="D381" t="inlineStr">
        <is>
          <t>fillups</t>
        </is>
      </c>
      <c r="E381" s="21">
        <f>fillups!H381</f>
        <v/>
      </c>
      <c r="F381">
        <f>IF(B381="","",LEFT(B381,4))</f>
        <v/>
      </c>
      <c r="G381">
        <f>IF(A381="","",INDEX(vehicles!$I$2:$I$5,MATCH(A381,vehicles!$A$2:$A$5,0)))</f>
        <v/>
      </c>
      <c r="H381" t="inlineStr">
        <is>
          <t>fuel</t>
        </is>
      </c>
    </row>
    <row r="382">
      <c r="A382" s="5">
        <f>fillups!A382</f>
        <v/>
      </c>
      <c r="B382" s="5">
        <f>LEFT(fillups!C382,10)</f>
        <v/>
      </c>
      <c r="C382" t="inlineStr">
        <is>
          <t>fuel</t>
        </is>
      </c>
      <c r="D382" t="inlineStr">
        <is>
          <t>fillups</t>
        </is>
      </c>
      <c r="E382" s="21">
        <f>fillups!H382</f>
        <v/>
      </c>
      <c r="F382">
        <f>IF(B382="","",LEFT(B382,4))</f>
        <v/>
      </c>
      <c r="G382">
        <f>IF(A382="","",INDEX(vehicles!$I$2:$I$5,MATCH(A382,vehicles!$A$2:$A$5,0)))</f>
        <v/>
      </c>
      <c r="H382" t="inlineStr">
        <is>
          <t>fuel</t>
        </is>
      </c>
    </row>
    <row r="383">
      <c r="A383" s="5">
        <f>fillups!A383</f>
        <v/>
      </c>
      <c r="B383" s="5">
        <f>LEFT(fillups!C383,10)</f>
        <v/>
      </c>
      <c r="C383" t="inlineStr">
        <is>
          <t>fuel</t>
        </is>
      </c>
      <c r="D383" t="inlineStr">
        <is>
          <t>fillups</t>
        </is>
      </c>
      <c r="E383" s="21">
        <f>fillups!H383</f>
        <v/>
      </c>
      <c r="F383">
        <f>IF(B383="","",LEFT(B383,4))</f>
        <v/>
      </c>
      <c r="G383">
        <f>IF(A383="","",INDEX(vehicles!$I$2:$I$5,MATCH(A383,vehicles!$A$2:$A$5,0)))</f>
        <v/>
      </c>
      <c r="H383" t="inlineStr">
        <is>
          <t>fuel</t>
        </is>
      </c>
    </row>
    <row r="384">
      <c r="A384" s="5">
        <f>fillups!A384</f>
        <v/>
      </c>
      <c r="B384" s="5">
        <f>LEFT(fillups!C384,10)</f>
        <v/>
      </c>
      <c r="C384" t="inlineStr">
        <is>
          <t>fuel</t>
        </is>
      </c>
      <c r="D384" t="inlineStr">
        <is>
          <t>fillups</t>
        </is>
      </c>
      <c r="E384" s="21">
        <f>fillups!H384</f>
        <v/>
      </c>
      <c r="F384">
        <f>IF(B384="","",LEFT(B384,4))</f>
        <v/>
      </c>
      <c r="G384">
        <f>IF(A384="","",INDEX(vehicles!$I$2:$I$5,MATCH(A384,vehicles!$A$2:$A$5,0)))</f>
        <v/>
      </c>
      <c r="H384" t="inlineStr">
        <is>
          <t>fuel</t>
        </is>
      </c>
    </row>
    <row r="385">
      <c r="A385" s="5">
        <f>fillups!A385</f>
        <v/>
      </c>
      <c r="B385" s="5">
        <f>LEFT(fillups!C385,10)</f>
        <v/>
      </c>
      <c r="C385" t="inlineStr">
        <is>
          <t>fuel</t>
        </is>
      </c>
      <c r="D385" t="inlineStr">
        <is>
          <t>fillups</t>
        </is>
      </c>
      <c r="E385" s="21">
        <f>fillups!H385</f>
        <v/>
      </c>
      <c r="F385">
        <f>IF(B385="","",LEFT(B385,4))</f>
        <v/>
      </c>
      <c r="G385">
        <f>IF(A385="","",INDEX(vehicles!$I$2:$I$5,MATCH(A385,vehicles!$A$2:$A$5,0)))</f>
        <v/>
      </c>
      <c r="H385" t="inlineStr">
        <is>
          <t>fuel</t>
        </is>
      </c>
    </row>
    <row r="386">
      <c r="A386" s="5">
        <f>fillups!A386</f>
        <v/>
      </c>
      <c r="B386" s="5">
        <f>LEFT(fillups!C386,10)</f>
        <v/>
      </c>
      <c r="C386" t="inlineStr">
        <is>
          <t>fuel</t>
        </is>
      </c>
      <c r="D386" t="inlineStr">
        <is>
          <t>fillups</t>
        </is>
      </c>
      <c r="E386" s="21">
        <f>fillups!H386</f>
        <v/>
      </c>
      <c r="F386">
        <f>IF(B386="","",LEFT(B386,4))</f>
        <v/>
      </c>
      <c r="G386">
        <f>IF(A386="","",INDEX(vehicles!$I$2:$I$5,MATCH(A386,vehicles!$A$2:$A$5,0)))</f>
        <v/>
      </c>
      <c r="H386" t="inlineStr">
        <is>
          <t>fuel</t>
        </is>
      </c>
    </row>
    <row r="387">
      <c r="A387" s="5">
        <f>fillups!A387</f>
        <v/>
      </c>
      <c r="B387" s="5">
        <f>LEFT(fillups!C387,10)</f>
        <v/>
      </c>
      <c r="C387" t="inlineStr">
        <is>
          <t>fuel</t>
        </is>
      </c>
      <c r="D387" t="inlineStr">
        <is>
          <t>fillups</t>
        </is>
      </c>
      <c r="E387" s="21">
        <f>fillups!H387</f>
        <v/>
      </c>
      <c r="F387">
        <f>IF(B387="","",LEFT(B387,4))</f>
        <v/>
      </c>
      <c r="G387">
        <f>IF(A387="","",INDEX(vehicles!$I$2:$I$5,MATCH(A387,vehicles!$A$2:$A$5,0)))</f>
        <v/>
      </c>
      <c r="H387" t="inlineStr">
        <is>
          <t>fuel</t>
        </is>
      </c>
    </row>
    <row r="388">
      <c r="A388" s="5">
        <f>fillups!A388</f>
        <v/>
      </c>
      <c r="B388" s="5">
        <f>LEFT(fillups!C388,10)</f>
        <v/>
      </c>
      <c r="C388" t="inlineStr">
        <is>
          <t>fuel</t>
        </is>
      </c>
      <c r="D388" t="inlineStr">
        <is>
          <t>fillups</t>
        </is>
      </c>
      <c r="E388" s="21">
        <f>fillups!H388</f>
        <v/>
      </c>
      <c r="F388">
        <f>IF(B388="","",LEFT(B388,4))</f>
        <v/>
      </c>
      <c r="G388">
        <f>IF(A388="","",INDEX(vehicles!$I$2:$I$5,MATCH(A388,vehicles!$A$2:$A$5,0)))</f>
        <v/>
      </c>
      <c r="H388" t="inlineStr">
        <is>
          <t>fuel</t>
        </is>
      </c>
    </row>
    <row r="389">
      <c r="A389" s="5">
        <f>fillups!A389</f>
        <v/>
      </c>
      <c r="B389" s="5">
        <f>LEFT(fillups!C389,10)</f>
        <v/>
      </c>
      <c r="C389" t="inlineStr">
        <is>
          <t>fuel</t>
        </is>
      </c>
      <c r="D389" t="inlineStr">
        <is>
          <t>fillups</t>
        </is>
      </c>
      <c r="E389" s="21">
        <f>fillups!H389</f>
        <v/>
      </c>
      <c r="F389">
        <f>IF(B389="","",LEFT(B389,4))</f>
        <v/>
      </c>
      <c r="G389">
        <f>IF(A389="","",INDEX(vehicles!$I$2:$I$5,MATCH(A389,vehicles!$A$2:$A$5,0)))</f>
        <v/>
      </c>
      <c r="H389" t="inlineStr">
        <is>
          <t>fuel</t>
        </is>
      </c>
    </row>
    <row r="390">
      <c r="A390" s="5">
        <f>fillups!A390</f>
        <v/>
      </c>
      <c r="B390" s="5">
        <f>LEFT(fillups!C390,10)</f>
        <v/>
      </c>
      <c r="C390" t="inlineStr">
        <is>
          <t>fuel</t>
        </is>
      </c>
      <c r="D390" t="inlineStr">
        <is>
          <t>fillups</t>
        </is>
      </c>
      <c r="E390" s="21">
        <f>fillups!H390</f>
        <v/>
      </c>
      <c r="F390">
        <f>IF(B390="","",LEFT(B390,4))</f>
        <v/>
      </c>
      <c r="G390">
        <f>IF(A390="","",INDEX(vehicles!$I$2:$I$5,MATCH(A390,vehicles!$A$2:$A$5,0)))</f>
        <v/>
      </c>
      <c r="H390" t="inlineStr">
        <is>
          <t>fuel</t>
        </is>
      </c>
    </row>
    <row r="391">
      <c r="A391" s="5">
        <f>fillups!A391</f>
        <v/>
      </c>
      <c r="B391" s="5">
        <f>LEFT(fillups!C391,10)</f>
        <v/>
      </c>
      <c r="C391" t="inlineStr">
        <is>
          <t>fuel</t>
        </is>
      </c>
      <c r="D391" t="inlineStr">
        <is>
          <t>fillups</t>
        </is>
      </c>
      <c r="E391" s="21">
        <f>fillups!H391</f>
        <v/>
      </c>
      <c r="F391">
        <f>IF(B391="","",LEFT(B391,4))</f>
        <v/>
      </c>
      <c r="G391">
        <f>IF(A391="","",INDEX(vehicles!$I$2:$I$5,MATCH(A391,vehicles!$A$2:$A$5,0)))</f>
        <v/>
      </c>
      <c r="H391" t="inlineStr">
        <is>
          <t>fuel</t>
        </is>
      </c>
    </row>
    <row r="392">
      <c r="A392" s="5">
        <f>fillups!A392</f>
        <v/>
      </c>
      <c r="B392" s="5">
        <f>LEFT(fillups!C392,10)</f>
        <v/>
      </c>
      <c r="C392" t="inlineStr">
        <is>
          <t>fuel</t>
        </is>
      </c>
      <c r="D392" t="inlineStr">
        <is>
          <t>fillups</t>
        </is>
      </c>
      <c r="E392" s="21">
        <f>fillups!H392</f>
        <v/>
      </c>
      <c r="F392">
        <f>IF(B392="","",LEFT(B392,4))</f>
        <v/>
      </c>
      <c r="G392">
        <f>IF(A392="","",INDEX(vehicles!$I$2:$I$5,MATCH(A392,vehicles!$A$2:$A$5,0)))</f>
        <v/>
      </c>
      <c r="H392" t="inlineStr">
        <is>
          <t>fuel</t>
        </is>
      </c>
    </row>
    <row r="393">
      <c r="A393" s="5">
        <f>fillups!A393</f>
        <v/>
      </c>
      <c r="B393" s="5">
        <f>LEFT(fillups!C393,10)</f>
        <v/>
      </c>
      <c r="C393" t="inlineStr">
        <is>
          <t>fuel</t>
        </is>
      </c>
      <c r="D393" t="inlineStr">
        <is>
          <t>fillups</t>
        </is>
      </c>
      <c r="E393" s="21">
        <f>fillups!H393</f>
        <v/>
      </c>
      <c r="F393">
        <f>IF(B393="","",LEFT(B393,4))</f>
        <v/>
      </c>
      <c r="G393">
        <f>IF(A393="","",INDEX(vehicles!$I$2:$I$5,MATCH(A393,vehicles!$A$2:$A$5,0)))</f>
        <v/>
      </c>
      <c r="H393" t="inlineStr">
        <is>
          <t>fuel</t>
        </is>
      </c>
    </row>
    <row r="394">
      <c r="A394" s="5">
        <f>fillups!A394</f>
        <v/>
      </c>
      <c r="B394" s="5">
        <f>LEFT(fillups!C394,10)</f>
        <v/>
      </c>
      <c r="C394" t="inlineStr">
        <is>
          <t>fuel</t>
        </is>
      </c>
      <c r="D394" t="inlineStr">
        <is>
          <t>fillups</t>
        </is>
      </c>
      <c r="E394" s="21">
        <f>fillups!H394</f>
        <v/>
      </c>
      <c r="F394">
        <f>IF(B394="","",LEFT(B394,4))</f>
        <v/>
      </c>
      <c r="G394">
        <f>IF(A394="","",INDEX(vehicles!$I$2:$I$5,MATCH(A394,vehicles!$A$2:$A$5,0)))</f>
        <v/>
      </c>
      <c r="H394" t="inlineStr">
        <is>
          <t>fuel</t>
        </is>
      </c>
    </row>
    <row r="395">
      <c r="A395" s="5">
        <f>fillups!A395</f>
        <v/>
      </c>
      <c r="B395" s="5">
        <f>LEFT(fillups!C395,10)</f>
        <v/>
      </c>
      <c r="C395" t="inlineStr">
        <is>
          <t>fuel</t>
        </is>
      </c>
      <c r="D395" t="inlineStr">
        <is>
          <t>fillups</t>
        </is>
      </c>
      <c r="E395" s="21">
        <f>fillups!H395</f>
        <v/>
      </c>
      <c r="F395">
        <f>IF(B395="","",LEFT(B395,4))</f>
        <v/>
      </c>
      <c r="G395">
        <f>IF(A395="","",INDEX(vehicles!$I$2:$I$5,MATCH(A395,vehicles!$A$2:$A$5,0)))</f>
        <v/>
      </c>
      <c r="H395" t="inlineStr">
        <is>
          <t>fuel</t>
        </is>
      </c>
    </row>
    <row r="396">
      <c r="A396" s="5">
        <f>fillups!A396</f>
        <v/>
      </c>
      <c r="B396" s="5">
        <f>LEFT(fillups!C396,10)</f>
        <v/>
      </c>
      <c r="C396" t="inlineStr">
        <is>
          <t>fuel</t>
        </is>
      </c>
      <c r="D396" t="inlineStr">
        <is>
          <t>fillups</t>
        </is>
      </c>
      <c r="E396" s="21">
        <f>fillups!H396</f>
        <v/>
      </c>
      <c r="F396">
        <f>IF(B396="","",LEFT(B396,4))</f>
        <v/>
      </c>
      <c r="G396">
        <f>IF(A396="","",INDEX(vehicles!$I$2:$I$5,MATCH(A396,vehicles!$A$2:$A$5,0)))</f>
        <v/>
      </c>
      <c r="H396" t="inlineStr">
        <is>
          <t>fuel</t>
        </is>
      </c>
    </row>
    <row r="397">
      <c r="A397" s="5">
        <f>fillups!A397</f>
        <v/>
      </c>
      <c r="B397" s="5">
        <f>LEFT(fillups!C397,10)</f>
        <v/>
      </c>
      <c r="C397" t="inlineStr">
        <is>
          <t>fuel</t>
        </is>
      </c>
      <c r="D397" t="inlineStr">
        <is>
          <t>fillups</t>
        </is>
      </c>
      <c r="E397" s="21">
        <f>fillups!H397</f>
        <v/>
      </c>
      <c r="F397">
        <f>IF(B397="","",LEFT(B397,4))</f>
        <v/>
      </c>
      <c r="G397">
        <f>IF(A397="","",INDEX(vehicles!$I$2:$I$5,MATCH(A397,vehicles!$A$2:$A$5,0)))</f>
        <v/>
      </c>
      <c r="H397" t="inlineStr">
        <is>
          <t>fuel</t>
        </is>
      </c>
    </row>
    <row r="398">
      <c r="A398" s="5">
        <f>fillups!A398</f>
        <v/>
      </c>
      <c r="B398" s="5">
        <f>LEFT(fillups!C398,10)</f>
        <v/>
      </c>
      <c r="C398" t="inlineStr">
        <is>
          <t>fuel</t>
        </is>
      </c>
      <c r="D398" t="inlineStr">
        <is>
          <t>fillups</t>
        </is>
      </c>
      <c r="E398" s="21">
        <f>fillups!H398</f>
        <v/>
      </c>
      <c r="F398">
        <f>IF(B398="","",LEFT(B398,4))</f>
        <v/>
      </c>
      <c r="G398">
        <f>IF(A398="","",INDEX(vehicles!$I$2:$I$5,MATCH(A398,vehicles!$A$2:$A$5,0)))</f>
        <v/>
      </c>
      <c r="H398" t="inlineStr">
        <is>
          <t>fuel</t>
        </is>
      </c>
    </row>
    <row r="399">
      <c r="A399" s="5">
        <f>fillups!A399</f>
        <v/>
      </c>
      <c r="B399" s="5">
        <f>LEFT(fillups!C399,10)</f>
        <v/>
      </c>
      <c r="C399" t="inlineStr">
        <is>
          <t>fuel</t>
        </is>
      </c>
      <c r="D399" t="inlineStr">
        <is>
          <t>fillups</t>
        </is>
      </c>
      <c r="E399" s="21">
        <f>fillups!H399</f>
        <v/>
      </c>
      <c r="F399">
        <f>IF(B399="","",LEFT(B399,4))</f>
        <v/>
      </c>
      <c r="G399">
        <f>IF(A399="","",INDEX(vehicles!$I$2:$I$5,MATCH(A399,vehicles!$A$2:$A$5,0)))</f>
        <v/>
      </c>
      <c r="H399" t="inlineStr">
        <is>
          <t>fuel</t>
        </is>
      </c>
    </row>
    <row r="400">
      <c r="A400" s="5">
        <f>fillups!A400</f>
        <v/>
      </c>
      <c r="B400" s="5">
        <f>LEFT(fillups!C400,10)</f>
        <v/>
      </c>
      <c r="C400" t="inlineStr">
        <is>
          <t>fuel</t>
        </is>
      </c>
      <c r="D400" t="inlineStr">
        <is>
          <t>fillups</t>
        </is>
      </c>
      <c r="E400" s="21">
        <f>fillups!H400</f>
        <v/>
      </c>
      <c r="F400">
        <f>IF(B400="","",LEFT(B400,4))</f>
        <v/>
      </c>
      <c r="G400">
        <f>IF(A400="","",INDEX(vehicles!$I$2:$I$5,MATCH(A400,vehicles!$A$2:$A$5,0)))</f>
        <v/>
      </c>
      <c r="H400" t="inlineStr">
        <is>
          <t>fuel</t>
        </is>
      </c>
    </row>
    <row r="401">
      <c r="A401" s="5">
        <f>fillups!A401</f>
        <v/>
      </c>
      <c r="B401" s="5">
        <f>LEFT(fillups!C401,10)</f>
        <v/>
      </c>
      <c r="C401" t="inlineStr">
        <is>
          <t>fuel</t>
        </is>
      </c>
      <c r="D401" t="inlineStr">
        <is>
          <t>fillups</t>
        </is>
      </c>
      <c r="E401" s="21">
        <f>fillups!H401</f>
        <v/>
      </c>
      <c r="F401">
        <f>IF(B401="","",LEFT(B401,4))</f>
        <v/>
      </c>
      <c r="G401">
        <f>IF(A401="","",INDEX(vehicles!$I$2:$I$5,MATCH(A401,vehicles!$A$2:$A$5,0)))</f>
        <v/>
      </c>
      <c r="H401" t="inlineStr">
        <is>
          <t>fuel</t>
        </is>
      </c>
    </row>
    <row r="402">
      <c r="A402" s="5">
        <f>fillups!A402</f>
        <v/>
      </c>
      <c r="B402" s="5">
        <f>LEFT(fillups!C402,10)</f>
        <v/>
      </c>
      <c r="C402" t="inlineStr">
        <is>
          <t>fuel</t>
        </is>
      </c>
      <c r="D402" t="inlineStr">
        <is>
          <t>fillups</t>
        </is>
      </c>
      <c r="E402" s="21">
        <f>fillups!H402</f>
        <v/>
      </c>
      <c r="F402">
        <f>IF(B402="","",LEFT(B402,4))</f>
        <v/>
      </c>
      <c r="G402">
        <f>IF(A402="","",INDEX(vehicles!$I$2:$I$5,MATCH(A402,vehicles!$A$2:$A$5,0)))</f>
        <v/>
      </c>
      <c r="H402" t="inlineStr">
        <is>
          <t>fuel</t>
        </is>
      </c>
    </row>
    <row r="403">
      <c r="A403" s="5">
        <f>fillups!A403</f>
        <v/>
      </c>
      <c r="B403" s="5">
        <f>LEFT(fillups!C403,10)</f>
        <v/>
      </c>
      <c r="C403" t="inlineStr">
        <is>
          <t>fuel</t>
        </is>
      </c>
      <c r="D403" t="inlineStr">
        <is>
          <t>fillups</t>
        </is>
      </c>
      <c r="E403" s="21">
        <f>fillups!H403</f>
        <v/>
      </c>
      <c r="F403">
        <f>IF(B403="","",LEFT(B403,4))</f>
        <v/>
      </c>
      <c r="G403">
        <f>IF(A403="","",INDEX(vehicles!$I$2:$I$5,MATCH(A403,vehicles!$A$2:$A$5,0)))</f>
        <v/>
      </c>
      <c r="H403" t="inlineStr">
        <is>
          <t>fuel</t>
        </is>
      </c>
    </row>
    <row r="404">
      <c r="A404" s="5">
        <f>fillups!A404</f>
        <v/>
      </c>
      <c r="B404" s="5">
        <f>LEFT(fillups!C404,10)</f>
        <v/>
      </c>
      <c r="C404" t="inlineStr">
        <is>
          <t>fuel</t>
        </is>
      </c>
      <c r="D404" t="inlineStr">
        <is>
          <t>fillups</t>
        </is>
      </c>
      <c r="E404" s="21">
        <f>fillups!H404</f>
        <v/>
      </c>
      <c r="F404">
        <f>IF(B404="","",LEFT(B404,4))</f>
        <v/>
      </c>
      <c r="G404">
        <f>IF(A404="","",INDEX(vehicles!$I$2:$I$5,MATCH(A404,vehicles!$A$2:$A$5,0)))</f>
        <v/>
      </c>
      <c r="H404" t="inlineStr">
        <is>
          <t>fuel</t>
        </is>
      </c>
    </row>
    <row r="405">
      <c r="A405" s="5">
        <f>fillups!A405</f>
        <v/>
      </c>
      <c r="B405" s="5">
        <f>LEFT(fillups!C405,10)</f>
        <v/>
      </c>
      <c r="C405" t="inlineStr">
        <is>
          <t>fuel</t>
        </is>
      </c>
      <c r="D405" t="inlineStr">
        <is>
          <t>fillups</t>
        </is>
      </c>
      <c r="E405" s="21">
        <f>fillups!H405</f>
        <v/>
      </c>
      <c r="F405">
        <f>IF(B405="","",LEFT(B405,4))</f>
        <v/>
      </c>
      <c r="G405">
        <f>IF(A405="","",INDEX(vehicles!$I$2:$I$5,MATCH(A405,vehicles!$A$2:$A$5,0)))</f>
        <v/>
      </c>
      <c r="H405" t="inlineStr">
        <is>
          <t>fuel</t>
        </is>
      </c>
    </row>
    <row r="406">
      <c r="A406" s="5">
        <f>fillups!A406</f>
        <v/>
      </c>
      <c r="B406" s="5">
        <f>LEFT(fillups!C406,10)</f>
        <v/>
      </c>
      <c r="C406" t="inlineStr">
        <is>
          <t>fuel</t>
        </is>
      </c>
      <c r="D406" t="inlineStr">
        <is>
          <t>fillups</t>
        </is>
      </c>
      <c r="E406" s="21">
        <f>fillups!H406</f>
        <v/>
      </c>
      <c r="F406">
        <f>IF(B406="","",LEFT(B406,4))</f>
        <v/>
      </c>
      <c r="G406">
        <f>IF(A406="","",INDEX(vehicles!$I$2:$I$5,MATCH(A406,vehicles!$A$2:$A$5,0)))</f>
        <v/>
      </c>
      <c r="H406" t="inlineStr">
        <is>
          <t>fuel</t>
        </is>
      </c>
    </row>
    <row r="407">
      <c r="A407" s="5">
        <f>fillups!A407</f>
        <v/>
      </c>
      <c r="B407" s="5">
        <f>LEFT(fillups!C407,10)</f>
        <v/>
      </c>
      <c r="C407" t="inlineStr">
        <is>
          <t>fuel</t>
        </is>
      </c>
      <c r="D407" t="inlineStr">
        <is>
          <t>fillups</t>
        </is>
      </c>
      <c r="E407" s="21">
        <f>fillups!H407</f>
        <v/>
      </c>
      <c r="F407">
        <f>IF(B407="","",LEFT(B407,4))</f>
        <v/>
      </c>
      <c r="G407">
        <f>IF(A407="","",INDEX(vehicles!$I$2:$I$5,MATCH(A407,vehicles!$A$2:$A$5,0)))</f>
        <v/>
      </c>
      <c r="H407" t="inlineStr">
        <is>
          <t>fuel</t>
        </is>
      </c>
    </row>
    <row r="408">
      <c r="A408" s="5">
        <f>fillups!A408</f>
        <v/>
      </c>
      <c r="B408" s="5">
        <f>LEFT(fillups!C408,10)</f>
        <v/>
      </c>
      <c r="C408" t="inlineStr">
        <is>
          <t>fuel</t>
        </is>
      </c>
      <c r="D408" t="inlineStr">
        <is>
          <t>fillups</t>
        </is>
      </c>
      <c r="E408" s="21">
        <f>fillups!H408</f>
        <v/>
      </c>
      <c r="F408">
        <f>IF(B408="","",LEFT(B408,4))</f>
        <v/>
      </c>
      <c r="G408">
        <f>IF(A408="","",INDEX(vehicles!$I$2:$I$5,MATCH(A408,vehicles!$A$2:$A$5,0)))</f>
        <v/>
      </c>
      <c r="H408" t="inlineStr">
        <is>
          <t>fuel</t>
        </is>
      </c>
    </row>
    <row r="409">
      <c r="A409" s="5">
        <f>fillups!A409</f>
        <v/>
      </c>
      <c r="B409" s="5">
        <f>LEFT(fillups!C409,10)</f>
        <v/>
      </c>
      <c r="C409" t="inlineStr">
        <is>
          <t>fuel</t>
        </is>
      </c>
      <c r="D409" t="inlineStr">
        <is>
          <t>fillups</t>
        </is>
      </c>
      <c r="E409" s="21">
        <f>fillups!H409</f>
        <v/>
      </c>
      <c r="F409">
        <f>IF(B409="","",LEFT(B409,4))</f>
        <v/>
      </c>
      <c r="G409">
        <f>IF(A409="","",INDEX(vehicles!$I$2:$I$5,MATCH(A409,vehicles!$A$2:$A$5,0)))</f>
        <v/>
      </c>
      <c r="H409" t="inlineStr">
        <is>
          <t>fuel</t>
        </is>
      </c>
    </row>
    <row r="410">
      <c r="A410" s="5">
        <f>fillups!A410</f>
        <v/>
      </c>
      <c r="B410" s="5">
        <f>LEFT(fillups!C410,10)</f>
        <v/>
      </c>
      <c r="C410" t="inlineStr">
        <is>
          <t>fuel</t>
        </is>
      </c>
      <c r="D410" t="inlineStr">
        <is>
          <t>fillups</t>
        </is>
      </c>
      <c r="E410" s="21">
        <f>fillups!H410</f>
        <v/>
      </c>
      <c r="F410">
        <f>IF(B410="","",LEFT(B410,4))</f>
        <v/>
      </c>
      <c r="G410">
        <f>IF(A410="","",INDEX(vehicles!$I$2:$I$5,MATCH(A410,vehicles!$A$2:$A$5,0)))</f>
        <v/>
      </c>
      <c r="H410" t="inlineStr">
        <is>
          <t>fuel</t>
        </is>
      </c>
    </row>
    <row r="411">
      <c r="A411" s="5">
        <f>fillups!A411</f>
        <v/>
      </c>
      <c r="B411" s="5">
        <f>LEFT(fillups!C411,10)</f>
        <v/>
      </c>
      <c r="C411" t="inlineStr">
        <is>
          <t>fuel</t>
        </is>
      </c>
      <c r="D411" t="inlineStr">
        <is>
          <t>fillups</t>
        </is>
      </c>
      <c r="E411" s="21">
        <f>fillups!H411</f>
        <v/>
      </c>
      <c r="F411">
        <f>IF(B411="","",LEFT(B411,4))</f>
        <v/>
      </c>
      <c r="G411">
        <f>IF(A411="","",INDEX(vehicles!$I$2:$I$5,MATCH(A411,vehicles!$A$2:$A$5,0)))</f>
        <v/>
      </c>
      <c r="H411" t="inlineStr">
        <is>
          <t>fuel</t>
        </is>
      </c>
    </row>
    <row r="412">
      <c r="A412" s="5">
        <f>fillups!A412</f>
        <v/>
      </c>
      <c r="B412" s="5">
        <f>LEFT(fillups!C412,10)</f>
        <v/>
      </c>
      <c r="C412" t="inlineStr">
        <is>
          <t>fuel</t>
        </is>
      </c>
      <c r="D412" t="inlineStr">
        <is>
          <t>fillups</t>
        </is>
      </c>
      <c r="E412" s="21">
        <f>fillups!H412</f>
        <v/>
      </c>
      <c r="F412">
        <f>IF(B412="","",LEFT(B412,4))</f>
        <v/>
      </c>
      <c r="G412">
        <f>IF(A412="","",INDEX(vehicles!$I$2:$I$5,MATCH(A412,vehicles!$A$2:$A$5,0)))</f>
        <v/>
      </c>
      <c r="H412" t="inlineStr">
        <is>
          <t>fuel</t>
        </is>
      </c>
    </row>
    <row r="413">
      <c r="A413" s="5">
        <f>fillups!A413</f>
        <v/>
      </c>
      <c r="B413" s="5">
        <f>LEFT(fillups!C413,10)</f>
        <v/>
      </c>
      <c r="C413" t="inlineStr">
        <is>
          <t>fuel</t>
        </is>
      </c>
      <c r="D413" t="inlineStr">
        <is>
          <t>fillups</t>
        </is>
      </c>
      <c r="E413" s="21">
        <f>fillups!H413</f>
        <v/>
      </c>
      <c r="F413">
        <f>IF(B413="","",LEFT(B413,4))</f>
        <v/>
      </c>
      <c r="G413">
        <f>IF(A413="","",INDEX(vehicles!$I$2:$I$5,MATCH(A413,vehicles!$A$2:$A$5,0)))</f>
        <v/>
      </c>
      <c r="H413" t="inlineStr">
        <is>
          <t>fuel</t>
        </is>
      </c>
    </row>
    <row r="414">
      <c r="A414" s="5">
        <f>fillups!A414</f>
        <v/>
      </c>
      <c r="B414" s="5">
        <f>LEFT(fillups!C414,10)</f>
        <v/>
      </c>
      <c r="C414" t="inlineStr">
        <is>
          <t>fuel</t>
        </is>
      </c>
      <c r="D414" t="inlineStr">
        <is>
          <t>fillups</t>
        </is>
      </c>
      <c r="E414" s="21">
        <f>fillups!H414</f>
        <v/>
      </c>
      <c r="F414">
        <f>IF(B414="","",LEFT(B414,4))</f>
        <v/>
      </c>
      <c r="G414">
        <f>IF(A414="","",INDEX(vehicles!$I$2:$I$5,MATCH(A414,vehicles!$A$2:$A$5,0)))</f>
        <v/>
      </c>
      <c r="H414" t="inlineStr">
        <is>
          <t>fuel</t>
        </is>
      </c>
    </row>
    <row r="415">
      <c r="A415" s="5">
        <f>fillups!A415</f>
        <v/>
      </c>
      <c r="B415" s="5">
        <f>LEFT(fillups!C415,10)</f>
        <v/>
      </c>
      <c r="C415" t="inlineStr">
        <is>
          <t>fuel</t>
        </is>
      </c>
      <c r="D415" t="inlineStr">
        <is>
          <t>fillups</t>
        </is>
      </c>
      <c r="E415" s="21">
        <f>fillups!H415</f>
        <v/>
      </c>
      <c r="F415">
        <f>IF(B415="","",LEFT(B415,4))</f>
        <v/>
      </c>
      <c r="G415">
        <f>IF(A415="","",INDEX(vehicles!$I$2:$I$5,MATCH(A415,vehicles!$A$2:$A$5,0)))</f>
        <v/>
      </c>
      <c r="H415" t="inlineStr">
        <is>
          <t>fuel</t>
        </is>
      </c>
    </row>
    <row r="416">
      <c r="A416" s="5">
        <f>fillups!A416</f>
        <v/>
      </c>
      <c r="B416" s="5">
        <f>LEFT(fillups!C416,10)</f>
        <v/>
      </c>
      <c r="C416" t="inlineStr">
        <is>
          <t>fuel</t>
        </is>
      </c>
      <c r="D416" t="inlineStr">
        <is>
          <t>fillups</t>
        </is>
      </c>
      <c r="E416" s="21">
        <f>fillups!H416</f>
        <v/>
      </c>
      <c r="F416">
        <f>IF(B416="","",LEFT(B416,4))</f>
        <v/>
      </c>
      <c r="G416">
        <f>IF(A416="","",INDEX(vehicles!$I$2:$I$5,MATCH(A416,vehicles!$A$2:$A$5,0)))</f>
        <v/>
      </c>
      <c r="H416" t="inlineStr">
        <is>
          <t>fuel</t>
        </is>
      </c>
    </row>
    <row r="417">
      <c r="A417" s="5">
        <f>fillups!A417</f>
        <v/>
      </c>
      <c r="B417" s="5">
        <f>LEFT(fillups!C417,10)</f>
        <v/>
      </c>
      <c r="C417" t="inlineStr">
        <is>
          <t>fuel</t>
        </is>
      </c>
      <c r="D417" t="inlineStr">
        <is>
          <t>fillups</t>
        </is>
      </c>
      <c r="E417" s="21">
        <f>fillups!H417</f>
        <v/>
      </c>
      <c r="F417">
        <f>IF(B417="","",LEFT(B417,4))</f>
        <v/>
      </c>
      <c r="G417">
        <f>IF(A417="","",INDEX(vehicles!$I$2:$I$5,MATCH(A417,vehicles!$A$2:$A$5,0)))</f>
        <v/>
      </c>
      <c r="H417" t="inlineStr">
        <is>
          <t>fuel</t>
        </is>
      </c>
    </row>
    <row r="418">
      <c r="A418" s="5">
        <f>fillups!A418</f>
        <v/>
      </c>
      <c r="B418" s="5">
        <f>LEFT(fillups!C418,10)</f>
        <v/>
      </c>
      <c r="C418" t="inlineStr">
        <is>
          <t>fuel</t>
        </is>
      </c>
      <c r="D418" t="inlineStr">
        <is>
          <t>fillups</t>
        </is>
      </c>
      <c r="E418" s="21">
        <f>fillups!H418</f>
        <v/>
      </c>
      <c r="F418">
        <f>IF(B418="","",LEFT(B418,4))</f>
        <v/>
      </c>
      <c r="G418">
        <f>IF(A418="","",INDEX(vehicles!$I$2:$I$5,MATCH(A418,vehicles!$A$2:$A$5,0)))</f>
        <v/>
      </c>
      <c r="H418" t="inlineStr">
        <is>
          <t>fuel</t>
        </is>
      </c>
    </row>
    <row r="419">
      <c r="A419" s="5">
        <f>fillups!A419</f>
        <v/>
      </c>
      <c r="B419" s="5">
        <f>LEFT(fillups!C419,10)</f>
        <v/>
      </c>
      <c r="C419" t="inlineStr">
        <is>
          <t>fuel</t>
        </is>
      </c>
      <c r="D419" t="inlineStr">
        <is>
          <t>fillups</t>
        </is>
      </c>
      <c r="E419" s="21">
        <f>fillups!H419</f>
        <v/>
      </c>
      <c r="F419">
        <f>IF(B419="","",LEFT(B419,4))</f>
        <v/>
      </c>
      <c r="G419">
        <f>IF(A419="","",INDEX(vehicles!$I$2:$I$5,MATCH(A419,vehicles!$A$2:$A$5,0)))</f>
        <v/>
      </c>
      <c r="H419" t="inlineStr">
        <is>
          <t>fuel</t>
        </is>
      </c>
    </row>
    <row r="420">
      <c r="A420" s="5">
        <f>fillups!A420</f>
        <v/>
      </c>
      <c r="B420" s="5">
        <f>LEFT(fillups!C420,10)</f>
        <v/>
      </c>
      <c r="C420" t="inlineStr">
        <is>
          <t>fuel</t>
        </is>
      </c>
      <c r="D420" t="inlineStr">
        <is>
          <t>fillups</t>
        </is>
      </c>
      <c r="E420" s="21">
        <f>fillups!H420</f>
        <v/>
      </c>
      <c r="F420">
        <f>IF(B420="","",LEFT(B420,4))</f>
        <v/>
      </c>
      <c r="G420">
        <f>IF(A420="","",INDEX(vehicles!$I$2:$I$5,MATCH(A420,vehicles!$A$2:$A$5,0)))</f>
        <v/>
      </c>
      <c r="H420" t="inlineStr">
        <is>
          <t>fuel</t>
        </is>
      </c>
    </row>
    <row r="421">
      <c r="A421" s="5">
        <f>fillups!A421</f>
        <v/>
      </c>
      <c r="B421" s="5">
        <f>LEFT(fillups!C421,10)</f>
        <v/>
      </c>
      <c r="C421" t="inlineStr">
        <is>
          <t>fuel</t>
        </is>
      </c>
      <c r="D421" t="inlineStr">
        <is>
          <t>fillups</t>
        </is>
      </c>
      <c r="E421" s="21">
        <f>fillups!H421</f>
        <v/>
      </c>
      <c r="F421">
        <f>IF(B421="","",LEFT(B421,4))</f>
        <v/>
      </c>
      <c r="G421">
        <f>IF(A421="","",INDEX(vehicles!$I$2:$I$5,MATCH(A421,vehicles!$A$2:$A$5,0)))</f>
        <v/>
      </c>
      <c r="H421" t="inlineStr">
        <is>
          <t>fuel</t>
        </is>
      </c>
    </row>
    <row r="422">
      <c r="A422" s="5">
        <f>fillups!A422</f>
        <v/>
      </c>
      <c r="B422" s="5">
        <f>LEFT(fillups!C422,10)</f>
        <v/>
      </c>
      <c r="C422" t="inlineStr">
        <is>
          <t>fuel</t>
        </is>
      </c>
      <c r="D422" t="inlineStr">
        <is>
          <t>fillups</t>
        </is>
      </c>
      <c r="E422" s="21">
        <f>fillups!H422</f>
        <v/>
      </c>
      <c r="F422">
        <f>IF(B422="","",LEFT(B422,4))</f>
        <v/>
      </c>
      <c r="G422">
        <f>IF(A422="","",INDEX(vehicles!$I$2:$I$5,MATCH(A422,vehicles!$A$2:$A$5,0)))</f>
        <v/>
      </c>
      <c r="H422" t="inlineStr">
        <is>
          <t>fuel</t>
        </is>
      </c>
    </row>
    <row r="423">
      <c r="A423" s="5">
        <f>fillups!A423</f>
        <v/>
      </c>
      <c r="B423" s="5">
        <f>LEFT(fillups!C423,10)</f>
        <v/>
      </c>
      <c r="C423" t="inlineStr">
        <is>
          <t>fuel</t>
        </is>
      </c>
      <c r="D423" t="inlineStr">
        <is>
          <t>fillups</t>
        </is>
      </c>
      <c r="E423" s="21">
        <f>fillups!H423</f>
        <v/>
      </c>
      <c r="F423">
        <f>IF(B423="","",LEFT(B423,4))</f>
        <v/>
      </c>
      <c r="G423">
        <f>IF(A423="","",INDEX(vehicles!$I$2:$I$5,MATCH(A423,vehicles!$A$2:$A$5,0)))</f>
        <v/>
      </c>
      <c r="H423" t="inlineStr">
        <is>
          <t>fuel</t>
        </is>
      </c>
    </row>
    <row r="424">
      <c r="A424" s="5">
        <f>fillups!A424</f>
        <v/>
      </c>
      <c r="B424" s="5">
        <f>LEFT(fillups!C424,10)</f>
        <v/>
      </c>
      <c r="C424" t="inlineStr">
        <is>
          <t>fuel</t>
        </is>
      </c>
      <c r="D424" t="inlineStr">
        <is>
          <t>fillups</t>
        </is>
      </c>
      <c r="E424" s="21">
        <f>fillups!H424</f>
        <v/>
      </c>
      <c r="F424">
        <f>IF(B424="","",LEFT(B424,4))</f>
        <v/>
      </c>
      <c r="G424">
        <f>IF(A424="","",INDEX(vehicles!$I$2:$I$5,MATCH(A424,vehicles!$A$2:$A$5,0)))</f>
        <v/>
      </c>
      <c r="H424" t="inlineStr">
        <is>
          <t>fuel</t>
        </is>
      </c>
    </row>
    <row r="425">
      <c r="A425" s="5">
        <f>fillups!A425</f>
        <v/>
      </c>
      <c r="B425" s="5">
        <f>LEFT(fillups!C425,10)</f>
        <v/>
      </c>
      <c r="C425" t="inlineStr">
        <is>
          <t>fuel</t>
        </is>
      </c>
      <c r="D425" t="inlineStr">
        <is>
          <t>fillups</t>
        </is>
      </c>
      <c r="E425" s="21">
        <f>fillups!H425</f>
        <v/>
      </c>
      <c r="F425">
        <f>IF(B425="","",LEFT(B425,4))</f>
        <v/>
      </c>
      <c r="G425">
        <f>IF(A425="","",INDEX(vehicles!$I$2:$I$5,MATCH(A425,vehicles!$A$2:$A$5,0)))</f>
        <v/>
      </c>
      <c r="H425" t="inlineStr">
        <is>
          <t>fuel</t>
        </is>
      </c>
    </row>
    <row r="426">
      <c r="A426" s="5">
        <f>fillups!A426</f>
        <v/>
      </c>
      <c r="B426" s="5">
        <f>LEFT(fillups!C426,10)</f>
        <v/>
      </c>
      <c r="C426" t="inlineStr">
        <is>
          <t>fuel</t>
        </is>
      </c>
      <c r="D426" t="inlineStr">
        <is>
          <t>fillups</t>
        </is>
      </c>
      <c r="E426" s="21">
        <f>fillups!H426</f>
        <v/>
      </c>
      <c r="F426">
        <f>IF(B426="","",LEFT(B426,4))</f>
        <v/>
      </c>
      <c r="G426">
        <f>IF(A426="","",INDEX(vehicles!$I$2:$I$5,MATCH(A426,vehicles!$A$2:$A$5,0)))</f>
        <v/>
      </c>
      <c r="H426" t="inlineStr">
        <is>
          <t>fuel</t>
        </is>
      </c>
    </row>
    <row r="427">
      <c r="A427" s="5">
        <f>fillups!A427</f>
        <v/>
      </c>
      <c r="B427" s="5">
        <f>LEFT(fillups!C427,10)</f>
        <v/>
      </c>
      <c r="C427" t="inlineStr">
        <is>
          <t>fuel</t>
        </is>
      </c>
      <c r="D427" t="inlineStr">
        <is>
          <t>fillups</t>
        </is>
      </c>
      <c r="E427" s="21">
        <f>fillups!H427</f>
        <v/>
      </c>
      <c r="F427">
        <f>IF(B427="","",LEFT(B427,4))</f>
        <v/>
      </c>
      <c r="G427">
        <f>IF(A427="","",INDEX(vehicles!$I$2:$I$5,MATCH(A427,vehicles!$A$2:$A$5,0)))</f>
        <v/>
      </c>
      <c r="H427" t="inlineStr">
        <is>
          <t>fuel</t>
        </is>
      </c>
    </row>
    <row r="428">
      <c r="A428" s="5">
        <f>fillups!A428</f>
        <v/>
      </c>
      <c r="B428" s="5">
        <f>LEFT(fillups!C428,10)</f>
        <v/>
      </c>
      <c r="C428" t="inlineStr">
        <is>
          <t>fuel</t>
        </is>
      </c>
      <c r="D428" t="inlineStr">
        <is>
          <t>fillups</t>
        </is>
      </c>
      <c r="E428" s="21">
        <f>fillups!H428</f>
        <v/>
      </c>
      <c r="F428">
        <f>IF(B428="","",LEFT(B428,4))</f>
        <v/>
      </c>
      <c r="G428">
        <f>IF(A428="","",INDEX(vehicles!$I$2:$I$5,MATCH(A428,vehicles!$A$2:$A$5,0)))</f>
        <v/>
      </c>
      <c r="H428" t="inlineStr">
        <is>
          <t>fuel</t>
        </is>
      </c>
    </row>
    <row r="429">
      <c r="A429" s="5">
        <f>fillups!A429</f>
        <v/>
      </c>
      <c r="B429" s="5">
        <f>LEFT(fillups!C429,10)</f>
        <v/>
      </c>
      <c r="C429" t="inlineStr">
        <is>
          <t>fuel</t>
        </is>
      </c>
      <c r="D429" t="inlineStr">
        <is>
          <t>fillups</t>
        </is>
      </c>
      <c r="E429" s="21">
        <f>fillups!H429</f>
        <v/>
      </c>
      <c r="F429">
        <f>IF(B429="","",LEFT(B429,4))</f>
        <v/>
      </c>
      <c r="G429">
        <f>IF(A429="","",INDEX(vehicles!$I$2:$I$5,MATCH(A429,vehicles!$A$2:$A$5,0)))</f>
        <v/>
      </c>
      <c r="H429" t="inlineStr">
        <is>
          <t>fuel</t>
        </is>
      </c>
    </row>
    <row r="430">
      <c r="A430" s="5">
        <f>fillups!A430</f>
        <v/>
      </c>
      <c r="B430" s="5">
        <f>LEFT(fillups!C430,10)</f>
        <v/>
      </c>
      <c r="C430" t="inlineStr">
        <is>
          <t>fuel</t>
        </is>
      </c>
      <c r="D430" t="inlineStr">
        <is>
          <t>fillups</t>
        </is>
      </c>
      <c r="E430" s="21">
        <f>fillups!H430</f>
        <v/>
      </c>
      <c r="F430">
        <f>IF(B430="","",LEFT(B430,4))</f>
        <v/>
      </c>
      <c r="G430">
        <f>IF(A430="","",INDEX(vehicles!$I$2:$I$5,MATCH(A430,vehicles!$A$2:$A$5,0)))</f>
        <v/>
      </c>
      <c r="H430" t="inlineStr">
        <is>
          <t>fuel</t>
        </is>
      </c>
    </row>
    <row r="431">
      <c r="A431" s="5">
        <f>fillups!A431</f>
        <v/>
      </c>
      <c r="B431" s="5">
        <f>LEFT(fillups!C431,10)</f>
        <v/>
      </c>
      <c r="C431" t="inlineStr">
        <is>
          <t>fuel</t>
        </is>
      </c>
      <c r="D431" t="inlineStr">
        <is>
          <t>fillups</t>
        </is>
      </c>
      <c r="E431" s="21">
        <f>fillups!H431</f>
        <v/>
      </c>
      <c r="F431">
        <f>IF(B431="","",LEFT(B431,4))</f>
        <v/>
      </c>
      <c r="G431">
        <f>IF(A431="","",INDEX(vehicles!$I$2:$I$5,MATCH(A431,vehicles!$A$2:$A$5,0)))</f>
        <v/>
      </c>
      <c r="H431" t="inlineStr">
        <is>
          <t>fuel</t>
        </is>
      </c>
    </row>
    <row r="432">
      <c r="A432" s="5">
        <f>fillups!A432</f>
        <v/>
      </c>
      <c r="B432" s="5">
        <f>LEFT(fillups!C432,10)</f>
        <v/>
      </c>
      <c r="C432" t="inlineStr">
        <is>
          <t>fuel</t>
        </is>
      </c>
      <c r="D432" t="inlineStr">
        <is>
          <t>fillups</t>
        </is>
      </c>
      <c r="E432" s="21">
        <f>fillups!H432</f>
        <v/>
      </c>
      <c r="F432">
        <f>IF(B432="","",LEFT(B432,4))</f>
        <v/>
      </c>
      <c r="G432">
        <f>IF(A432="","",INDEX(vehicles!$I$2:$I$5,MATCH(A432,vehicles!$A$2:$A$5,0)))</f>
        <v/>
      </c>
      <c r="H432" t="inlineStr">
        <is>
          <t>fuel</t>
        </is>
      </c>
    </row>
    <row r="433">
      <c r="A433" s="5">
        <f>fillups!A433</f>
        <v/>
      </c>
      <c r="B433" s="5">
        <f>LEFT(fillups!C433,10)</f>
        <v/>
      </c>
      <c r="C433" t="inlineStr">
        <is>
          <t>fuel</t>
        </is>
      </c>
      <c r="D433" t="inlineStr">
        <is>
          <t>fillups</t>
        </is>
      </c>
      <c r="E433" s="21">
        <f>fillups!H433</f>
        <v/>
      </c>
      <c r="F433">
        <f>IF(B433="","",LEFT(B433,4))</f>
        <v/>
      </c>
      <c r="G433">
        <f>IF(A433="","",INDEX(vehicles!$I$2:$I$5,MATCH(A433,vehicles!$A$2:$A$5,0)))</f>
        <v/>
      </c>
      <c r="H433" t="inlineStr">
        <is>
          <t>fuel</t>
        </is>
      </c>
    </row>
    <row r="434">
      <c r="A434" s="5">
        <f>fillups!A434</f>
        <v/>
      </c>
      <c r="B434" s="5">
        <f>LEFT(fillups!C434,10)</f>
        <v/>
      </c>
      <c r="C434" t="inlineStr">
        <is>
          <t>fuel</t>
        </is>
      </c>
      <c r="D434" t="inlineStr">
        <is>
          <t>fillups</t>
        </is>
      </c>
      <c r="E434" s="21">
        <f>fillups!H434</f>
        <v/>
      </c>
      <c r="F434">
        <f>IF(B434="","",LEFT(B434,4))</f>
        <v/>
      </c>
      <c r="G434">
        <f>IF(A434="","",INDEX(vehicles!$I$2:$I$5,MATCH(A434,vehicles!$A$2:$A$5,0)))</f>
        <v/>
      </c>
      <c r="H434" t="inlineStr">
        <is>
          <t>fuel</t>
        </is>
      </c>
    </row>
    <row r="435">
      <c r="A435" s="5">
        <f>fillups!A435</f>
        <v/>
      </c>
      <c r="B435" s="5">
        <f>LEFT(fillups!C435,10)</f>
        <v/>
      </c>
      <c r="C435" t="inlineStr">
        <is>
          <t>fuel</t>
        </is>
      </c>
      <c r="D435" t="inlineStr">
        <is>
          <t>fillups</t>
        </is>
      </c>
      <c r="E435" s="21">
        <f>fillups!H435</f>
        <v/>
      </c>
      <c r="F435">
        <f>IF(B435="","",LEFT(B435,4))</f>
        <v/>
      </c>
      <c r="G435">
        <f>IF(A435="","",INDEX(vehicles!$I$2:$I$5,MATCH(A435,vehicles!$A$2:$A$5,0)))</f>
        <v/>
      </c>
      <c r="H435" t="inlineStr">
        <is>
          <t>fuel</t>
        </is>
      </c>
    </row>
    <row r="436">
      <c r="A436" s="5">
        <f>fillups!A436</f>
        <v/>
      </c>
      <c r="B436" s="5">
        <f>LEFT(fillups!C436,10)</f>
        <v/>
      </c>
      <c r="C436" t="inlineStr">
        <is>
          <t>fuel</t>
        </is>
      </c>
      <c r="D436" t="inlineStr">
        <is>
          <t>fillups</t>
        </is>
      </c>
      <c r="E436" s="21">
        <f>fillups!H436</f>
        <v/>
      </c>
      <c r="F436">
        <f>IF(B436="","",LEFT(B436,4))</f>
        <v/>
      </c>
      <c r="G436">
        <f>IF(A436="","",INDEX(vehicles!$I$2:$I$5,MATCH(A436,vehicles!$A$2:$A$5,0)))</f>
        <v/>
      </c>
      <c r="H436" t="inlineStr">
        <is>
          <t>fuel</t>
        </is>
      </c>
    </row>
    <row r="437">
      <c r="A437" s="5">
        <f>fillups!A437</f>
        <v/>
      </c>
      <c r="B437" s="5">
        <f>LEFT(fillups!C437,10)</f>
        <v/>
      </c>
      <c r="C437" t="inlineStr">
        <is>
          <t>fuel</t>
        </is>
      </c>
      <c r="D437" t="inlineStr">
        <is>
          <t>fillups</t>
        </is>
      </c>
      <c r="E437" s="21">
        <f>fillups!H437</f>
        <v/>
      </c>
      <c r="F437">
        <f>IF(B437="","",LEFT(B437,4))</f>
        <v/>
      </c>
      <c r="G437">
        <f>IF(A437="","",INDEX(vehicles!$I$2:$I$5,MATCH(A437,vehicles!$A$2:$A$5,0)))</f>
        <v/>
      </c>
      <c r="H437" t="inlineStr">
        <is>
          <t>fuel</t>
        </is>
      </c>
    </row>
    <row r="438">
      <c r="A438" s="5">
        <f>fillups!A438</f>
        <v/>
      </c>
      <c r="B438" s="5">
        <f>LEFT(fillups!C438,10)</f>
        <v/>
      </c>
      <c r="C438" t="inlineStr">
        <is>
          <t>fuel</t>
        </is>
      </c>
      <c r="D438" t="inlineStr">
        <is>
          <t>fillups</t>
        </is>
      </c>
      <c r="E438" s="21">
        <f>fillups!H438</f>
        <v/>
      </c>
      <c r="F438">
        <f>IF(B438="","",LEFT(B438,4))</f>
        <v/>
      </c>
      <c r="G438">
        <f>IF(A438="","",INDEX(vehicles!$I$2:$I$5,MATCH(A438,vehicles!$A$2:$A$5,0)))</f>
        <v/>
      </c>
      <c r="H438" t="inlineStr">
        <is>
          <t>fuel</t>
        </is>
      </c>
    </row>
    <row r="439">
      <c r="A439" s="5">
        <f>fillups!A439</f>
        <v/>
      </c>
      <c r="B439" s="5">
        <f>LEFT(fillups!C439,10)</f>
        <v/>
      </c>
      <c r="C439" t="inlineStr">
        <is>
          <t>fuel</t>
        </is>
      </c>
      <c r="D439" t="inlineStr">
        <is>
          <t>fillups</t>
        </is>
      </c>
      <c r="E439" s="21">
        <f>fillups!H439</f>
        <v/>
      </c>
      <c r="F439">
        <f>IF(B439="","",LEFT(B439,4))</f>
        <v/>
      </c>
      <c r="G439">
        <f>IF(A439="","",INDEX(vehicles!$I$2:$I$5,MATCH(A439,vehicles!$A$2:$A$5,0)))</f>
        <v/>
      </c>
      <c r="H439" t="inlineStr">
        <is>
          <t>fuel</t>
        </is>
      </c>
    </row>
    <row r="440">
      <c r="A440" s="5">
        <f>fillups!A440</f>
        <v/>
      </c>
      <c r="B440" s="5">
        <f>LEFT(fillups!C440,10)</f>
        <v/>
      </c>
      <c r="C440" t="inlineStr">
        <is>
          <t>fuel</t>
        </is>
      </c>
      <c r="D440" t="inlineStr">
        <is>
          <t>fillups</t>
        </is>
      </c>
      <c r="E440" s="21">
        <f>fillups!H440</f>
        <v/>
      </c>
      <c r="F440">
        <f>IF(B440="","",LEFT(B440,4))</f>
        <v/>
      </c>
      <c r="G440">
        <f>IF(A440="","",INDEX(vehicles!$I$2:$I$5,MATCH(A440,vehicles!$A$2:$A$5,0)))</f>
        <v/>
      </c>
      <c r="H440" t="inlineStr">
        <is>
          <t>fuel</t>
        </is>
      </c>
    </row>
    <row r="441">
      <c r="A441" s="5">
        <f>fillups!A441</f>
        <v/>
      </c>
      <c r="B441" s="5">
        <f>LEFT(fillups!C441,10)</f>
        <v/>
      </c>
      <c r="C441" t="inlineStr">
        <is>
          <t>fuel</t>
        </is>
      </c>
      <c r="D441" t="inlineStr">
        <is>
          <t>fillups</t>
        </is>
      </c>
      <c r="E441" s="21">
        <f>fillups!H441</f>
        <v/>
      </c>
      <c r="F441">
        <f>IF(B441="","",LEFT(B441,4))</f>
        <v/>
      </c>
      <c r="G441">
        <f>IF(A441="","",INDEX(vehicles!$I$2:$I$5,MATCH(A441,vehicles!$A$2:$A$5,0)))</f>
        <v/>
      </c>
      <c r="H441" t="inlineStr">
        <is>
          <t>fuel</t>
        </is>
      </c>
    </row>
    <row r="442">
      <c r="A442" s="5">
        <f>fillups!A442</f>
        <v/>
      </c>
      <c r="B442" s="5">
        <f>LEFT(fillups!C442,10)</f>
        <v/>
      </c>
      <c r="C442" t="inlineStr">
        <is>
          <t>fuel</t>
        </is>
      </c>
      <c r="D442" t="inlineStr">
        <is>
          <t>fillups</t>
        </is>
      </c>
      <c r="E442" s="21">
        <f>fillups!H442</f>
        <v/>
      </c>
      <c r="F442">
        <f>IF(B442="","",LEFT(B442,4))</f>
        <v/>
      </c>
      <c r="G442">
        <f>IF(A442="","",INDEX(vehicles!$I$2:$I$5,MATCH(A442,vehicles!$A$2:$A$5,0)))</f>
        <v/>
      </c>
      <c r="H442" t="inlineStr">
        <is>
          <t>fuel</t>
        </is>
      </c>
    </row>
    <row r="443">
      <c r="A443" s="5">
        <f>fillups!A443</f>
        <v/>
      </c>
      <c r="B443" s="5">
        <f>LEFT(fillups!C443,10)</f>
        <v/>
      </c>
      <c r="C443" t="inlineStr">
        <is>
          <t>fuel</t>
        </is>
      </c>
      <c r="D443" t="inlineStr">
        <is>
          <t>fillups</t>
        </is>
      </c>
      <c r="E443" s="21">
        <f>fillups!H443</f>
        <v/>
      </c>
      <c r="F443">
        <f>IF(B443="","",LEFT(B443,4))</f>
        <v/>
      </c>
      <c r="G443">
        <f>IF(A443="","",INDEX(vehicles!$I$2:$I$5,MATCH(A443,vehicles!$A$2:$A$5,0)))</f>
        <v/>
      </c>
      <c r="H443" t="inlineStr">
        <is>
          <t>fuel</t>
        </is>
      </c>
    </row>
    <row r="444">
      <c r="A444" s="5">
        <f>fillups!A444</f>
        <v/>
      </c>
      <c r="B444" s="5">
        <f>LEFT(fillups!C444,10)</f>
        <v/>
      </c>
      <c r="C444" t="inlineStr">
        <is>
          <t>fuel</t>
        </is>
      </c>
      <c r="D444" t="inlineStr">
        <is>
          <t>fillups</t>
        </is>
      </c>
      <c r="E444" s="21">
        <f>fillups!H444</f>
        <v/>
      </c>
      <c r="F444">
        <f>IF(B444="","",LEFT(B444,4))</f>
        <v/>
      </c>
      <c r="G444">
        <f>IF(A444="","",INDEX(vehicles!$I$2:$I$5,MATCH(A444,vehicles!$A$2:$A$5,0)))</f>
        <v/>
      </c>
      <c r="H444" t="inlineStr">
        <is>
          <t>fuel</t>
        </is>
      </c>
    </row>
    <row r="445">
      <c r="A445" s="5">
        <f>fillups!A445</f>
        <v/>
      </c>
      <c r="B445" s="5">
        <f>LEFT(fillups!C445,10)</f>
        <v/>
      </c>
      <c r="C445" t="inlineStr">
        <is>
          <t>fuel</t>
        </is>
      </c>
      <c r="D445" t="inlineStr">
        <is>
          <t>fillups</t>
        </is>
      </c>
      <c r="E445" s="21">
        <f>fillups!H445</f>
        <v/>
      </c>
      <c r="F445">
        <f>IF(B445="","",LEFT(B445,4))</f>
        <v/>
      </c>
      <c r="G445">
        <f>IF(A445="","",INDEX(vehicles!$I$2:$I$5,MATCH(A445,vehicles!$A$2:$A$5,0)))</f>
        <v/>
      </c>
      <c r="H445" t="inlineStr">
        <is>
          <t>fuel</t>
        </is>
      </c>
    </row>
    <row r="446">
      <c r="A446" s="5">
        <f>fillups!A446</f>
        <v/>
      </c>
      <c r="B446" s="5">
        <f>LEFT(fillups!C446,10)</f>
        <v/>
      </c>
      <c r="C446" t="inlineStr">
        <is>
          <t>fuel</t>
        </is>
      </c>
      <c r="D446" t="inlineStr">
        <is>
          <t>fillups</t>
        </is>
      </c>
      <c r="E446" s="21">
        <f>fillups!H446</f>
        <v/>
      </c>
      <c r="F446">
        <f>IF(B446="","",LEFT(B446,4))</f>
        <v/>
      </c>
      <c r="G446">
        <f>IF(A446="","",INDEX(vehicles!$I$2:$I$5,MATCH(A446,vehicles!$A$2:$A$5,0)))</f>
        <v/>
      </c>
      <c r="H446" t="inlineStr">
        <is>
          <t>fuel</t>
        </is>
      </c>
    </row>
    <row r="447">
      <c r="A447" s="5">
        <f>fillups!A447</f>
        <v/>
      </c>
      <c r="B447" s="5">
        <f>LEFT(fillups!C447,10)</f>
        <v/>
      </c>
      <c r="C447" t="inlineStr">
        <is>
          <t>fuel</t>
        </is>
      </c>
      <c r="D447" t="inlineStr">
        <is>
          <t>fillups</t>
        </is>
      </c>
      <c r="E447" s="21">
        <f>fillups!H447</f>
        <v/>
      </c>
      <c r="F447">
        <f>IF(B447="","",LEFT(B447,4))</f>
        <v/>
      </c>
      <c r="G447">
        <f>IF(A447="","",INDEX(vehicles!$I$2:$I$5,MATCH(A447,vehicles!$A$2:$A$5,0)))</f>
        <v/>
      </c>
      <c r="H447" t="inlineStr">
        <is>
          <t>fuel</t>
        </is>
      </c>
    </row>
    <row r="448">
      <c r="A448" s="5">
        <f>fillups!A448</f>
        <v/>
      </c>
      <c r="B448" s="5">
        <f>LEFT(fillups!C448,10)</f>
        <v/>
      </c>
      <c r="C448" t="inlineStr">
        <is>
          <t>fuel</t>
        </is>
      </c>
      <c r="D448" t="inlineStr">
        <is>
          <t>fillups</t>
        </is>
      </c>
      <c r="E448" s="21">
        <f>fillups!H448</f>
        <v/>
      </c>
      <c r="F448">
        <f>IF(B448="","",LEFT(B448,4))</f>
        <v/>
      </c>
      <c r="G448">
        <f>IF(A448="","",INDEX(vehicles!$I$2:$I$5,MATCH(A448,vehicles!$A$2:$A$5,0)))</f>
        <v/>
      </c>
      <c r="H448" t="inlineStr">
        <is>
          <t>fuel</t>
        </is>
      </c>
    </row>
    <row r="449">
      <c r="A449" s="5">
        <f>fillups!A449</f>
        <v/>
      </c>
      <c r="B449" s="5">
        <f>LEFT(fillups!C449,10)</f>
        <v/>
      </c>
      <c r="C449" t="inlineStr">
        <is>
          <t>fuel</t>
        </is>
      </c>
      <c r="D449" t="inlineStr">
        <is>
          <t>fillups</t>
        </is>
      </c>
      <c r="E449" s="21">
        <f>fillups!H449</f>
        <v/>
      </c>
      <c r="F449">
        <f>IF(B449="","",LEFT(B449,4))</f>
        <v/>
      </c>
      <c r="G449">
        <f>IF(A449="","",INDEX(vehicles!$I$2:$I$5,MATCH(A449,vehicles!$A$2:$A$5,0)))</f>
        <v/>
      </c>
      <c r="H449" t="inlineStr">
        <is>
          <t>fuel</t>
        </is>
      </c>
    </row>
    <row r="450">
      <c r="A450" s="5">
        <f>fillups!A450</f>
        <v/>
      </c>
      <c r="B450" s="5">
        <f>LEFT(fillups!C450,10)</f>
        <v/>
      </c>
      <c r="C450" t="inlineStr">
        <is>
          <t>fuel</t>
        </is>
      </c>
      <c r="D450" t="inlineStr">
        <is>
          <t>fillups</t>
        </is>
      </c>
      <c r="E450" s="21">
        <f>fillups!H450</f>
        <v/>
      </c>
      <c r="F450">
        <f>IF(B450="","",LEFT(B450,4))</f>
        <v/>
      </c>
      <c r="G450">
        <f>IF(A450="","",INDEX(vehicles!$I$2:$I$5,MATCH(A450,vehicles!$A$2:$A$5,0)))</f>
        <v/>
      </c>
      <c r="H450" t="inlineStr">
        <is>
          <t>fuel</t>
        </is>
      </c>
    </row>
    <row r="451">
      <c r="A451" s="5">
        <f>fillups!A451</f>
        <v/>
      </c>
      <c r="B451" s="5">
        <f>LEFT(fillups!C451,10)</f>
        <v/>
      </c>
      <c r="C451" t="inlineStr">
        <is>
          <t>fuel</t>
        </is>
      </c>
      <c r="D451" t="inlineStr">
        <is>
          <t>fillups</t>
        </is>
      </c>
      <c r="E451" s="21">
        <f>fillups!H451</f>
        <v/>
      </c>
      <c r="F451">
        <f>IF(B451="","",LEFT(B451,4))</f>
        <v/>
      </c>
      <c r="G451">
        <f>IF(A451="","",INDEX(vehicles!$I$2:$I$5,MATCH(A451,vehicles!$A$2:$A$5,0)))</f>
        <v/>
      </c>
      <c r="H451" t="inlineStr">
        <is>
          <t>fuel</t>
        </is>
      </c>
    </row>
    <row r="452">
      <c r="A452" s="5">
        <f>fillups!A452</f>
        <v/>
      </c>
      <c r="B452" s="5">
        <f>LEFT(fillups!C452,10)</f>
        <v/>
      </c>
      <c r="C452" t="inlineStr">
        <is>
          <t>fuel</t>
        </is>
      </c>
      <c r="D452" t="inlineStr">
        <is>
          <t>fillups</t>
        </is>
      </c>
      <c r="E452" s="21">
        <f>fillups!H452</f>
        <v/>
      </c>
      <c r="F452">
        <f>IF(B452="","",LEFT(B452,4))</f>
        <v/>
      </c>
      <c r="G452">
        <f>IF(A452="","",INDEX(vehicles!$I$2:$I$5,MATCH(A452,vehicles!$A$2:$A$5,0)))</f>
        <v/>
      </c>
      <c r="H452" t="inlineStr">
        <is>
          <t>fuel</t>
        </is>
      </c>
    </row>
    <row r="453">
      <c r="A453" s="5">
        <f>fillups!A453</f>
        <v/>
      </c>
      <c r="B453" s="5">
        <f>LEFT(fillups!C453,10)</f>
        <v/>
      </c>
      <c r="C453" t="inlineStr">
        <is>
          <t>fuel</t>
        </is>
      </c>
      <c r="D453" t="inlineStr">
        <is>
          <t>fillups</t>
        </is>
      </c>
      <c r="E453" s="21">
        <f>fillups!H453</f>
        <v/>
      </c>
      <c r="F453">
        <f>IF(B453="","",LEFT(B453,4))</f>
        <v/>
      </c>
      <c r="G453">
        <f>IF(A453="","",INDEX(vehicles!$I$2:$I$5,MATCH(A453,vehicles!$A$2:$A$5,0)))</f>
        <v/>
      </c>
      <c r="H453" t="inlineStr">
        <is>
          <t>fuel</t>
        </is>
      </c>
    </row>
    <row r="454">
      <c r="A454" s="5">
        <f>fillups!A454</f>
        <v/>
      </c>
      <c r="B454" s="5">
        <f>LEFT(fillups!C454,10)</f>
        <v/>
      </c>
      <c r="C454" t="inlineStr">
        <is>
          <t>fuel</t>
        </is>
      </c>
      <c r="D454" t="inlineStr">
        <is>
          <t>fillups</t>
        </is>
      </c>
      <c r="E454" s="21">
        <f>fillups!H454</f>
        <v/>
      </c>
      <c r="F454">
        <f>IF(B454="","",LEFT(B454,4))</f>
        <v/>
      </c>
      <c r="G454">
        <f>IF(A454="","",INDEX(vehicles!$I$2:$I$5,MATCH(A454,vehicles!$A$2:$A$5,0)))</f>
        <v/>
      </c>
      <c r="H454" t="inlineStr">
        <is>
          <t>fuel</t>
        </is>
      </c>
    </row>
    <row r="455">
      <c r="A455" s="5">
        <f>fillups!A455</f>
        <v/>
      </c>
      <c r="B455" s="5">
        <f>LEFT(fillups!C455,10)</f>
        <v/>
      </c>
      <c r="C455" t="inlineStr">
        <is>
          <t>fuel</t>
        </is>
      </c>
      <c r="D455" t="inlineStr">
        <is>
          <t>fillups</t>
        </is>
      </c>
      <c r="E455" s="21">
        <f>fillups!H455</f>
        <v/>
      </c>
      <c r="F455">
        <f>IF(B455="","",LEFT(B455,4))</f>
        <v/>
      </c>
      <c r="G455">
        <f>IF(A455="","",INDEX(vehicles!$I$2:$I$5,MATCH(A455,vehicles!$A$2:$A$5,0)))</f>
        <v/>
      </c>
      <c r="H455" t="inlineStr">
        <is>
          <t>fuel</t>
        </is>
      </c>
    </row>
    <row r="456">
      <c r="A456" s="5">
        <f>fillups!A456</f>
        <v/>
      </c>
      <c r="B456" s="5">
        <f>LEFT(fillups!C456,10)</f>
        <v/>
      </c>
      <c r="C456" t="inlineStr">
        <is>
          <t>fuel</t>
        </is>
      </c>
      <c r="D456" t="inlineStr">
        <is>
          <t>fillups</t>
        </is>
      </c>
      <c r="E456" s="21">
        <f>fillups!H456</f>
        <v/>
      </c>
      <c r="F456">
        <f>IF(B456="","",LEFT(B456,4))</f>
        <v/>
      </c>
      <c r="G456">
        <f>IF(A456="","",INDEX(vehicles!$I$2:$I$5,MATCH(A456,vehicles!$A$2:$A$5,0)))</f>
        <v/>
      </c>
      <c r="H456" t="inlineStr">
        <is>
          <t>fuel</t>
        </is>
      </c>
    </row>
    <row r="457">
      <c r="A457" s="5">
        <f>fillups!A457</f>
        <v/>
      </c>
      <c r="B457" s="5">
        <f>LEFT(fillups!C457,10)</f>
        <v/>
      </c>
      <c r="C457" t="inlineStr">
        <is>
          <t>fuel</t>
        </is>
      </c>
      <c r="D457" t="inlineStr">
        <is>
          <t>fillups</t>
        </is>
      </c>
      <c r="E457" s="21">
        <f>fillups!H457</f>
        <v/>
      </c>
      <c r="F457">
        <f>IF(B457="","",LEFT(B457,4))</f>
        <v/>
      </c>
      <c r="G457">
        <f>IF(A457="","",INDEX(vehicles!$I$2:$I$5,MATCH(A457,vehicles!$A$2:$A$5,0)))</f>
        <v/>
      </c>
      <c r="H457" t="inlineStr">
        <is>
          <t>fuel</t>
        </is>
      </c>
    </row>
    <row r="458">
      <c r="A458" s="5">
        <f>fillups!A458</f>
        <v/>
      </c>
      <c r="B458" s="5">
        <f>LEFT(fillups!C458,10)</f>
        <v/>
      </c>
      <c r="C458" t="inlineStr">
        <is>
          <t>fuel</t>
        </is>
      </c>
      <c r="D458" t="inlineStr">
        <is>
          <t>fillups</t>
        </is>
      </c>
      <c r="E458" s="21">
        <f>fillups!H458</f>
        <v/>
      </c>
      <c r="F458">
        <f>IF(B458="","",LEFT(B458,4))</f>
        <v/>
      </c>
      <c r="G458">
        <f>IF(A458="","",INDEX(vehicles!$I$2:$I$5,MATCH(A458,vehicles!$A$2:$A$5,0)))</f>
        <v/>
      </c>
      <c r="H458" t="inlineStr">
        <is>
          <t>fuel</t>
        </is>
      </c>
    </row>
    <row r="459">
      <c r="A459" s="5">
        <f>fillups!A459</f>
        <v/>
      </c>
      <c r="B459" s="5">
        <f>LEFT(fillups!C459,10)</f>
        <v/>
      </c>
      <c r="C459" t="inlineStr">
        <is>
          <t>fuel</t>
        </is>
      </c>
      <c r="D459" t="inlineStr">
        <is>
          <t>fillups</t>
        </is>
      </c>
      <c r="E459" s="21">
        <f>fillups!H459</f>
        <v/>
      </c>
      <c r="F459">
        <f>IF(B459="","",LEFT(B459,4))</f>
        <v/>
      </c>
      <c r="G459">
        <f>IF(A459="","",INDEX(vehicles!$I$2:$I$5,MATCH(A459,vehicles!$A$2:$A$5,0)))</f>
        <v/>
      </c>
      <c r="H459" t="inlineStr">
        <is>
          <t>fuel</t>
        </is>
      </c>
    </row>
    <row r="460">
      <c r="A460" s="5">
        <f>fillups!A460</f>
        <v/>
      </c>
      <c r="B460" s="5">
        <f>LEFT(fillups!C460,10)</f>
        <v/>
      </c>
      <c r="C460" t="inlineStr">
        <is>
          <t>fuel</t>
        </is>
      </c>
      <c r="D460" t="inlineStr">
        <is>
          <t>fillups</t>
        </is>
      </c>
      <c r="E460" s="21">
        <f>fillups!H460</f>
        <v/>
      </c>
      <c r="F460">
        <f>IF(B460="","",LEFT(B460,4))</f>
        <v/>
      </c>
      <c r="G460">
        <f>IF(A460="","",INDEX(vehicles!$I$2:$I$5,MATCH(A460,vehicles!$A$2:$A$5,0)))</f>
        <v/>
      </c>
      <c r="H460" t="inlineStr">
        <is>
          <t>fuel</t>
        </is>
      </c>
    </row>
    <row r="461">
      <c r="A461" s="5">
        <f>fillups!A461</f>
        <v/>
      </c>
      <c r="B461" s="5">
        <f>LEFT(fillups!C461,10)</f>
        <v/>
      </c>
      <c r="C461" t="inlineStr">
        <is>
          <t>fuel</t>
        </is>
      </c>
      <c r="D461" t="inlineStr">
        <is>
          <t>fillups</t>
        </is>
      </c>
      <c r="E461" s="21">
        <f>fillups!H461</f>
        <v/>
      </c>
      <c r="F461">
        <f>IF(B461="","",LEFT(B461,4))</f>
        <v/>
      </c>
      <c r="G461">
        <f>IF(A461="","",INDEX(vehicles!$I$2:$I$5,MATCH(A461,vehicles!$A$2:$A$5,0)))</f>
        <v/>
      </c>
      <c r="H461" t="inlineStr">
        <is>
          <t>fuel</t>
        </is>
      </c>
    </row>
    <row r="462">
      <c r="A462" s="5">
        <f>fillups!A462</f>
        <v/>
      </c>
      <c r="B462" s="5">
        <f>LEFT(fillups!C462,10)</f>
        <v/>
      </c>
      <c r="C462" t="inlineStr">
        <is>
          <t>fuel</t>
        </is>
      </c>
      <c r="D462" t="inlineStr">
        <is>
          <t>fillups</t>
        </is>
      </c>
      <c r="E462" s="21">
        <f>fillups!H462</f>
        <v/>
      </c>
      <c r="F462">
        <f>IF(B462="","",LEFT(B462,4))</f>
        <v/>
      </c>
      <c r="G462">
        <f>IF(A462="","",INDEX(vehicles!$I$2:$I$5,MATCH(A462,vehicles!$A$2:$A$5,0)))</f>
        <v/>
      </c>
      <c r="H462" t="inlineStr">
        <is>
          <t>fuel</t>
        </is>
      </c>
    </row>
    <row r="463">
      <c r="A463" s="5">
        <f>fillups!A463</f>
        <v/>
      </c>
      <c r="B463" s="5">
        <f>LEFT(fillups!C463,10)</f>
        <v/>
      </c>
      <c r="C463" t="inlineStr">
        <is>
          <t>fuel</t>
        </is>
      </c>
      <c r="D463" t="inlineStr">
        <is>
          <t>fillups</t>
        </is>
      </c>
      <c r="E463" s="21">
        <f>fillups!H463</f>
        <v/>
      </c>
      <c r="F463">
        <f>IF(B463="","",LEFT(B463,4))</f>
        <v/>
      </c>
      <c r="G463">
        <f>IF(A463="","",INDEX(vehicles!$I$2:$I$5,MATCH(A463,vehicles!$A$2:$A$5,0)))</f>
        <v/>
      </c>
      <c r="H463" t="inlineStr">
        <is>
          <t>fuel</t>
        </is>
      </c>
    </row>
    <row r="464">
      <c r="A464" s="5">
        <f>fillups!A464</f>
        <v/>
      </c>
      <c r="B464" s="5">
        <f>LEFT(fillups!C464,10)</f>
        <v/>
      </c>
      <c r="C464" t="inlineStr">
        <is>
          <t>fuel</t>
        </is>
      </c>
      <c r="D464" t="inlineStr">
        <is>
          <t>fillups</t>
        </is>
      </c>
      <c r="E464" s="21">
        <f>fillups!H464</f>
        <v/>
      </c>
      <c r="F464">
        <f>IF(B464="","",LEFT(B464,4))</f>
        <v/>
      </c>
      <c r="G464">
        <f>IF(A464="","",INDEX(vehicles!$I$2:$I$5,MATCH(A464,vehicles!$A$2:$A$5,0)))</f>
        <v/>
      </c>
      <c r="H464" t="inlineStr">
        <is>
          <t>fuel</t>
        </is>
      </c>
    </row>
    <row r="465">
      <c r="A465" s="5">
        <f>fillups!A465</f>
        <v/>
      </c>
      <c r="B465" s="5">
        <f>LEFT(fillups!C465,10)</f>
        <v/>
      </c>
      <c r="C465" t="inlineStr">
        <is>
          <t>fuel</t>
        </is>
      </c>
      <c r="D465" t="inlineStr">
        <is>
          <t>fillups</t>
        </is>
      </c>
      <c r="E465" s="21">
        <f>fillups!H465</f>
        <v/>
      </c>
      <c r="F465">
        <f>IF(B465="","",LEFT(B465,4))</f>
        <v/>
      </c>
      <c r="G465">
        <f>IF(A465="","",INDEX(vehicles!$I$2:$I$5,MATCH(A465,vehicles!$A$2:$A$5,0)))</f>
        <v/>
      </c>
      <c r="H465" t="inlineStr">
        <is>
          <t>fuel</t>
        </is>
      </c>
    </row>
    <row r="466">
      <c r="A466" s="5">
        <f>fillups!A466</f>
        <v/>
      </c>
      <c r="B466" s="5">
        <f>LEFT(fillups!C466,10)</f>
        <v/>
      </c>
      <c r="C466" t="inlineStr">
        <is>
          <t>fuel</t>
        </is>
      </c>
      <c r="D466" t="inlineStr">
        <is>
          <t>fillups</t>
        </is>
      </c>
      <c r="E466" s="21">
        <f>fillups!H466</f>
        <v/>
      </c>
      <c r="F466">
        <f>IF(B466="","",LEFT(B466,4))</f>
        <v/>
      </c>
      <c r="G466">
        <f>IF(A466="","",INDEX(vehicles!$I$2:$I$5,MATCH(A466,vehicles!$A$2:$A$5,0)))</f>
        <v/>
      </c>
      <c r="H466" t="inlineStr">
        <is>
          <t>fuel</t>
        </is>
      </c>
    </row>
    <row r="467">
      <c r="A467" s="5">
        <f>fillups!A467</f>
        <v/>
      </c>
      <c r="B467" s="5">
        <f>LEFT(fillups!C467,10)</f>
        <v/>
      </c>
      <c r="C467" t="inlineStr">
        <is>
          <t>fuel</t>
        </is>
      </c>
      <c r="D467" t="inlineStr">
        <is>
          <t>fillups</t>
        </is>
      </c>
      <c r="E467" s="21">
        <f>fillups!H467</f>
        <v/>
      </c>
      <c r="F467">
        <f>IF(B467="","",LEFT(B467,4))</f>
        <v/>
      </c>
      <c r="G467">
        <f>IF(A467="","",INDEX(vehicles!$I$2:$I$5,MATCH(A467,vehicles!$A$2:$A$5,0)))</f>
        <v/>
      </c>
      <c r="H467" t="inlineStr">
        <is>
          <t>fuel</t>
        </is>
      </c>
    </row>
    <row r="468">
      <c r="A468" s="5">
        <f>fillups!A468</f>
        <v/>
      </c>
      <c r="B468" s="5">
        <f>LEFT(fillups!C468,10)</f>
        <v/>
      </c>
      <c r="C468" t="inlineStr">
        <is>
          <t>fuel</t>
        </is>
      </c>
      <c r="D468" t="inlineStr">
        <is>
          <t>fillups</t>
        </is>
      </c>
      <c r="E468" s="21">
        <f>fillups!H468</f>
        <v/>
      </c>
      <c r="F468">
        <f>IF(B468="","",LEFT(B468,4))</f>
        <v/>
      </c>
      <c r="G468">
        <f>IF(A468="","",INDEX(vehicles!$I$2:$I$5,MATCH(A468,vehicles!$A$2:$A$5,0)))</f>
        <v/>
      </c>
      <c r="H468" t="inlineStr">
        <is>
          <t>fuel</t>
        </is>
      </c>
    </row>
    <row r="469">
      <c r="A469" s="5">
        <f>fillups!A469</f>
        <v/>
      </c>
      <c r="B469" s="5">
        <f>LEFT(fillups!C469,10)</f>
        <v/>
      </c>
      <c r="C469" t="inlineStr">
        <is>
          <t>fuel</t>
        </is>
      </c>
      <c r="D469" t="inlineStr">
        <is>
          <t>fillups</t>
        </is>
      </c>
      <c r="E469" s="21">
        <f>fillups!H469</f>
        <v/>
      </c>
      <c r="F469">
        <f>IF(B469="","",LEFT(B469,4))</f>
        <v/>
      </c>
      <c r="G469">
        <f>IF(A469="","",INDEX(vehicles!$I$2:$I$5,MATCH(A469,vehicles!$A$2:$A$5,0)))</f>
        <v/>
      </c>
      <c r="H469" t="inlineStr">
        <is>
          <t>fuel</t>
        </is>
      </c>
    </row>
    <row r="470">
      <c r="A470" s="5">
        <f>fillups!A470</f>
        <v/>
      </c>
      <c r="B470" s="5">
        <f>LEFT(fillups!C470,10)</f>
        <v/>
      </c>
      <c r="C470" t="inlineStr">
        <is>
          <t>fuel</t>
        </is>
      </c>
      <c r="D470" t="inlineStr">
        <is>
          <t>fillups</t>
        </is>
      </c>
      <c r="E470" s="21">
        <f>fillups!H470</f>
        <v/>
      </c>
      <c r="F470">
        <f>IF(B470="","",LEFT(B470,4))</f>
        <v/>
      </c>
      <c r="G470">
        <f>IF(A470="","",INDEX(vehicles!$I$2:$I$5,MATCH(A470,vehicles!$A$2:$A$5,0)))</f>
        <v/>
      </c>
      <c r="H470" t="inlineStr">
        <is>
          <t>fuel</t>
        </is>
      </c>
    </row>
    <row r="471">
      <c r="A471" s="5">
        <f>fillups!A471</f>
        <v/>
      </c>
      <c r="B471" s="5">
        <f>LEFT(fillups!C471,10)</f>
        <v/>
      </c>
      <c r="C471" t="inlineStr">
        <is>
          <t>fuel</t>
        </is>
      </c>
      <c r="D471" t="inlineStr">
        <is>
          <t>fillups</t>
        </is>
      </c>
      <c r="E471" s="21">
        <f>fillups!H471</f>
        <v/>
      </c>
      <c r="F471">
        <f>IF(B471="","",LEFT(B471,4))</f>
        <v/>
      </c>
      <c r="G471">
        <f>IF(A471="","",INDEX(vehicles!$I$2:$I$5,MATCH(A471,vehicles!$A$2:$A$5,0)))</f>
        <v/>
      </c>
      <c r="H471" t="inlineStr">
        <is>
          <t>fuel</t>
        </is>
      </c>
    </row>
    <row r="472">
      <c r="A472" s="5">
        <f>fillups!A472</f>
        <v/>
      </c>
      <c r="B472" s="5">
        <f>LEFT(fillups!C472,10)</f>
        <v/>
      </c>
      <c r="C472" t="inlineStr">
        <is>
          <t>fuel</t>
        </is>
      </c>
      <c r="D472" t="inlineStr">
        <is>
          <t>fillups</t>
        </is>
      </c>
      <c r="E472" s="21">
        <f>fillups!H472</f>
        <v/>
      </c>
      <c r="F472">
        <f>IF(B472="","",LEFT(B472,4))</f>
        <v/>
      </c>
      <c r="G472">
        <f>IF(A472="","",INDEX(vehicles!$I$2:$I$5,MATCH(A472,vehicles!$A$2:$A$5,0)))</f>
        <v/>
      </c>
      <c r="H472" t="inlineStr">
        <is>
          <t>fuel</t>
        </is>
      </c>
    </row>
    <row r="473">
      <c r="A473" s="5">
        <f>fillups!A473</f>
        <v/>
      </c>
      <c r="B473" s="5">
        <f>LEFT(fillups!C473,10)</f>
        <v/>
      </c>
      <c r="C473" t="inlineStr">
        <is>
          <t>fuel</t>
        </is>
      </c>
      <c r="D473" t="inlineStr">
        <is>
          <t>fillups</t>
        </is>
      </c>
      <c r="E473" s="21">
        <f>fillups!H473</f>
        <v/>
      </c>
      <c r="F473">
        <f>IF(B473="","",LEFT(B473,4))</f>
        <v/>
      </c>
      <c r="G473">
        <f>IF(A473="","",INDEX(vehicles!$I$2:$I$5,MATCH(A473,vehicles!$A$2:$A$5,0)))</f>
        <v/>
      </c>
      <c r="H473" t="inlineStr">
        <is>
          <t>fuel</t>
        </is>
      </c>
    </row>
    <row r="474">
      <c r="A474" s="5">
        <f>fillups!A474</f>
        <v/>
      </c>
      <c r="B474" s="5">
        <f>LEFT(fillups!C474,10)</f>
        <v/>
      </c>
      <c r="C474" t="inlineStr">
        <is>
          <t>fuel</t>
        </is>
      </c>
      <c r="D474" t="inlineStr">
        <is>
          <t>fillups</t>
        </is>
      </c>
      <c r="E474" s="21">
        <f>fillups!H474</f>
        <v/>
      </c>
      <c r="F474">
        <f>IF(B474="","",LEFT(B474,4))</f>
        <v/>
      </c>
      <c r="G474">
        <f>IF(A474="","",INDEX(vehicles!$I$2:$I$5,MATCH(A474,vehicles!$A$2:$A$5,0)))</f>
        <v/>
      </c>
      <c r="H474" t="inlineStr">
        <is>
          <t>fuel</t>
        </is>
      </c>
    </row>
    <row r="475">
      <c r="A475" s="5">
        <f>fillups!A475</f>
        <v/>
      </c>
      <c r="B475" s="5">
        <f>LEFT(fillups!C475,10)</f>
        <v/>
      </c>
      <c r="C475" t="inlineStr">
        <is>
          <t>fuel</t>
        </is>
      </c>
      <c r="D475" t="inlineStr">
        <is>
          <t>fillups</t>
        </is>
      </c>
      <c r="E475" s="21">
        <f>fillups!H475</f>
        <v/>
      </c>
      <c r="F475">
        <f>IF(B475="","",LEFT(B475,4))</f>
        <v/>
      </c>
      <c r="G475">
        <f>IF(A475="","",INDEX(vehicles!$I$2:$I$5,MATCH(A475,vehicles!$A$2:$A$5,0)))</f>
        <v/>
      </c>
      <c r="H475" t="inlineStr">
        <is>
          <t>fuel</t>
        </is>
      </c>
    </row>
    <row r="476">
      <c r="A476" s="5">
        <f>fillups!A476</f>
        <v/>
      </c>
      <c r="B476" s="5">
        <f>LEFT(fillups!C476,10)</f>
        <v/>
      </c>
      <c r="C476" t="inlineStr">
        <is>
          <t>fuel</t>
        </is>
      </c>
      <c r="D476" t="inlineStr">
        <is>
          <t>fillups</t>
        </is>
      </c>
      <c r="E476" s="21">
        <f>fillups!H476</f>
        <v/>
      </c>
      <c r="F476">
        <f>IF(B476="","",LEFT(B476,4))</f>
        <v/>
      </c>
      <c r="G476">
        <f>IF(A476="","",INDEX(vehicles!$I$2:$I$5,MATCH(A476,vehicles!$A$2:$A$5,0)))</f>
        <v/>
      </c>
      <c r="H476" t="inlineStr">
        <is>
          <t>fuel</t>
        </is>
      </c>
    </row>
    <row r="477">
      <c r="A477" s="5">
        <f>fillups!A477</f>
        <v/>
      </c>
      <c r="B477" s="5">
        <f>LEFT(fillups!C477,10)</f>
        <v/>
      </c>
      <c r="C477" t="inlineStr">
        <is>
          <t>fuel</t>
        </is>
      </c>
      <c r="D477" t="inlineStr">
        <is>
          <t>fillups</t>
        </is>
      </c>
      <c r="E477" s="21">
        <f>fillups!H477</f>
        <v/>
      </c>
      <c r="F477">
        <f>IF(B477="","",LEFT(B477,4))</f>
        <v/>
      </c>
      <c r="G477">
        <f>IF(A477="","",INDEX(vehicles!$I$2:$I$5,MATCH(A477,vehicles!$A$2:$A$5,0)))</f>
        <v/>
      </c>
      <c r="H477" t="inlineStr">
        <is>
          <t>fuel</t>
        </is>
      </c>
    </row>
    <row r="478">
      <c r="A478" s="5">
        <f>fillups!A478</f>
        <v/>
      </c>
      <c r="B478" s="5">
        <f>LEFT(fillups!C478,10)</f>
        <v/>
      </c>
      <c r="C478" t="inlineStr">
        <is>
          <t>fuel</t>
        </is>
      </c>
      <c r="D478" t="inlineStr">
        <is>
          <t>fillups</t>
        </is>
      </c>
      <c r="E478" s="21">
        <f>fillups!H478</f>
        <v/>
      </c>
      <c r="F478">
        <f>IF(B478="","",LEFT(B478,4))</f>
        <v/>
      </c>
      <c r="G478">
        <f>IF(A478="","",INDEX(vehicles!$I$2:$I$5,MATCH(A478,vehicles!$A$2:$A$5,0)))</f>
        <v/>
      </c>
      <c r="H478" t="inlineStr">
        <is>
          <t>fuel</t>
        </is>
      </c>
    </row>
    <row r="479">
      <c r="A479" s="5">
        <f>fillups!A479</f>
        <v/>
      </c>
      <c r="B479" s="5">
        <f>LEFT(fillups!C479,10)</f>
        <v/>
      </c>
      <c r="C479" t="inlineStr">
        <is>
          <t>fuel</t>
        </is>
      </c>
      <c r="D479" t="inlineStr">
        <is>
          <t>fillups</t>
        </is>
      </c>
      <c r="E479" s="21">
        <f>fillups!H479</f>
        <v/>
      </c>
      <c r="F479">
        <f>IF(B479="","",LEFT(B479,4))</f>
        <v/>
      </c>
      <c r="G479">
        <f>IF(A479="","",INDEX(vehicles!$I$2:$I$5,MATCH(A479,vehicles!$A$2:$A$5,0)))</f>
        <v/>
      </c>
      <c r="H479" t="inlineStr">
        <is>
          <t>fuel</t>
        </is>
      </c>
    </row>
    <row r="480">
      <c r="A480" s="5">
        <f>fillups!A480</f>
        <v/>
      </c>
      <c r="B480" s="5">
        <f>LEFT(fillups!C480,10)</f>
        <v/>
      </c>
      <c r="C480" t="inlineStr">
        <is>
          <t>fuel</t>
        </is>
      </c>
      <c r="D480" t="inlineStr">
        <is>
          <t>fillups</t>
        </is>
      </c>
      <c r="E480" s="21">
        <f>fillups!H480</f>
        <v/>
      </c>
      <c r="F480">
        <f>IF(B480="","",LEFT(B480,4))</f>
        <v/>
      </c>
      <c r="G480">
        <f>IF(A480="","",INDEX(vehicles!$I$2:$I$5,MATCH(A480,vehicles!$A$2:$A$5,0)))</f>
        <v/>
      </c>
      <c r="H480" t="inlineStr">
        <is>
          <t>fuel</t>
        </is>
      </c>
    </row>
    <row r="481">
      <c r="A481" s="5">
        <f>fillups!A481</f>
        <v/>
      </c>
      <c r="B481" s="5">
        <f>LEFT(fillups!C481,10)</f>
        <v/>
      </c>
      <c r="C481" t="inlineStr">
        <is>
          <t>fuel</t>
        </is>
      </c>
      <c r="D481" t="inlineStr">
        <is>
          <t>fillups</t>
        </is>
      </c>
      <c r="E481" s="21">
        <f>fillups!H481</f>
        <v/>
      </c>
      <c r="F481">
        <f>IF(B481="","",LEFT(B481,4))</f>
        <v/>
      </c>
      <c r="G481">
        <f>IF(A481="","",INDEX(vehicles!$I$2:$I$5,MATCH(A481,vehicles!$A$2:$A$5,0)))</f>
        <v/>
      </c>
      <c r="H481" t="inlineStr">
        <is>
          <t>fuel</t>
        </is>
      </c>
    </row>
    <row r="482">
      <c r="A482" s="5">
        <f>fillups!A482</f>
        <v/>
      </c>
      <c r="B482" s="5">
        <f>LEFT(fillups!C482,10)</f>
        <v/>
      </c>
      <c r="C482" t="inlineStr">
        <is>
          <t>fuel</t>
        </is>
      </c>
      <c r="D482" t="inlineStr">
        <is>
          <t>fillups</t>
        </is>
      </c>
      <c r="E482" s="21">
        <f>fillups!H482</f>
        <v/>
      </c>
      <c r="F482">
        <f>IF(B482="","",LEFT(B482,4))</f>
        <v/>
      </c>
      <c r="G482">
        <f>IF(A482="","",INDEX(vehicles!$I$2:$I$5,MATCH(A482,vehicles!$A$2:$A$5,0)))</f>
        <v/>
      </c>
      <c r="H482" t="inlineStr">
        <is>
          <t>fuel</t>
        </is>
      </c>
    </row>
    <row r="483">
      <c r="A483" s="5">
        <f>fillups!A483</f>
        <v/>
      </c>
      <c r="B483" s="5">
        <f>LEFT(fillups!C483,10)</f>
        <v/>
      </c>
      <c r="C483" t="inlineStr">
        <is>
          <t>fuel</t>
        </is>
      </c>
      <c r="D483" t="inlineStr">
        <is>
          <t>fillups</t>
        </is>
      </c>
      <c r="E483" s="21">
        <f>fillups!H483</f>
        <v/>
      </c>
      <c r="F483">
        <f>IF(B483="","",LEFT(B483,4))</f>
        <v/>
      </c>
      <c r="G483">
        <f>IF(A483="","",INDEX(vehicles!$I$2:$I$5,MATCH(A483,vehicles!$A$2:$A$5,0)))</f>
        <v/>
      </c>
      <c r="H483" t="inlineStr">
        <is>
          <t>fuel</t>
        </is>
      </c>
    </row>
    <row r="484">
      <c r="A484" s="5">
        <f>fillups!A484</f>
        <v/>
      </c>
      <c r="B484" s="5">
        <f>LEFT(fillups!C484,10)</f>
        <v/>
      </c>
      <c r="C484" t="inlineStr">
        <is>
          <t>fuel</t>
        </is>
      </c>
      <c r="D484" t="inlineStr">
        <is>
          <t>fillups</t>
        </is>
      </c>
      <c r="E484" s="21">
        <f>fillups!H484</f>
        <v/>
      </c>
      <c r="F484">
        <f>IF(B484="","",LEFT(B484,4))</f>
        <v/>
      </c>
      <c r="G484">
        <f>IF(A484="","",INDEX(vehicles!$I$2:$I$5,MATCH(A484,vehicles!$A$2:$A$5,0)))</f>
        <v/>
      </c>
      <c r="H484" t="inlineStr">
        <is>
          <t>fuel</t>
        </is>
      </c>
    </row>
    <row r="485">
      <c r="A485" s="5">
        <f>fillups!A485</f>
        <v/>
      </c>
      <c r="B485" s="5">
        <f>LEFT(fillups!C485,10)</f>
        <v/>
      </c>
      <c r="C485" t="inlineStr">
        <is>
          <t>fuel</t>
        </is>
      </c>
      <c r="D485" t="inlineStr">
        <is>
          <t>fillups</t>
        </is>
      </c>
      <c r="E485" s="21">
        <f>fillups!H485</f>
        <v/>
      </c>
      <c r="F485">
        <f>IF(B485="","",LEFT(B485,4))</f>
        <v/>
      </c>
      <c r="G485">
        <f>IF(A485="","",INDEX(vehicles!$I$2:$I$5,MATCH(A485,vehicles!$A$2:$A$5,0)))</f>
        <v/>
      </c>
      <c r="H485" t="inlineStr">
        <is>
          <t>fuel</t>
        </is>
      </c>
    </row>
    <row r="486">
      <c r="A486" s="5">
        <f>fillups!A486</f>
        <v/>
      </c>
      <c r="B486" s="5">
        <f>LEFT(fillups!C486,10)</f>
        <v/>
      </c>
      <c r="C486" t="inlineStr">
        <is>
          <t>fuel</t>
        </is>
      </c>
      <c r="D486" t="inlineStr">
        <is>
          <t>fillups</t>
        </is>
      </c>
      <c r="E486" s="21">
        <f>fillups!H486</f>
        <v/>
      </c>
      <c r="F486">
        <f>IF(B486="","",LEFT(B486,4))</f>
        <v/>
      </c>
      <c r="G486">
        <f>IF(A486="","",INDEX(vehicles!$I$2:$I$5,MATCH(A486,vehicles!$A$2:$A$5,0)))</f>
        <v/>
      </c>
      <c r="H486" t="inlineStr">
        <is>
          <t>fuel</t>
        </is>
      </c>
    </row>
    <row r="487">
      <c r="A487" s="5">
        <f>fillups!A487</f>
        <v/>
      </c>
      <c r="B487" s="5">
        <f>LEFT(fillups!C487,10)</f>
        <v/>
      </c>
      <c r="C487" t="inlineStr">
        <is>
          <t>fuel</t>
        </is>
      </c>
      <c r="D487" t="inlineStr">
        <is>
          <t>fillups</t>
        </is>
      </c>
      <c r="E487" s="21">
        <f>fillups!H487</f>
        <v/>
      </c>
      <c r="F487">
        <f>IF(B487="","",LEFT(B487,4))</f>
        <v/>
      </c>
      <c r="G487">
        <f>IF(A487="","",INDEX(vehicles!$I$2:$I$5,MATCH(A487,vehicles!$A$2:$A$5,0)))</f>
        <v/>
      </c>
      <c r="H487" t="inlineStr">
        <is>
          <t>fuel</t>
        </is>
      </c>
    </row>
    <row r="488">
      <c r="A488" s="5">
        <f>fillups!A488</f>
        <v/>
      </c>
      <c r="B488" s="5">
        <f>LEFT(fillups!C488,10)</f>
        <v/>
      </c>
      <c r="C488" t="inlineStr">
        <is>
          <t>fuel</t>
        </is>
      </c>
      <c r="D488" t="inlineStr">
        <is>
          <t>fillups</t>
        </is>
      </c>
      <c r="E488" s="21">
        <f>fillups!H488</f>
        <v/>
      </c>
      <c r="F488">
        <f>IF(B488="","",LEFT(B488,4))</f>
        <v/>
      </c>
      <c r="G488">
        <f>IF(A488="","",INDEX(vehicles!$I$2:$I$5,MATCH(A488,vehicles!$A$2:$A$5,0)))</f>
        <v/>
      </c>
      <c r="H488" t="inlineStr">
        <is>
          <t>fuel</t>
        </is>
      </c>
    </row>
    <row r="489">
      <c r="A489" s="5">
        <f>fillups!A489</f>
        <v/>
      </c>
      <c r="B489" s="5">
        <f>LEFT(fillups!C489,10)</f>
        <v/>
      </c>
      <c r="C489" t="inlineStr">
        <is>
          <t>fuel</t>
        </is>
      </c>
      <c r="D489" t="inlineStr">
        <is>
          <t>fillups</t>
        </is>
      </c>
      <c r="E489" s="21">
        <f>fillups!H489</f>
        <v/>
      </c>
      <c r="F489">
        <f>IF(B489="","",LEFT(B489,4))</f>
        <v/>
      </c>
      <c r="G489">
        <f>IF(A489="","",INDEX(vehicles!$I$2:$I$5,MATCH(A489,vehicles!$A$2:$A$5,0)))</f>
        <v/>
      </c>
      <c r="H489" t="inlineStr">
        <is>
          <t>fuel</t>
        </is>
      </c>
    </row>
    <row r="490">
      <c r="A490" s="5">
        <f>fillups!A490</f>
        <v/>
      </c>
      <c r="B490" s="5">
        <f>LEFT(fillups!C490,10)</f>
        <v/>
      </c>
      <c r="C490" t="inlineStr">
        <is>
          <t>fuel</t>
        </is>
      </c>
      <c r="D490" t="inlineStr">
        <is>
          <t>fillups</t>
        </is>
      </c>
      <c r="E490" s="21">
        <f>fillups!H490</f>
        <v/>
      </c>
      <c r="F490">
        <f>IF(B490="","",LEFT(B490,4))</f>
        <v/>
      </c>
      <c r="G490">
        <f>IF(A490="","",INDEX(vehicles!$I$2:$I$5,MATCH(A490,vehicles!$A$2:$A$5,0)))</f>
        <v/>
      </c>
      <c r="H490" t="inlineStr">
        <is>
          <t>fuel</t>
        </is>
      </c>
    </row>
    <row r="491">
      <c r="A491" s="5">
        <f>fillups!A491</f>
        <v/>
      </c>
      <c r="B491" s="5">
        <f>LEFT(fillups!C491,10)</f>
        <v/>
      </c>
      <c r="C491" t="inlineStr">
        <is>
          <t>fuel</t>
        </is>
      </c>
      <c r="D491" t="inlineStr">
        <is>
          <t>fillups</t>
        </is>
      </c>
      <c r="E491" s="21">
        <f>fillups!H491</f>
        <v/>
      </c>
      <c r="F491">
        <f>IF(B491="","",LEFT(B491,4))</f>
        <v/>
      </c>
      <c r="G491">
        <f>IF(A491="","",INDEX(vehicles!$I$2:$I$5,MATCH(A491,vehicles!$A$2:$A$5,0)))</f>
        <v/>
      </c>
      <c r="H491" t="inlineStr">
        <is>
          <t>fuel</t>
        </is>
      </c>
    </row>
    <row r="492">
      <c r="A492" s="5">
        <f>fillups!A492</f>
        <v/>
      </c>
      <c r="B492" s="5">
        <f>LEFT(fillups!C492,10)</f>
        <v/>
      </c>
      <c r="C492" t="inlineStr">
        <is>
          <t>fuel</t>
        </is>
      </c>
      <c r="D492" t="inlineStr">
        <is>
          <t>fillups</t>
        </is>
      </c>
      <c r="E492" s="21">
        <f>fillups!H492</f>
        <v/>
      </c>
      <c r="F492">
        <f>IF(B492="","",LEFT(B492,4))</f>
        <v/>
      </c>
      <c r="G492">
        <f>IF(A492="","",INDEX(vehicles!$I$2:$I$5,MATCH(A492,vehicles!$A$2:$A$5,0)))</f>
        <v/>
      </c>
      <c r="H492" t="inlineStr">
        <is>
          <t>fuel</t>
        </is>
      </c>
    </row>
    <row r="493">
      <c r="A493" s="5">
        <f>fillups!A493</f>
        <v/>
      </c>
      <c r="B493" s="5">
        <f>LEFT(fillups!C493,10)</f>
        <v/>
      </c>
      <c r="C493" t="inlineStr">
        <is>
          <t>fuel</t>
        </is>
      </c>
      <c r="D493" t="inlineStr">
        <is>
          <t>fillups</t>
        </is>
      </c>
      <c r="E493" s="21">
        <f>fillups!H493</f>
        <v/>
      </c>
      <c r="F493">
        <f>IF(B493="","",LEFT(B493,4))</f>
        <v/>
      </c>
      <c r="G493">
        <f>IF(A493="","",INDEX(vehicles!$I$2:$I$5,MATCH(A493,vehicles!$A$2:$A$5,0)))</f>
        <v/>
      </c>
      <c r="H493" t="inlineStr">
        <is>
          <t>fuel</t>
        </is>
      </c>
    </row>
    <row r="494">
      <c r="A494" s="5">
        <f>fillups!A494</f>
        <v/>
      </c>
      <c r="B494" s="5">
        <f>LEFT(fillups!C494,10)</f>
        <v/>
      </c>
      <c r="C494" t="inlineStr">
        <is>
          <t>fuel</t>
        </is>
      </c>
      <c r="D494" t="inlineStr">
        <is>
          <t>fillups</t>
        </is>
      </c>
      <c r="E494" s="21">
        <f>fillups!H494</f>
        <v/>
      </c>
      <c r="F494">
        <f>IF(B494="","",LEFT(B494,4))</f>
        <v/>
      </c>
      <c r="G494">
        <f>IF(A494="","",INDEX(vehicles!$I$2:$I$5,MATCH(A494,vehicles!$A$2:$A$5,0)))</f>
        <v/>
      </c>
      <c r="H494" t="inlineStr">
        <is>
          <t>fuel</t>
        </is>
      </c>
    </row>
    <row r="495">
      <c r="A495" s="5">
        <f>fillups!A495</f>
        <v/>
      </c>
      <c r="B495" s="5">
        <f>LEFT(fillups!C495,10)</f>
        <v/>
      </c>
      <c r="C495" t="inlineStr">
        <is>
          <t>fuel</t>
        </is>
      </c>
      <c r="D495" t="inlineStr">
        <is>
          <t>fillups</t>
        </is>
      </c>
      <c r="E495" s="21">
        <f>fillups!H495</f>
        <v/>
      </c>
      <c r="F495">
        <f>IF(B495="","",LEFT(B495,4))</f>
        <v/>
      </c>
      <c r="G495">
        <f>IF(A495="","",INDEX(vehicles!$I$2:$I$5,MATCH(A495,vehicles!$A$2:$A$5,0)))</f>
        <v/>
      </c>
      <c r="H495" t="inlineStr">
        <is>
          <t>fuel</t>
        </is>
      </c>
    </row>
    <row r="496">
      <c r="A496" s="5">
        <f>fillups!A496</f>
        <v/>
      </c>
      <c r="B496" s="5">
        <f>LEFT(fillups!C496,10)</f>
        <v/>
      </c>
      <c r="C496" t="inlineStr">
        <is>
          <t>fuel</t>
        </is>
      </c>
      <c r="D496" t="inlineStr">
        <is>
          <t>fillups</t>
        </is>
      </c>
      <c r="E496" s="21">
        <f>fillups!H496</f>
        <v/>
      </c>
      <c r="F496">
        <f>IF(B496="","",LEFT(B496,4))</f>
        <v/>
      </c>
      <c r="G496">
        <f>IF(A496="","",INDEX(vehicles!$I$2:$I$5,MATCH(A496,vehicles!$A$2:$A$5,0)))</f>
        <v/>
      </c>
      <c r="H496" t="inlineStr">
        <is>
          <t>fuel</t>
        </is>
      </c>
    </row>
    <row r="497">
      <c r="A497" s="5">
        <f>fillups!A497</f>
        <v/>
      </c>
      <c r="B497" s="5">
        <f>LEFT(fillups!C497,10)</f>
        <v/>
      </c>
      <c r="C497" t="inlineStr">
        <is>
          <t>fuel</t>
        </is>
      </c>
      <c r="D497" t="inlineStr">
        <is>
          <t>fillups</t>
        </is>
      </c>
      <c r="E497" s="21">
        <f>fillups!H497</f>
        <v/>
      </c>
      <c r="F497">
        <f>IF(B497="","",LEFT(B497,4))</f>
        <v/>
      </c>
      <c r="G497">
        <f>IF(A497="","",INDEX(vehicles!$I$2:$I$5,MATCH(A497,vehicles!$A$2:$A$5,0)))</f>
        <v/>
      </c>
      <c r="H497" t="inlineStr">
        <is>
          <t>fuel</t>
        </is>
      </c>
    </row>
    <row r="498">
      <c r="A498" s="5">
        <f>fillups!A498</f>
        <v/>
      </c>
      <c r="B498" s="5">
        <f>LEFT(fillups!C498,10)</f>
        <v/>
      </c>
      <c r="C498" t="inlineStr">
        <is>
          <t>fuel</t>
        </is>
      </c>
      <c r="D498" t="inlineStr">
        <is>
          <t>fillups</t>
        </is>
      </c>
      <c r="E498" s="21">
        <f>fillups!H498</f>
        <v/>
      </c>
      <c r="F498">
        <f>IF(B498="","",LEFT(B498,4))</f>
        <v/>
      </c>
      <c r="G498">
        <f>IF(A498="","",INDEX(vehicles!$I$2:$I$5,MATCH(A498,vehicles!$A$2:$A$5,0)))</f>
        <v/>
      </c>
      <c r="H498" t="inlineStr">
        <is>
          <t>fuel</t>
        </is>
      </c>
    </row>
    <row r="499">
      <c r="A499" s="5">
        <f>fillups!A499</f>
        <v/>
      </c>
      <c r="B499" s="5">
        <f>LEFT(fillups!C499,10)</f>
        <v/>
      </c>
      <c r="C499" t="inlineStr">
        <is>
          <t>fuel</t>
        </is>
      </c>
      <c r="D499" t="inlineStr">
        <is>
          <t>fillups</t>
        </is>
      </c>
      <c r="E499" s="21">
        <f>fillups!H499</f>
        <v/>
      </c>
      <c r="F499">
        <f>IF(B499="","",LEFT(B499,4))</f>
        <v/>
      </c>
      <c r="G499">
        <f>IF(A499="","",INDEX(vehicles!$I$2:$I$5,MATCH(A499,vehicles!$A$2:$A$5,0)))</f>
        <v/>
      </c>
      <c r="H499" t="inlineStr">
        <is>
          <t>fuel</t>
        </is>
      </c>
    </row>
    <row r="500">
      <c r="A500" s="5">
        <f>fillups!A500</f>
        <v/>
      </c>
      <c r="B500" s="5">
        <f>LEFT(fillups!C500,10)</f>
        <v/>
      </c>
      <c r="C500" t="inlineStr">
        <is>
          <t>fuel</t>
        </is>
      </c>
      <c r="D500" t="inlineStr">
        <is>
          <t>fillups</t>
        </is>
      </c>
      <c r="E500" s="21">
        <f>fillups!H500</f>
        <v/>
      </c>
      <c r="F500">
        <f>IF(B500="","",LEFT(B500,4))</f>
        <v/>
      </c>
      <c r="G500">
        <f>IF(A500="","",INDEX(vehicles!$I$2:$I$5,MATCH(A500,vehicles!$A$2:$A$5,0)))</f>
        <v/>
      </c>
      <c r="H500" t="inlineStr">
        <is>
          <t>fuel</t>
        </is>
      </c>
    </row>
    <row r="501">
      <c r="A501" s="5">
        <f>fillups!A501</f>
        <v/>
      </c>
      <c r="B501" s="5">
        <f>LEFT(fillups!C501,10)</f>
        <v/>
      </c>
      <c r="C501" t="inlineStr">
        <is>
          <t>fuel</t>
        </is>
      </c>
      <c r="D501" t="inlineStr">
        <is>
          <t>fillups</t>
        </is>
      </c>
      <c r="E501" s="21">
        <f>fillups!H501</f>
        <v/>
      </c>
      <c r="F501">
        <f>IF(B501="","",LEFT(B501,4))</f>
        <v/>
      </c>
      <c r="G501">
        <f>IF(A501="","",INDEX(vehicles!$I$2:$I$5,MATCH(A501,vehicles!$A$2:$A$5,0)))</f>
        <v/>
      </c>
      <c r="H501" t="inlineStr">
        <is>
          <t>fuel</t>
        </is>
      </c>
    </row>
    <row r="502">
      <c r="A502" s="5">
        <f>fillups!A502</f>
        <v/>
      </c>
      <c r="B502" s="5">
        <f>LEFT(fillups!C502,10)</f>
        <v/>
      </c>
      <c r="C502" t="inlineStr">
        <is>
          <t>fuel</t>
        </is>
      </c>
      <c r="D502" t="inlineStr">
        <is>
          <t>fillups</t>
        </is>
      </c>
      <c r="E502" s="21">
        <f>fillups!H502</f>
        <v/>
      </c>
      <c r="F502">
        <f>IF(B502="","",LEFT(B502,4))</f>
        <v/>
      </c>
      <c r="G502">
        <f>IF(A502="","",INDEX(vehicles!$I$2:$I$5,MATCH(A502,vehicles!$A$2:$A$5,0)))</f>
        <v/>
      </c>
      <c r="H502" t="inlineStr">
        <is>
          <t>fuel</t>
        </is>
      </c>
    </row>
    <row r="503">
      <c r="A503" s="5">
        <f>fillups!A503</f>
        <v/>
      </c>
      <c r="B503" s="5">
        <f>LEFT(fillups!C503,10)</f>
        <v/>
      </c>
      <c r="C503" t="inlineStr">
        <is>
          <t>fuel</t>
        </is>
      </c>
      <c r="D503" t="inlineStr">
        <is>
          <t>fillups</t>
        </is>
      </c>
      <c r="E503" s="21">
        <f>fillups!H503</f>
        <v/>
      </c>
      <c r="F503">
        <f>IF(B503="","",LEFT(B503,4))</f>
        <v/>
      </c>
      <c r="G503">
        <f>IF(A503="","",INDEX(vehicles!$I$2:$I$5,MATCH(A503,vehicles!$A$2:$A$5,0)))</f>
        <v/>
      </c>
      <c r="H503" t="inlineStr">
        <is>
          <t>fuel</t>
        </is>
      </c>
    </row>
    <row r="504">
      <c r="A504" s="5">
        <f>fillups!A504</f>
        <v/>
      </c>
      <c r="B504" s="5">
        <f>LEFT(fillups!C504,10)</f>
        <v/>
      </c>
      <c r="C504" t="inlineStr">
        <is>
          <t>fuel</t>
        </is>
      </c>
      <c r="D504" t="inlineStr">
        <is>
          <t>fillups</t>
        </is>
      </c>
      <c r="E504" s="21">
        <f>fillups!H504</f>
        <v/>
      </c>
      <c r="F504">
        <f>IF(B504="","",LEFT(B504,4))</f>
        <v/>
      </c>
      <c r="G504">
        <f>IF(A504="","",INDEX(vehicles!$I$2:$I$5,MATCH(A504,vehicles!$A$2:$A$5,0)))</f>
        <v/>
      </c>
      <c r="H504" t="inlineStr">
        <is>
          <t>fuel</t>
        </is>
      </c>
    </row>
    <row r="505">
      <c r="A505" s="5">
        <f>fillups!A505</f>
        <v/>
      </c>
      <c r="B505" s="5">
        <f>LEFT(fillups!C505,10)</f>
        <v/>
      </c>
      <c r="C505" t="inlineStr">
        <is>
          <t>fuel</t>
        </is>
      </c>
      <c r="D505" t="inlineStr">
        <is>
          <t>fillups</t>
        </is>
      </c>
      <c r="E505" s="21">
        <f>fillups!H505</f>
        <v/>
      </c>
      <c r="F505">
        <f>IF(B505="","",LEFT(B505,4))</f>
        <v/>
      </c>
      <c r="G505">
        <f>IF(A505="","",INDEX(vehicles!$I$2:$I$5,MATCH(A505,vehicles!$A$2:$A$5,0)))</f>
        <v/>
      </c>
      <c r="H505" t="inlineStr">
        <is>
          <t>fuel</t>
        </is>
      </c>
    </row>
    <row r="506">
      <c r="A506" s="5">
        <f>fillups!A506</f>
        <v/>
      </c>
      <c r="B506" s="5">
        <f>LEFT(fillups!C506,10)</f>
        <v/>
      </c>
      <c r="C506" t="inlineStr">
        <is>
          <t>fuel</t>
        </is>
      </c>
      <c r="D506" t="inlineStr">
        <is>
          <t>fillups</t>
        </is>
      </c>
      <c r="E506" s="21">
        <f>fillups!H506</f>
        <v/>
      </c>
      <c r="F506">
        <f>IF(B506="","",LEFT(B506,4))</f>
        <v/>
      </c>
      <c r="G506">
        <f>IF(A506="","",INDEX(vehicles!$I$2:$I$5,MATCH(A506,vehicles!$A$2:$A$5,0)))</f>
        <v/>
      </c>
      <c r="H506" t="inlineStr">
        <is>
          <t>fuel</t>
        </is>
      </c>
    </row>
    <row r="507">
      <c r="A507" s="5">
        <f>fillups!A507</f>
        <v/>
      </c>
      <c r="B507" s="5">
        <f>LEFT(fillups!C507,10)</f>
        <v/>
      </c>
      <c r="C507" t="inlineStr">
        <is>
          <t>fuel</t>
        </is>
      </c>
      <c r="D507" t="inlineStr">
        <is>
          <t>fillups</t>
        </is>
      </c>
      <c r="E507" s="21">
        <f>fillups!H507</f>
        <v/>
      </c>
      <c r="F507">
        <f>IF(B507="","",LEFT(B507,4))</f>
        <v/>
      </c>
      <c r="G507">
        <f>IF(A507="","",INDEX(vehicles!$I$2:$I$5,MATCH(A507,vehicles!$A$2:$A$5,0)))</f>
        <v/>
      </c>
      <c r="H507" t="inlineStr">
        <is>
          <t>fuel</t>
        </is>
      </c>
    </row>
    <row r="508">
      <c r="A508" s="5">
        <f>fillups!A508</f>
        <v/>
      </c>
      <c r="B508" s="5">
        <f>LEFT(fillups!C508,10)</f>
        <v/>
      </c>
      <c r="C508" t="inlineStr">
        <is>
          <t>fuel</t>
        </is>
      </c>
      <c r="D508" t="inlineStr">
        <is>
          <t>fillups</t>
        </is>
      </c>
      <c r="E508" s="21">
        <f>fillups!H508</f>
        <v/>
      </c>
      <c r="F508">
        <f>IF(B508="","",LEFT(B508,4))</f>
        <v/>
      </c>
      <c r="G508">
        <f>IF(A508="","",INDEX(vehicles!$I$2:$I$5,MATCH(A508,vehicles!$A$2:$A$5,0)))</f>
        <v/>
      </c>
      <c r="H508" t="inlineStr">
        <is>
          <t>fuel</t>
        </is>
      </c>
    </row>
    <row r="509">
      <c r="A509" s="5">
        <f>fillups!A509</f>
        <v/>
      </c>
      <c r="B509" s="5">
        <f>LEFT(fillups!C509,10)</f>
        <v/>
      </c>
      <c r="C509" t="inlineStr">
        <is>
          <t>fuel</t>
        </is>
      </c>
      <c r="D509" t="inlineStr">
        <is>
          <t>fillups</t>
        </is>
      </c>
      <c r="E509" s="21">
        <f>fillups!H509</f>
        <v/>
      </c>
      <c r="F509">
        <f>IF(B509="","",LEFT(B509,4))</f>
        <v/>
      </c>
      <c r="G509">
        <f>IF(A509="","",INDEX(vehicles!$I$2:$I$5,MATCH(A509,vehicles!$A$2:$A$5,0)))</f>
        <v/>
      </c>
      <c r="H509" t="inlineStr">
        <is>
          <t>fuel</t>
        </is>
      </c>
    </row>
    <row r="510">
      <c r="A510" s="5">
        <f>fillups!A510</f>
        <v/>
      </c>
      <c r="B510" s="5">
        <f>LEFT(fillups!C510,10)</f>
        <v/>
      </c>
      <c r="C510" t="inlineStr">
        <is>
          <t>fuel</t>
        </is>
      </c>
      <c r="D510" t="inlineStr">
        <is>
          <t>fillups</t>
        </is>
      </c>
      <c r="E510" s="21">
        <f>fillups!H510</f>
        <v/>
      </c>
      <c r="F510">
        <f>IF(B510="","",LEFT(B510,4))</f>
        <v/>
      </c>
      <c r="G510">
        <f>IF(A510="","",INDEX(vehicles!$I$2:$I$5,MATCH(A510,vehicles!$A$2:$A$5,0)))</f>
        <v/>
      </c>
      <c r="H510" t="inlineStr">
        <is>
          <t>fuel</t>
        </is>
      </c>
    </row>
    <row r="511">
      <c r="A511" s="5">
        <f>fillups!A511</f>
        <v/>
      </c>
      <c r="B511" s="5">
        <f>LEFT(fillups!C511,10)</f>
        <v/>
      </c>
      <c r="C511" t="inlineStr">
        <is>
          <t>fuel</t>
        </is>
      </c>
      <c r="D511" t="inlineStr">
        <is>
          <t>fillups</t>
        </is>
      </c>
      <c r="E511" s="21">
        <f>fillups!H511</f>
        <v/>
      </c>
      <c r="F511">
        <f>IF(B511="","",LEFT(B511,4))</f>
        <v/>
      </c>
      <c r="G511">
        <f>IF(A511="","",INDEX(vehicles!$I$2:$I$5,MATCH(A511,vehicles!$A$2:$A$5,0)))</f>
        <v/>
      </c>
      <c r="H511" t="inlineStr">
        <is>
          <t>fuel</t>
        </is>
      </c>
    </row>
    <row r="512">
      <c r="A512" s="5">
        <f>fillups!A512</f>
        <v/>
      </c>
      <c r="B512" s="5">
        <f>LEFT(fillups!C512,10)</f>
        <v/>
      </c>
      <c r="C512" t="inlineStr">
        <is>
          <t>fuel</t>
        </is>
      </c>
      <c r="D512" t="inlineStr">
        <is>
          <t>fillups</t>
        </is>
      </c>
      <c r="E512" s="21">
        <f>fillups!H512</f>
        <v/>
      </c>
      <c r="F512">
        <f>IF(B512="","",LEFT(B512,4))</f>
        <v/>
      </c>
      <c r="G512">
        <f>IF(A512="","",INDEX(vehicles!$I$2:$I$5,MATCH(A512,vehicles!$A$2:$A$5,0)))</f>
        <v/>
      </c>
      <c r="H512" t="inlineStr">
        <is>
          <t>fuel</t>
        </is>
      </c>
    </row>
    <row r="513">
      <c r="A513" s="5">
        <f>fillups!A513</f>
        <v/>
      </c>
      <c r="B513" s="5">
        <f>LEFT(fillups!C513,10)</f>
        <v/>
      </c>
      <c r="C513" t="inlineStr">
        <is>
          <t>fuel</t>
        </is>
      </c>
      <c r="D513" t="inlineStr">
        <is>
          <t>fillups</t>
        </is>
      </c>
      <c r="E513" s="21">
        <f>fillups!H513</f>
        <v/>
      </c>
      <c r="F513">
        <f>IF(B513="","",LEFT(B513,4))</f>
        <v/>
      </c>
      <c r="G513">
        <f>IF(A513="","",INDEX(vehicles!$I$2:$I$5,MATCH(A513,vehicles!$A$2:$A$5,0)))</f>
        <v/>
      </c>
      <c r="H513" t="inlineStr">
        <is>
          <t>fuel</t>
        </is>
      </c>
    </row>
    <row r="514">
      <c r="A514" s="5">
        <f>fillups!A514</f>
        <v/>
      </c>
      <c r="B514" s="5">
        <f>LEFT(fillups!C514,10)</f>
        <v/>
      </c>
      <c r="C514" t="inlineStr">
        <is>
          <t>fuel</t>
        </is>
      </c>
      <c r="D514" t="inlineStr">
        <is>
          <t>fillups</t>
        </is>
      </c>
      <c r="E514" s="21">
        <f>fillups!H514</f>
        <v/>
      </c>
      <c r="F514">
        <f>IF(B514="","",LEFT(B514,4))</f>
        <v/>
      </c>
      <c r="G514">
        <f>IF(A514="","",INDEX(vehicles!$I$2:$I$5,MATCH(A514,vehicles!$A$2:$A$5,0)))</f>
        <v/>
      </c>
      <c r="H514" t="inlineStr">
        <is>
          <t>fuel</t>
        </is>
      </c>
    </row>
    <row r="515">
      <c r="A515" s="5">
        <f>fillups!A515</f>
        <v/>
      </c>
      <c r="B515" s="5">
        <f>LEFT(fillups!C515,10)</f>
        <v/>
      </c>
      <c r="C515" t="inlineStr">
        <is>
          <t>fuel</t>
        </is>
      </c>
      <c r="D515" t="inlineStr">
        <is>
          <t>fillups</t>
        </is>
      </c>
      <c r="E515" s="21">
        <f>fillups!H515</f>
        <v/>
      </c>
      <c r="F515">
        <f>IF(B515="","",LEFT(B515,4))</f>
        <v/>
      </c>
      <c r="G515">
        <f>IF(A515="","",INDEX(vehicles!$I$2:$I$5,MATCH(A515,vehicles!$A$2:$A$5,0)))</f>
        <v/>
      </c>
      <c r="H515" t="inlineStr">
        <is>
          <t>fuel</t>
        </is>
      </c>
    </row>
    <row r="516">
      <c r="A516" s="5">
        <f>fillups!A516</f>
        <v/>
      </c>
      <c r="B516" s="5">
        <f>LEFT(fillups!C516,10)</f>
        <v/>
      </c>
      <c r="C516" t="inlineStr">
        <is>
          <t>fuel</t>
        </is>
      </c>
      <c r="D516" t="inlineStr">
        <is>
          <t>fillups</t>
        </is>
      </c>
      <c r="E516" s="21">
        <f>fillups!H516</f>
        <v/>
      </c>
      <c r="F516">
        <f>IF(B516="","",LEFT(B516,4))</f>
        <v/>
      </c>
      <c r="G516">
        <f>IF(A516="","",INDEX(vehicles!$I$2:$I$5,MATCH(A516,vehicles!$A$2:$A$5,0)))</f>
        <v/>
      </c>
      <c r="H516" t="inlineStr">
        <is>
          <t>fuel</t>
        </is>
      </c>
    </row>
    <row r="517">
      <c r="A517" s="5">
        <f>fillups!A517</f>
        <v/>
      </c>
      <c r="B517" s="5">
        <f>LEFT(fillups!C517,10)</f>
        <v/>
      </c>
      <c r="C517" t="inlineStr">
        <is>
          <t>fuel</t>
        </is>
      </c>
      <c r="D517" t="inlineStr">
        <is>
          <t>fillups</t>
        </is>
      </c>
      <c r="E517" s="21">
        <f>fillups!H517</f>
        <v/>
      </c>
      <c r="F517">
        <f>IF(B517="","",LEFT(B517,4))</f>
        <v/>
      </c>
      <c r="G517">
        <f>IF(A517="","",INDEX(vehicles!$I$2:$I$5,MATCH(A517,vehicles!$A$2:$A$5,0)))</f>
        <v/>
      </c>
      <c r="H517" t="inlineStr">
        <is>
          <t>fuel</t>
        </is>
      </c>
    </row>
    <row r="518">
      <c r="A518" s="5">
        <f>fillups!A518</f>
        <v/>
      </c>
      <c r="B518" s="5">
        <f>LEFT(fillups!C518,10)</f>
        <v/>
      </c>
      <c r="C518" t="inlineStr">
        <is>
          <t>fuel</t>
        </is>
      </c>
      <c r="D518" t="inlineStr">
        <is>
          <t>fillups</t>
        </is>
      </c>
      <c r="E518" s="21">
        <f>fillups!H518</f>
        <v/>
      </c>
      <c r="F518">
        <f>IF(B518="","",LEFT(B518,4))</f>
        <v/>
      </c>
      <c r="G518">
        <f>IF(A518="","",INDEX(vehicles!$I$2:$I$5,MATCH(A518,vehicles!$A$2:$A$5,0)))</f>
        <v/>
      </c>
      <c r="H518" t="inlineStr">
        <is>
          <t>fuel</t>
        </is>
      </c>
    </row>
    <row r="519">
      <c r="A519" s="5">
        <f>fillups!A519</f>
        <v/>
      </c>
      <c r="B519" s="5">
        <f>LEFT(fillups!C519,10)</f>
        <v/>
      </c>
      <c r="C519" t="inlineStr">
        <is>
          <t>fuel</t>
        </is>
      </c>
      <c r="D519" t="inlineStr">
        <is>
          <t>fillups</t>
        </is>
      </c>
      <c r="E519" s="21">
        <f>fillups!H519</f>
        <v/>
      </c>
      <c r="F519">
        <f>IF(B519="","",LEFT(B519,4))</f>
        <v/>
      </c>
      <c r="G519">
        <f>IF(A519="","",INDEX(vehicles!$I$2:$I$5,MATCH(A519,vehicles!$A$2:$A$5,0)))</f>
        <v/>
      </c>
      <c r="H519" t="inlineStr">
        <is>
          <t>fuel</t>
        </is>
      </c>
    </row>
    <row r="520">
      <c r="A520" s="5">
        <f>fillups!A520</f>
        <v/>
      </c>
      <c r="B520" s="5">
        <f>LEFT(fillups!C520,10)</f>
        <v/>
      </c>
      <c r="C520" t="inlineStr">
        <is>
          <t>fuel</t>
        </is>
      </c>
      <c r="D520" t="inlineStr">
        <is>
          <t>fillups</t>
        </is>
      </c>
      <c r="E520" s="21">
        <f>fillups!H520</f>
        <v/>
      </c>
      <c r="F520">
        <f>IF(B520="","",LEFT(B520,4))</f>
        <v/>
      </c>
      <c r="G520">
        <f>IF(A520="","",INDEX(vehicles!$I$2:$I$5,MATCH(A520,vehicles!$A$2:$A$5,0)))</f>
        <v/>
      </c>
      <c r="H520" t="inlineStr">
        <is>
          <t>fuel</t>
        </is>
      </c>
    </row>
    <row r="521">
      <c r="A521" s="5">
        <f>fillups!A521</f>
        <v/>
      </c>
      <c r="B521" s="5">
        <f>LEFT(fillups!C521,10)</f>
        <v/>
      </c>
      <c r="C521" t="inlineStr">
        <is>
          <t>fuel</t>
        </is>
      </c>
      <c r="D521" t="inlineStr">
        <is>
          <t>fillups</t>
        </is>
      </c>
      <c r="E521" s="21">
        <f>fillups!H521</f>
        <v/>
      </c>
      <c r="F521">
        <f>IF(B521="","",LEFT(B521,4))</f>
        <v/>
      </c>
      <c r="G521">
        <f>IF(A521="","",INDEX(vehicles!$I$2:$I$5,MATCH(A521,vehicles!$A$2:$A$5,0)))</f>
        <v/>
      </c>
      <c r="H521" t="inlineStr">
        <is>
          <t>fuel</t>
        </is>
      </c>
    </row>
    <row r="522">
      <c r="A522" s="5">
        <f>fillups!A522</f>
        <v/>
      </c>
      <c r="B522" s="5">
        <f>LEFT(fillups!C522,10)</f>
        <v/>
      </c>
      <c r="C522" t="inlineStr">
        <is>
          <t>fuel</t>
        </is>
      </c>
      <c r="D522" t="inlineStr">
        <is>
          <t>fillups</t>
        </is>
      </c>
      <c r="E522" s="21">
        <f>fillups!H522</f>
        <v/>
      </c>
      <c r="F522">
        <f>IF(B522="","",LEFT(B522,4))</f>
        <v/>
      </c>
      <c r="G522">
        <f>IF(A522="","",INDEX(vehicles!$I$2:$I$5,MATCH(A522,vehicles!$A$2:$A$5,0)))</f>
        <v/>
      </c>
      <c r="H522" t="inlineStr">
        <is>
          <t>fuel</t>
        </is>
      </c>
    </row>
    <row r="523">
      <c r="A523" s="5">
        <f>fillups!A523</f>
        <v/>
      </c>
      <c r="B523" s="5">
        <f>LEFT(fillups!C523,10)</f>
        <v/>
      </c>
      <c r="C523" t="inlineStr">
        <is>
          <t>fuel</t>
        </is>
      </c>
      <c r="D523" t="inlineStr">
        <is>
          <t>fillups</t>
        </is>
      </c>
      <c r="E523" s="21">
        <f>fillups!H523</f>
        <v/>
      </c>
      <c r="F523">
        <f>IF(B523="","",LEFT(B523,4))</f>
        <v/>
      </c>
      <c r="G523">
        <f>IF(A523="","",INDEX(vehicles!$I$2:$I$5,MATCH(A523,vehicles!$A$2:$A$5,0)))</f>
        <v/>
      </c>
      <c r="H523" t="inlineStr">
        <is>
          <t>fuel</t>
        </is>
      </c>
    </row>
    <row r="524">
      <c r="A524" s="5">
        <f>fillups!A524</f>
        <v/>
      </c>
      <c r="B524" s="5">
        <f>LEFT(fillups!C524,10)</f>
        <v/>
      </c>
      <c r="C524" t="inlineStr">
        <is>
          <t>fuel</t>
        </is>
      </c>
      <c r="D524" t="inlineStr">
        <is>
          <t>fillups</t>
        </is>
      </c>
      <c r="E524" s="21">
        <f>fillups!H524</f>
        <v/>
      </c>
      <c r="F524">
        <f>IF(B524="","",LEFT(B524,4))</f>
        <v/>
      </c>
      <c r="G524">
        <f>IF(A524="","",INDEX(vehicles!$I$2:$I$5,MATCH(A524,vehicles!$A$2:$A$5,0)))</f>
        <v/>
      </c>
      <c r="H524" t="inlineStr">
        <is>
          <t>fuel</t>
        </is>
      </c>
    </row>
    <row r="525">
      <c r="A525" s="5">
        <f>fillups!A525</f>
        <v/>
      </c>
      <c r="B525" s="5">
        <f>LEFT(fillups!C525,10)</f>
        <v/>
      </c>
      <c r="C525" t="inlineStr">
        <is>
          <t>fuel</t>
        </is>
      </c>
      <c r="D525" t="inlineStr">
        <is>
          <t>fillups</t>
        </is>
      </c>
      <c r="E525" s="21">
        <f>fillups!H525</f>
        <v/>
      </c>
      <c r="F525">
        <f>IF(B525="","",LEFT(B525,4))</f>
        <v/>
      </c>
      <c r="G525">
        <f>IF(A525="","",INDEX(vehicles!$I$2:$I$5,MATCH(A525,vehicles!$A$2:$A$5,0)))</f>
        <v/>
      </c>
      <c r="H525" t="inlineStr">
        <is>
          <t>fuel</t>
        </is>
      </c>
    </row>
    <row r="526">
      <c r="A526" s="5">
        <f>fillups!A526</f>
        <v/>
      </c>
      <c r="B526" s="5">
        <f>LEFT(fillups!C526,10)</f>
        <v/>
      </c>
      <c r="C526" t="inlineStr">
        <is>
          <t>fuel</t>
        </is>
      </c>
      <c r="D526" t="inlineStr">
        <is>
          <t>fillups</t>
        </is>
      </c>
      <c r="E526" s="21">
        <f>fillups!H526</f>
        <v/>
      </c>
      <c r="F526">
        <f>IF(B526="","",LEFT(B526,4))</f>
        <v/>
      </c>
      <c r="G526">
        <f>IF(A526="","",INDEX(vehicles!$I$2:$I$5,MATCH(A526,vehicles!$A$2:$A$5,0)))</f>
        <v/>
      </c>
      <c r="H526" t="inlineStr">
        <is>
          <t>fuel</t>
        </is>
      </c>
    </row>
    <row r="527">
      <c r="A527" s="5">
        <f>fillups!A527</f>
        <v/>
      </c>
      <c r="B527" s="5">
        <f>LEFT(fillups!C527,10)</f>
        <v/>
      </c>
      <c r="C527" t="inlineStr">
        <is>
          <t>fuel</t>
        </is>
      </c>
      <c r="D527" t="inlineStr">
        <is>
          <t>fillups</t>
        </is>
      </c>
      <c r="E527" s="21">
        <f>fillups!H527</f>
        <v/>
      </c>
      <c r="F527">
        <f>IF(B527="","",LEFT(B527,4))</f>
        <v/>
      </c>
      <c r="G527">
        <f>IF(A527="","",INDEX(vehicles!$I$2:$I$5,MATCH(A527,vehicles!$A$2:$A$5,0)))</f>
        <v/>
      </c>
      <c r="H527" t="inlineStr">
        <is>
          <t>fuel</t>
        </is>
      </c>
    </row>
    <row r="528">
      <c r="A528" s="5">
        <f>fillups!A528</f>
        <v/>
      </c>
      <c r="B528" s="5">
        <f>LEFT(fillups!C528,10)</f>
        <v/>
      </c>
      <c r="C528" t="inlineStr">
        <is>
          <t>fuel</t>
        </is>
      </c>
      <c r="D528" t="inlineStr">
        <is>
          <t>fillups</t>
        </is>
      </c>
      <c r="E528" s="21">
        <f>fillups!H528</f>
        <v/>
      </c>
      <c r="F528">
        <f>IF(B528="","",LEFT(B528,4))</f>
        <v/>
      </c>
      <c r="G528">
        <f>IF(A528="","",INDEX(vehicles!$I$2:$I$5,MATCH(A528,vehicles!$A$2:$A$5,0)))</f>
        <v/>
      </c>
      <c r="H528" t="inlineStr">
        <is>
          <t>fuel</t>
        </is>
      </c>
    </row>
    <row r="529">
      <c r="A529" s="5">
        <f>fillups!A529</f>
        <v/>
      </c>
      <c r="B529" s="5">
        <f>LEFT(fillups!C529,10)</f>
        <v/>
      </c>
      <c r="C529" t="inlineStr">
        <is>
          <t>fuel</t>
        </is>
      </c>
      <c r="D529" t="inlineStr">
        <is>
          <t>fillups</t>
        </is>
      </c>
      <c r="E529" s="21">
        <f>fillups!H529</f>
        <v/>
      </c>
      <c r="F529">
        <f>IF(B529="","",LEFT(B529,4))</f>
        <v/>
      </c>
      <c r="G529">
        <f>IF(A529="","",INDEX(vehicles!$I$2:$I$5,MATCH(A529,vehicles!$A$2:$A$5,0)))</f>
        <v/>
      </c>
      <c r="H529" t="inlineStr">
        <is>
          <t>fuel</t>
        </is>
      </c>
    </row>
    <row r="530">
      <c r="A530" s="5">
        <f>fillups!A530</f>
        <v/>
      </c>
      <c r="B530" s="5">
        <f>LEFT(fillups!C530,10)</f>
        <v/>
      </c>
      <c r="C530" t="inlineStr">
        <is>
          <t>fuel</t>
        </is>
      </c>
      <c r="D530" t="inlineStr">
        <is>
          <t>fillups</t>
        </is>
      </c>
      <c r="E530" s="21">
        <f>fillups!H530</f>
        <v/>
      </c>
      <c r="F530">
        <f>IF(B530="","",LEFT(B530,4))</f>
        <v/>
      </c>
      <c r="G530">
        <f>IF(A530="","",INDEX(vehicles!$I$2:$I$5,MATCH(A530,vehicles!$A$2:$A$5,0)))</f>
        <v/>
      </c>
      <c r="H530" t="inlineStr">
        <is>
          <t>fuel</t>
        </is>
      </c>
    </row>
    <row r="531">
      <c r="A531" s="5">
        <f>fillups!A531</f>
        <v/>
      </c>
      <c r="B531" s="5">
        <f>LEFT(fillups!C531,10)</f>
        <v/>
      </c>
      <c r="C531" t="inlineStr">
        <is>
          <t>fuel</t>
        </is>
      </c>
      <c r="D531" t="inlineStr">
        <is>
          <t>fillups</t>
        </is>
      </c>
      <c r="E531" s="21">
        <f>fillups!H531</f>
        <v/>
      </c>
      <c r="F531">
        <f>IF(B531="","",LEFT(B531,4))</f>
        <v/>
      </c>
      <c r="G531">
        <f>IF(A531="","",INDEX(vehicles!$I$2:$I$5,MATCH(A531,vehicles!$A$2:$A$5,0)))</f>
        <v/>
      </c>
      <c r="H531" t="inlineStr">
        <is>
          <t>fuel</t>
        </is>
      </c>
    </row>
    <row r="532">
      <c r="A532" s="5">
        <f>fillups!A532</f>
        <v/>
      </c>
      <c r="B532" s="5">
        <f>LEFT(fillups!C532,10)</f>
        <v/>
      </c>
      <c r="C532" t="inlineStr">
        <is>
          <t>fuel</t>
        </is>
      </c>
      <c r="D532" t="inlineStr">
        <is>
          <t>fillups</t>
        </is>
      </c>
      <c r="E532" s="21">
        <f>fillups!H532</f>
        <v/>
      </c>
      <c r="F532">
        <f>IF(B532="","",LEFT(B532,4))</f>
        <v/>
      </c>
      <c r="G532">
        <f>IF(A532="","",INDEX(vehicles!$I$2:$I$5,MATCH(A532,vehicles!$A$2:$A$5,0)))</f>
        <v/>
      </c>
      <c r="H532" t="inlineStr">
        <is>
          <t>fuel</t>
        </is>
      </c>
    </row>
    <row r="533">
      <c r="A533" s="5">
        <f>fillups!A533</f>
        <v/>
      </c>
      <c r="B533" s="5">
        <f>LEFT(fillups!C533,10)</f>
        <v/>
      </c>
      <c r="C533" t="inlineStr">
        <is>
          <t>fuel</t>
        </is>
      </c>
      <c r="D533" t="inlineStr">
        <is>
          <t>fillups</t>
        </is>
      </c>
      <c r="E533" s="21">
        <f>fillups!H533</f>
        <v/>
      </c>
      <c r="F533">
        <f>IF(B533="","",LEFT(B533,4))</f>
        <v/>
      </c>
      <c r="G533">
        <f>IF(A533="","",INDEX(vehicles!$I$2:$I$5,MATCH(A533,vehicles!$A$2:$A$5,0)))</f>
        <v/>
      </c>
      <c r="H533" t="inlineStr">
        <is>
          <t>fuel</t>
        </is>
      </c>
    </row>
    <row r="534">
      <c r="A534" s="5">
        <f>fillups!A534</f>
        <v/>
      </c>
      <c r="B534" s="5">
        <f>LEFT(fillups!C534,10)</f>
        <v/>
      </c>
      <c r="C534" t="inlineStr">
        <is>
          <t>fuel</t>
        </is>
      </c>
      <c r="D534" t="inlineStr">
        <is>
          <t>fillups</t>
        </is>
      </c>
      <c r="E534" s="21">
        <f>fillups!H534</f>
        <v/>
      </c>
      <c r="F534">
        <f>IF(B534="","",LEFT(B534,4))</f>
        <v/>
      </c>
      <c r="G534">
        <f>IF(A534="","",INDEX(vehicles!$I$2:$I$5,MATCH(A534,vehicles!$A$2:$A$5,0)))</f>
        <v/>
      </c>
      <c r="H534" t="inlineStr">
        <is>
          <t>fuel</t>
        </is>
      </c>
    </row>
    <row r="535">
      <c r="A535" s="5">
        <f>fillups!A535</f>
        <v/>
      </c>
      <c r="B535" s="5">
        <f>LEFT(fillups!C535,10)</f>
        <v/>
      </c>
      <c r="C535" t="inlineStr">
        <is>
          <t>fuel</t>
        </is>
      </c>
      <c r="D535" t="inlineStr">
        <is>
          <t>fillups</t>
        </is>
      </c>
      <c r="E535" s="21">
        <f>fillups!H535</f>
        <v/>
      </c>
      <c r="F535">
        <f>IF(B535="","",LEFT(B535,4))</f>
        <v/>
      </c>
      <c r="G535">
        <f>IF(A535="","",INDEX(vehicles!$I$2:$I$5,MATCH(A535,vehicles!$A$2:$A$5,0)))</f>
        <v/>
      </c>
      <c r="H535" t="inlineStr">
        <is>
          <t>fuel</t>
        </is>
      </c>
    </row>
    <row r="536">
      <c r="A536" s="5">
        <f>fillups!A536</f>
        <v/>
      </c>
      <c r="B536" s="5">
        <f>LEFT(fillups!C536,10)</f>
        <v/>
      </c>
      <c r="C536" t="inlineStr">
        <is>
          <t>fuel</t>
        </is>
      </c>
      <c r="D536" t="inlineStr">
        <is>
          <t>fillups</t>
        </is>
      </c>
      <c r="E536" s="21">
        <f>fillups!H536</f>
        <v/>
      </c>
      <c r="F536">
        <f>IF(B536="","",LEFT(B536,4))</f>
        <v/>
      </c>
      <c r="G536">
        <f>IF(A536="","",INDEX(vehicles!$I$2:$I$5,MATCH(A536,vehicles!$A$2:$A$5,0)))</f>
        <v/>
      </c>
      <c r="H536" t="inlineStr">
        <is>
          <t>fuel</t>
        </is>
      </c>
    </row>
    <row r="537">
      <c r="A537" s="5">
        <f>fillups!A537</f>
        <v/>
      </c>
      <c r="B537" s="5">
        <f>LEFT(fillups!C537,10)</f>
        <v/>
      </c>
      <c r="C537" t="inlineStr">
        <is>
          <t>fuel</t>
        </is>
      </c>
      <c r="D537" t="inlineStr">
        <is>
          <t>fillups</t>
        </is>
      </c>
      <c r="E537" s="21">
        <f>fillups!H537</f>
        <v/>
      </c>
      <c r="F537">
        <f>IF(B537="","",LEFT(B537,4))</f>
        <v/>
      </c>
      <c r="G537">
        <f>IF(A537="","",INDEX(vehicles!$I$2:$I$5,MATCH(A537,vehicles!$A$2:$A$5,0)))</f>
        <v/>
      </c>
      <c r="H537" t="inlineStr">
        <is>
          <t>fuel</t>
        </is>
      </c>
    </row>
    <row r="538">
      <c r="A538" s="5">
        <f>fillups!A538</f>
        <v/>
      </c>
      <c r="B538" s="5">
        <f>LEFT(fillups!C538,10)</f>
        <v/>
      </c>
      <c r="C538" t="inlineStr">
        <is>
          <t>fuel</t>
        </is>
      </c>
      <c r="D538" t="inlineStr">
        <is>
          <t>fillups</t>
        </is>
      </c>
      <c r="E538" s="21">
        <f>fillups!H538</f>
        <v/>
      </c>
      <c r="F538">
        <f>IF(B538="","",LEFT(B538,4))</f>
        <v/>
      </c>
      <c r="G538">
        <f>IF(A538="","",INDEX(vehicles!$I$2:$I$5,MATCH(A538,vehicles!$A$2:$A$5,0)))</f>
        <v/>
      </c>
      <c r="H538" t="inlineStr">
        <is>
          <t>fuel</t>
        </is>
      </c>
    </row>
    <row r="539">
      <c r="A539" s="5">
        <f>fillups!A539</f>
        <v/>
      </c>
      <c r="B539" s="5">
        <f>LEFT(fillups!C539,10)</f>
        <v/>
      </c>
      <c r="C539" t="inlineStr">
        <is>
          <t>fuel</t>
        </is>
      </c>
      <c r="D539" t="inlineStr">
        <is>
          <t>fillups</t>
        </is>
      </c>
      <c r="E539" s="21">
        <f>fillups!H539</f>
        <v/>
      </c>
      <c r="F539">
        <f>IF(B539="","",LEFT(B539,4))</f>
        <v/>
      </c>
      <c r="G539">
        <f>IF(A539="","",INDEX(vehicles!$I$2:$I$5,MATCH(A539,vehicles!$A$2:$A$5,0)))</f>
        <v/>
      </c>
      <c r="H539" t="inlineStr">
        <is>
          <t>fuel</t>
        </is>
      </c>
    </row>
    <row r="540">
      <c r="A540" s="5">
        <f>fillups!A540</f>
        <v/>
      </c>
      <c r="B540" s="5">
        <f>LEFT(fillups!C540,10)</f>
        <v/>
      </c>
      <c r="C540" t="inlineStr">
        <is>
          <t>fuel</t>
        </is>
      </c>
      <c r="D540" t="inlineStr">
        <is>
          <t>fillups</t>
        </is>
      </c>
      <c r="E540" s="21">
        <f>fillups!H540</f>
        <v/>
      </c>
      <c r="F540">
        <f>IF(B540="","",LEFT(B540,4))</f>
        <v/>
      </c>
      <c r="G540">
        <f>IF(A540="","",INDEX(vehicles!$I$2:$I$5,MATCH(A540,vehicles!$A$2:$A$5,0)))</f>
        <v/>
      </c>
      <c r="H540" t="inlineStr">
        <is>
          <t>fuel</t>
        </is>
      </c>
    </row>
    <row r="541">
      <c r="A541" s="5">
        <f>fillups!A541</f>
        <v/>
      </c>
      <c r="B541" s="5">
        <f>LEFT(fillups!C541,10)</f>
        <v/>
      </c>
      <c r="C541" t="inlineStr">
        <is>
          <t>fuel</t>
        </is>
      </c>
      <c r="D541" t="inlineStr">
        <is>
          <t>fillups</t>
        </is>
      </c>
      <c r="E541" s="21">
        <f>fillups!H541</f>
        <v/>
      </c>
      <c r="F541">
        <f>IF(B541="","",LEFT(B541,4))</f>
        <v/>
      </c>
      <c r="G541">
        <f>IF(A541="","",INDEX(vehicles!$I$2:$I$5,MATCH(A541,vehicles!$A$2:$A$5,0)))</f>
        <v/>
      </c>
      <c r="H541" t="inlineStr">
        <is>
          <t>fuel</t>
        </is>
      </c>
    </row>
    <row r="542">
      <c r="A542" s="5">
        <f>fillups!A542</f>
        <v/>
      </c>
      <c r="B542" s="5">
        <f>LEFT(fillups!C542,10)</f>
        <v/>
      </c>
      <c r="C542" t="inlineStr">
        <is>
          <t>fuel</t>
        </is>
      </c>
      <c r="D542" t="inlineStr">
        <is>
          <t>fillups</t>
        </is>
      </c>
      <c r="E542" s="21">
        <f>fillups!H542</f>
        <v/>
      </c>
      <c r="F542">
        <f>IF(B542="","",LEFT(B542,4))</f>
        <v/>
      </c>
      <c r="G542">
        <f>IF(A542="","",INDEX(vehicles!$I$2:$I$5,MATCH(A542,vehicles!$A$2:$A$5,0)))</f>
        <v/>
      </c>
      <c r="H542" t="inlineStr">
        <is>
          <t>fuel</t>
        </is>
      </c>
    </row>
    <row r="543">
      <c r="A543" s="5">
        <f>fillups!A543</f>
        <v/>
      </c>
      <c r="B543" s="5">
        <f>LEFT(fillups!C543,10)</f>
        <v/>
      </c>
      <c r="C543" t="inlineStr">
        <is>
          <t>fuel</t>
        </is>
      </c>
      <c r="D543" t="inlineStr">
        <is>
          <t>fillups</t>
        </is>
      </c>
      <c r="E543" s="21">
        <f>fillups!H543</f>
        <v/>
      </c>
      <c r="F543">
        <f>IF(B543="","",LEFT(B543,4))</f>
        <v/>
      </c>
      <c r="G543">
        <f>IF(A543="","",INDEX(vehicles!$I$2:$I$5,MATCH(A543,vehicles!$A$2:$A$5,0)))</f>
        <v/>
      </c>
      <c r="H543" t="inlineStr">
        <is>
          <t>fuel</t>
        </is>
      </c>
    </row>
    <row r="544">
      <c r="A544" s="5">
        <f>fillups!A544</f>
        <v/>
      </c>
      <c r="B544" s="5">
        <f>LEFT(fillups!C544,10)</f>
        <v/>
      </c>
      <c r="C544" t="inlineStr">
        <is>
          <t>fuel</t>
        </is>
      </c>
      <c r="D544" t="inlineStr">
        <is>
          <t>fillups</t>
        </is>
      </c>
      <c r="E544" s="21">
        <f>fillups!H544</f>
        <v/>
      </c>
      <c r="F544">
        <f>IF(B544="","",LEFT(B544,4))</f>
        <v/>
      </c>
      <c r="G544">
        <f>IF(A544="","",INDEX(vehicles!$I$2:$I$5,MATCH(A544,vehicles!$A$2:$A$5,0)))</f>
        <v/>
      </c>
      <c r="H544" t="inlineStr">
        <is>
          <t>fuel</t>
        </is>
      </c>
    </row>
    <row r="545">
      <c r="A545" s="5">
        <f>fillups!A545</f>
        <v/>
      </c>
      <c r="B545" s="5">
        <f>LEFT(fillups!C545,10)</f>
        <v/>
      </c>
      <c r="C545" t="inlineStr">
        <is>
          <t>fuel</t>
        </is>
      </c>
      <c r="D545" t="inlineStr">
        <is>
          <t>fillups</t>
        </is>
      </c>
      <c r="E545" s="21">
        <f>fillups!H545</f>
        <v/>
      </c>
      <c r="F545">
        <f>IF(B545="","",LEFT(B545,4))</f>
        <v/>
      </c>
      <c r="G545">
        <f>IF(A545="","",INDEX(vehicles!$I$2:$I$5,MATCH(A545,vehicles!$A$2:$A$5,0)))</f>
        <v/>
      </c>
      <c r="H545" t="inlineStr">
        <is>
          <t>fuel</t>
        </is>
      </c>
    </row>
    <row r="546">
      <c r="A546" s="5">
        <f>fillups!A546</f>
        <v/>
      </c>
      <c r="B546" s="5">
        <f>LEFT(fillups!C546,10)</f>
        <v/>
      </c>
      <c r="C546" t="inlineStr">
        <is>
          <t>fuel</t>
        </is>
      </c>
      <c r="D546" t="inlineStr">
        <is>
          <t>fillups</t>
        </is>
      </c>
      <c r="E546" s="21">
        <f>fillups!H546</f>
        <v/>
      </c>
      <c r="F546">
        <f>IF(B546="","",LEFT(B546,4))</f>
        <v/>
      </c>
      <c r="G546">
        <f>IF(A546="","",INDEX(vehicles!$I$2:$I$5,MATCH(A546,vehicles!$A$2:$A$5,0)))</f>
        <v/>
      </c>
      <c r="H546" t="inlineStr">
        <is>
          <t>fuel</t>
        </is>
      </c>
    </row>
    <row r="547">
      <c r="A547" s="5">
        <f>fillups!A547</f>
        <v/>
      </c>
      <c r="B547" s="5">
        <f>LEFT(fillups!C547,10)</f>
        <v/>
      </c>
      <c r="C547" t="inlineStr">
        <is>
          <t>fuel</t>
        </is>
      </c>
      <c r="D547" t="inlineStr">
        <is>
          <t>fillups</t>
        </is>
      </c>
      <c r="E547" s="21">
        <f>fillups!H547</f>
        <v/>
      </c>
      <c r="F547">
        <f>IF(B547="","",LEFT(B547,4))</f>
        <v/>
      </c>
      <c r="G547">
        <f>IF(A547="","",INDEX(vehicles!$I$2:$I$5,MATCH(A547,vehicles!$A$2:$A$5,0)))</f>
        <v/>
      </c>
      <c r="H547" t="inlineStr">
        <is>
          <t>fuel</t>
        </is>
      </c>
    </row>
    <row r="548">
      <c r="A548" s="5">
        <f>fillups!A548</f>
        <v/>
      </c>
      <c r="B548" s="5">
        <f>LEFT(fillups!C548,10)</f>
        <v/>
      </c>
      <c r="C548" t="inlineStr">
        <is>
          <t>fuel</t>
        </is>
      </c>
      <c r="D548" t="inlineStr">
        <is>
          <t>fillups</t>
        </is>
      </c>
      <c r="E548" s="21">
        <f>fillups!H548</f>
        <v/>
      </c>
      <c r="F548">
        <f>IF(B548="","",LEFT(B548,4))</f>
        <v/>
      </c>
      <c r="G548">
        <f>IF(A548="","",INDEX(vehicles!$I$2:$I$5,MATCH(A548,vehicles!$A$2:$A$5,0)))</f>
        <v/>
      </c>
      <c r="H548" t="inlineStr">
        <is>
          <t>fuel</t>
        </is>
      </c>
    </row>
    <row r="549">
      <c r="A549" s="5">
        <f>fillups!A549</f>
        <v/>
      </c>
      <c r="B549" s="5">
        <f>LEFT(fillups!C549,10)</f>
        <v/>
      </c>
      <c r="C549" t="inlineStr">
        <is>
          <t>fuel</t>
        </is>
      </c>
      <c r="D549" t="inlineStr">
        <is>
          <t>fillups</t>
        </is>
      </c>
      <c r="E549" s="21">
        <f>fillups!H549</f>
        <v/>
      </c>
      <c r="F549">
        <f>IF(B549="","",LEFT(B549,4))</f>
        <v/>
      </c>
      <c r="G549">
        <f>IF(A549="","",INDEX(vehicles!$I$2:$I$5,MATCH(A549,vehicles!$A$2:$A$5,0)))</f>
        <v/>
      </c>
      <c r="H549" t="inlineStr">
        <is>
          <t>fuel</t>
        </is>
      </c>
    </row>
    <row r="550">
      <c r="A550" s="5">
        <f>fillups!A550</f>
        <v/>
      </c>
      <c r="B550" s="5">
        <f>LEFT(fillups!C550,10)</f>
        <v/>
      </c>
      <c r="C550" t="inlineStr">
        <is>
          <t>fuel</t>
        </is>
      </c>
      <c r="D550" t="inlineStr">
        <is>
          <t>fillups</t>
        </is>
      </c>
      <c r="E550" s="21">
        <f>fillups!H550</f>
        <v/>
      </c>
      <c r="F550">
        <f>IF(B550="","",LEFT(B550,4))</f>
        <v/>
      </c>
      <c r="G550">
        <f>IF(A550="","",INDEX(vehicles!$I$2:$I$5,MATCH(A550,vehicles!$A$2:$A$5,0)))</f>
        <v/>
      </c>
      <c r="H550" t="inlineStr">
        <is>
          <t>fuel</t>
        </is>
      </c>
    </row>
    <row r="551">
      <c r="A551" s="5">
        <f>fillups!A551</f>
        <v/>
      </c>
      <c r="B551" s="5">
        <f>LEFT(fillups!C551,10)</f>
        <v/>
      </c>
      <c r="C551" t="inlineStr">
        <is>
          <t>fuel</t>
        </is>
      </c>
      <c r="D551" t="inlineStr">
        <is>
          <t>fillups</t>
        </is>
      </c>
      <c r="E551" s="21">
        <f>fillups!H551</f>
        <v/>
      </c>
      <c r="F551">
        <f>IF(B551="","",LEFT(B551,4))</f>
        <v/>
      </c>
      <c r="G551">
        <f>IF(A551="","",INDEX(vehicles!$I$2:$I$5,MATCH(A551,vehicles!$A$2:$A$5,0)))</f>
        <v/>
      </c>
      <c r="H551" t="inlineStr">
        <is>
          <t>fuel</t>
        </is>
      </c>
    </row>
    <row r="552">
      <c r="A552" s="5">
        <f>fillups!A552</f>
        <v/>
      </c>
      <c r="B552" s="5">
        <f>LEFT(fillups!C552,10)</f>
        <v/>
      </c>
      <c r="C552" t="inlineStr">
        <is>
          <t>fuel</t>
        </is>
      </c>
      <c r="D552" t="inlineStr">
        <is>
          <t>fillups</t>
        </is>
      </c>
      <c r="E552" s="21">
        <f>fillups!H552</f>
        <v/>
      </c>
      <c r="F552">
        <f>IF(B552="","",LEFT(B552,4))</f>
        <v/>
      </c>
      <c r="G552">
        <f>IF(A552="","",INDEX(vehicles!$I$2:$I$5,MATCH(A552,vehicles!$A$2:$A$5,0)))</f>
        <v/>
      </c>
      <c r="H552" t="inlineStr">
        <is>
          <t>fuel</t>
        </is>
      </c>
    </row>
    <row r="553">
      <c r="A553" s="5">
        <f>fillups!A553</f>
        <v/>
      </c>
      <c r="B553" s="5">
        <f>LEFT(fillups!C553,10)</f>
        <v/>
      </c>
      <c r="C553" t="inlineStr">
        <is>
          <t>fuel</t>
        </is>
      </c>
      <c r="D553" t="inlineStr">
        <is>
          <t>fillups</t>
        </is>
      </c>
      <c r="E553" s="21">
        <f>fillups!H553</f>
        <v/>
      </c>
      <c r="F553">
        <f>IF(B553="","",LEFT(B553,4))</f>
        <v/>
      </c>
      <c r="G553">
        <f>IF(A553="","",INDEX(vehicles!$I$2:$I$5,MATCH(A553,vehicles!$A$2:$A$5,0)))</f>
        <v/>
      </c>
      <c r="H553" t="inlineStr">
        <is>
          <t>fuel</t>
        </is>
      </c>
    </row>
    <row r="554">
      <c r="A554" s="5">
        <f>fillups!A554</f>
        <v/>
      </c>
      <c r="B554" s="5">
        <f>LEFT(fillups!C554,10)</f>
        <v/>
      </c>
      <c r="C554" t="inlineStr">
        <is>
          <t>fuel</t>
        </is>
      </c>
      <c r="D554" t="inlineStr">
        <is>
          <t>fillups</t>
        </is>
      </c>
      <c r="E554" s="21">
        <f>fillups!H554</f>
        <v/>
      </c>
      <c r="F554">
        <f>IF(B554="","",LEFT(B554,4))</f>
        <v/>
      </c>
      <c r="G554">
        <f>IF(A554="","",INDEX(vehicles!$I$2:$I$5,MATCH(A554,vehicles!$A$2:$A$5,0)))</f>
        <v/>
      </c>
      <c r="H554" t="inlineStr">
        <is>
          <t>fuel</t>
        </is>
      </c>
    </row>
    <row r="555">
      <c r="A555" s="5">
        <f>fillups!A555</f>
        <v/>
      </c>
      <c r="B555" s="5">
        <f>LEFT(fillups!C555,10)</f>
        <v/>
      </c>
      <c r="C555" t="inlineStr">
        <is>
          <t>fuel</t>
        </is>
      </c>
      <c r="D555" t="inlineStr">
        <is>
          <t>fillups</t>
        </is>
      </c>
      <c r="E555" s="21">
        <f>fillups!H555</f>
        <v/>
      </c>
      <c r="F555">
        <f>IF(B555="","",LEFT(B555,4))</f>
        <v/>
      </c>
      <c r="G555">
        <f>IF(A555="","",INDEX(vehicles!$I$2:$I$5,MATCH(A555,vehicles!$A$2:$A$5,0)))</f>
        <v/>
      </c>
      <c r="H555" t="inlineStr">
        <is>
          <t>fuel</t>
        </is>
      </c>
    </row>
    <row r="556">
      <c r="A556" s="5">
        <f>fillups!A556</f>
        <v/>
      </c>
      <c r="B556" s="5">
        <f>LEFT(fillups!C556,10)</f>
        <v/>
      </c>
      <c r="C556" t="inlineStr">
        <is>
          <t>fuel</t>
        </is>
      </c>
      <c r="D556" t="inlineStr">
        <is>
          <t>fillups</t>
        </is>
      </c>
      <c r="E556" s="21">
        <f>fillups!H556</f>
        <v/>
      </c>
      <c r="F556">
        <f>IF(B556="","",LEFT(B556,4))</f>
        <v/>
      </c>
      <c r="G556">
        <f>IF(A556="","",INDEX(vehicles!$I$2:$I$5,MATCH(A556,vehicles!$A$2:$A$5,0)))</f>
        <v/>
      </c>
      <c r="H556" t="inlineStr">
        <is>
          <t>fuel</t>
        </is>
      </c>
    </row>
    <row r="557">
      <c r="A557" s="5">
        <f>fillups!A557</f>
        <v/>
      </c>
      <c r="B557" s="5">
        <f>LEFT(fillups!C557,10)</f>
        <v/>
      </c>
      <c r="C557" t="inlineStr">
        <is>
          <t>fuel</t>
        </is>
      </c>
      <c r="D557" t="inlineStr">
        <is>
          <t>fillups</t>
        </is>
      </c>
      <c r="E557" s="21">
        <f>fillups!H557</f>
        <v/>
      </c>
      <c r="F557">
        <f>IF(B557="","",LEFT(B557,4))</f>
        <v/>
      </c>
      <c r="G557">
        <f>IF(A557="","",INDEX(vehicles!$I$2:$I$5,MATCH(A557,vehicles!$A$2:$A$5,0)))</f>
        <v/>
      </c>
      <c r="H557" t="inlineStr">
        <is>
          <t>fuel</t>
        </is>
      </c>
    </row>
    <row r="558">
      <c r="A558" s="5">
        <f>fillups!A558</f>
        <v/>
      </c>
      <c r="B558" s="5">
        <f>LEFT(fillups!C558,10)</f>
        <v/>
      </c>
      <c r="C558" t="inlineStr">
        <is>
          <t>fuel</t>
        </is>
      </c>
      <c r="D558" t="inlineStr">
        <is>
          <t>fillups</t>
        </is>
      </c>
      <c r="E558" s="21">
        <f>fillups!H558</f>
        <v/>
      </c>
      <c r="F558">
        <f>IF(B558="","",LEFT(B558,4))</f>
        <v/>
      </c>
      <c r="G558">
        <f>IF(A558="","",INDEX(vehicles!$I$2:$I$5,MATCH(A558,vehicles!$A$2:$A$5,0)))</f>
        <v/>
      </c>
      <c r="H558" t="inlineStr">
        <is>
          <t>fuel</t>
        </is>
      </c>
    </row>
    <row r="559">
      <c r="A559" s="5">
        <f>fillups!A559</f>
        <v/>
      </c>
      <c r="B559" s="5">
        <f>LEFT(fillups!C559,10)</f>
        <v/>
      </c>
      <c r="C559" t="inlineStr">
        <is>
          <t>fuel</t>
        </is>
      </c>
      <c r="D559" t="inlineStr">
        <is>
          <t>fillups</t>
        </is>
      </c>
      <c r="E559" s="21">
        <f>fillups!H559</f>
        <v/>
      </c>
      <c r="F559">
        <f>IF(B559="","",LEFT(B559,4))</f>
        <v/>
      </c>
      <c r="G559">
        <f>IF(A559="","",INDEX(vehicles!$I$2:$I$5,MATCH(A559,vehicles!$A$2:$A$5,0)))</f>
        <v/>
      </c>
      <c r="H559" t="inlineStr">
        <is>
          <t>fuel</t>
        </is>
      </c>
    </row>
    <row r="560">
      <c r="A560" s="5">
        <f>fillups!A560</f>
        <v/>
      </c>
      <c r="B560" s="5">
        <f>LEFT(fillups!C560,10)</f>
        <v/>
      </c>
      <c r="C560" t="inlineStr">
        <is>
          <t>fuel</t>
        </is>
      </c>
      <c r="D560" t="inlineStr">
        <is>
          <t>fillups</t>
        </is>
      </c>
      <c r="E560" s="21">
        <f>fillups!H560</f>
        <v/>
      </c>
      <c r="F560">
        <f>IF(B560="","",LEFT(B560,4))</f>
        <v/>
      </c>
      <c r="G560">
        <f>IF(A560="","",INDEX(vehicles!$I$2:$I$5,MATCH(A560,vehicles!$A$2:$A$5,0)))</f>
        <v/>
      </c>
      <c r="H560" t="inlineStr">
        <is>
          <t>fuel</t>
        </is>
      </c>
    </row>
    <row r="561">
      <c r="A561" s="5">
        <f>fillups!A561</f>
        <v/>
      </c>
      <c r="B561" s="5">
        <f>LEFT(fillups!C561,10)</f>
        <v/>
      </c>
      <c r="C561" t="inlineStr">
        <is>
          <t>fuel</t>
        </is>
      </c>
      <c r="D561" t="inlineStr">
        <is>
          <t>fillups</t>
        </is>
      </c>
      <c r="E561" s="21">
        <f>fillups!H561</f>
        <v/>
      </c>
      <c r="F561">
        <f>IF(B561="","",LEFT(B561,4))</f>
        <v/>
      </c>
      <c r="G561">
        <f>IF(A561="","",INDEX(vehicles!$I$2:$I$5,MATCH(A561,vehicles!$A$2:$A$5,0)))</f>
        <v/>
      </c>
      <c r="H561" t="inlineStr">
        <is>
          <t>fuel</t>
        </is>
      </c>
    </row>
    <row r="562">
      <c r="A562" s="5">
        <f>fillups!A562</f>
        <v/>
      </c>
      <c r="B562" s="5">
        <f>LEFT(fillups!C562,10)</f>
        <v/>
      </c>
      <c r="C562" t="inlineStr">
        <is>
          <t>fuel</t>
        </is>
      </c>
      <c r="D562" t="inlineStr">
        <is>
          <t>fillups</t>
        </is>
      </c>
      <c r="E562" s="21">
        <f>fillups!H562</f>
        <v/>
      </c>
      <c r="F562">
        <f>IF(B562="","",LEFT(B562,4))</f>
        <v/>
      </c>
      <c r="G562">
        <f>IF(A562="","",INDEX(vehicles!$I$2:$I$5,MATCH(A562,vehicles!$A$2:$A$5,0)))</f>
        <v/>
      </c>
      <c r="H562" t="inlineStr">
        <is>
          <t>fuel</t>
        </is>
      </c>
    </row>
    <row r="563">
      <c r="A563" s="5">
        <f>fillups!A563</f>
        <v/>
      </c>
      <c r="B563" s="5">
        <f>LEFT(fillups!C563,10)</f>
        <v/>
      </c>
      <c r="C563" t="inlineStr">
        <is>
          <t>fuel</t>
        </is>
      </c>
      <c r="D563" t="inlineStr">
        <is>
          <t>fillups</t>
        </is>
      </c>
      <c r="E563" s="21">
        <f>fillups!H563</f>
        <v/>
      </c>
      <c r="F563">
        <f>IF(B563="","",LEFT(B563,4))</f>
        <v/>
      </c>
      <c r="G563">
        <f>IF(A563="","",INDEX(vehicles!$I$2:$I$5,MATCH(A563,vehicles!$A$2:$A$5,0)))</f>
        <v/>
      </c>
      <c r="H563" t="inlineStr">
        <is>
          <t>fuel</t>
        </is>
      </c>
    </row>
    <row r="564">
      <c r="A564" s="5">
        <f>fillups!A564</f>
        <v/>
      </c>
      <c r="B564" s="5">
        <f>LEFT(fillups!C564,10)</f>
        <v/>
      </c>
      <c r="C564" t="inlineStr">
        <is>
          <t>fuel</t>
        </is>
      </c>
      <c r="D564" t="inlineStr">
        <is>
          <t>fillups</t>
        </is>
      </c>
      <c r="E564" s="21">
        <f>fillups!H564</f>
        <v/>
      </c>
      <c r="F564">
        <f>IF(B564="","",LEFT(B564,4))</f>
        <v/>
      </c>
      <c r="G564">
        <f>IF(A564="","",INDEX(vehicles!$I$2:$I$5,MATCH(A564,vehicles!$A$2:$A$5,0)))</f>
        <v/>
      </c>
      <c r="H564" t="inlineStr">
        <is>
          <t>fuel</t>
        </is>
      </c>
    </row>
    <row r="565">
      <c r="A565" s="5">
        <f>fillups!A565</f>
        <v/>
      </c>
      <c r="B565" s="5">
        <f>LEFT(fillups!C565,10)</f>
        <v/>
      </c>
      <c r="C565" t="inlineStr">
        <is>
          <t>fuel</t>
        </is>
      </c>
      <c r="D565" t="inlineStr">
        <is>
          <t>fillups</t>
        </is>
      </c>
      <c r="E565" s="21">
        <f>fillups!H565</f>
        <v/>
      </c>
      <c r="F565">
        <f>IF(B565="","",LEFT(B565,4))</f>
        <v/>
      </c>
      <c r="G565">
        <f>IF(A565="","",INDEX(vehicles!$I$2:$I$5,MATCH(A565,vehicles!$A$2:$A$5,0)))</f>
        <v/>
      </c>
      <c r="H565" t="inlineStr">
        <is>
          <t>fuel</t>
        </is>
      </c>
    </row>
    <row r="566">
      <c r="A566" s="5">
        <f>fillups!A566</f>
        <v/>
      </c>
      <c r="B566" s="5">
        <f>LEFT(fillups!C566,10)</f>
        <v/>
      </c>
      <c r="C566" t="inlineStr">
        <is>
          <t>fuel</t>
        </is>
      </c>
      <c r="D566" t="inlineStr">
        <is>
          <t>fillups</t>
        </is>
      </c>
      <c r="E566" s="21">
        <f>fillups!H566</f>
        <v/>
      </c>
      <c r="F566">
        <f>IF(B566="","",LEFT(B566,4))</f>
        <v/>
      </c>
      <c r="G566">
        <f>IF(A566="","",INDEX(vehicles!$I$2:$I$5,MATCH(A566,vehicles!$A$2:$A$5,0)))</f>
        <v/>
      </c>
      <c r="H566" t="inlineStr">
        <is>
          <t>fuel</t>
        </is>
      </c>
    </row>
    <row r="567">
      <c r="A567" s="5">
        <f>fillups!A567</f>
        <v/>
      </c>
      <c r="B567" s="5">
        <f>LEFT(fillups!C567,10)</f>
        <v/>
      </c>
      <c r="C567" t="inlineStr">
        <is>
          <t>fuel</t>
        </is>
      </c>
      <c r="D567" t="inlineStr">
        <is>
          <t>fillups</t>
        </is>
      </c>
      <c r="E567" s="21">
        <f>fillups!H567</f>
        <v/>
      </c>
      <c r="F567">
        <f>IF(B567="","",LEFT(B567,4))</f>
        <v/>
      </c>
      <c r="G567">
        <f>IF(A567="","",INDEX(vehicles!$I$2:$I$5,MATCH(A567,vehicles!$A$2:$A$5,0)))</f>
        <v/>
      </c>
      <c r="H567" t="inlineStr">
        <is>
          <t>fuel</t>
        </is>
      </c>
    </row>
    <row r="568">
      <c r="A568" s="5">
        <f>fillups!A568</f>
        <v/>
      </c>
      <c r="B568" s="5">
        <f>LEFT(fillups!C568,10)</f>
        <v/>
      </c>
      <c r="C568" t="inlineStr">
        <is>
          <t>fuel</t>
        </is>
      </c>
      <c r="D568" t="inlineStr">
        <is>
          <t>fillups</t>
        </is>
      </c>
      <c r="E568" s="21">
        <f>fillups!H568</f>
        <v/>
      </c>
      <c r="F568">
        <f>IF(B568="","",LEFT(B568,4))</f>
        <v/>
      </c>
      <c r="G568">
        <f>IF(A568="","",INDEX(vehicles!$I$2:$I$5,MATCH(A568,vehicles!$A$2:$A$5,0)))</f>
        <v/>
      </c>
      <c r="H568" t="inlineStr">
        <is>
          <t>fuel</t>
        </is>
      </c>
    </row>
    <row r="569">
      <c r="A569" s="5">
        <f>fillups!A569</f>
        <v/>
      </c>
      <c r="B569" s="5">
        <f>LEFT(fillups!C569,10)</f>
        <v/>
      </c>
      <c r="C569" t="inlineStr">
        <is>
          <t>fuel</t>
        </is>
      </c>
      <c r="D569" t="inlineStr">
        <is>
          <t>fillups</t>
        </is>
      </c>
      <c r="E569" s="21">
        <f>fillups!H569</f>
        <v/>
      </c>
      <c r="F569">
        <f>IF(B569="","",LEFT(B569,4))</f>
        <v/>
      </c>
      <c r="G569">
        <f>IF(A569="","",INDEX(vehicles!$I$2:$I$5,MATCH(A569,vehicles!$A$2:$A$5,0)))</f>
        <v/>
      </c>
      <c r="H569" t="inlineStr">
        <is>
          <t>fuel</t>
        </is>
      </c>
    </row>
    <row r="570">
      <c r="A570" s="5">
        <f>fillups!A570</f>
        <v/>
      </c>
      <c r="B570" s="5">
        <f>LEFT(fillups!C570,10)</f>
        <v/>
      </c>
      <c r="C570" t="inlineStr">
        <is>
          <t>fuel</t>
        </is>
      </c>
      <c r="D570" t="inlineStr">
        <is>
          <t>fillups</t>
        </is>
      </c>
      <c r="E570" s="21">
        <f>fillups!H570</f>
        <v/>
      </c>
      <c r="F570">
        <f>IF(B570="","",LEFT(B570,4))</f>
        <v/>
      </c>
      <c r="G570">
        <f>IF(A570="","",INDEX(vehicles!$I$2:$I$5,MATCH(A570,vehicles!$A$2:$A$5,0)))</f>
        <v/>
      </c>
      <c r="H570" t="inlineStr">
        <is>
          <t>fuel</t>
        </is>
      </c>
    </row>
    <row r="571">
      <c r="A571" s="5">
        <f>fillups!A571</f>
        <v/>
      </c>
      <c r="B571" s="5">
        <f>LEFT(fillups!C571,10)</f>
        <v/>
      </c>
      <c r="C571" t="inlineStr">
        <is>
          <t>fuel</t>
        </is>
      </c>
      <c r="D571" t="inlineStr">
        <is>
          <t>fillups</t>
        </is>
      </c>
      <c r="E571" s="21">
        <f>fillups!H571</f>
        <v/>
      </c>
      <c r="F571">
        <f>IF(B571="","",LEFT(B571,4))</f>
        <v/>
      </c>
      <c r="G571">
        <f>IF(A571="","",INDEX(vehicles!$I$2:$I$5,MATCH(A571,vehicles!$A$2:$A$5,0)))</f>
        <v/>
      </c>
      <c r="H571" t="inlineStr">
        <is>
          <t>fuel</t>
        </is>
      </c>
    </row>
    <row r="572">
      <c r="A572" s="5">
        <f>fillups!A572</f>
        <v/>
      </c>
      <c r="B572" s="5">
        <f>LEFT(fillups!C572,10)</f>
        <v/>
      </c>
      <c r="C572" t="inlineStr">
        <is>
          <t>fuel</t>
        </is>
      </c>
      <c r="D572" t="inlineStr">
        <is>
          <t>fillups</t>
        </is>
      </c>
      <c r="E572" s="21">
        <f>fillups!H572</f>
        <v/>
      </c>
      <c r="F572">
        <f>IF(B572="","",LEFT(B572,4))</f>
        <v/>
      </c>
      <c r="G572">
        <f>IF(A572="","",INDEX(vehicles!$I$2:$I$5,MATCH(A572,vehicles!$A$2:$A$5,0)))</f>
        <v/>
      </c>
      <c r="H572" t="inlineStr">
        <is>
          <t>fuel</t>
        </is>
      </c>
    </row>
    <row r="573">
      <c r="A573" s="5">
        <f>fillups!A573</f>
        <v/>
      </c>
      <c r="B573" s="5">
        <f>LEFT(fillups!C573,10)</f>
        <v/>
      </c>
      <c r="C573" t="inlineStr">
        <is>
          <t>fuel</t>
        </is>
      </c>
      <c r="D573" t="inlineStr">
        <is>
          <t>fillups</t>
        </is>
      </c>
      <c r="E573" s="21">
        <f>fillups!H573</f>
        <v/>
      </c>
      <c r="F573">
        <f>IF(B573="","",LEFT(B573,4))</f>
        <v/>
      </c>
      <c r="G573">
        <f>IF(A573="","",INDEX(vehicles!$I$2:$I$5,MATCH(A573,vehicles!$A$2:$A$5,0)))</f>
        <v/>
      </c>
      <c r="H573" t="inlineStr">
        <is>
          <t>fuel</t>
        </is>
      </c>
    </row>
    <row r="574">
      <c r="A574" s="5">
        <f>fillups!A574</f>
        <v/>
      </c>
      <c r="B574" s="5">
        <f>LEFT(fillups!C574,10)</f>
        <v/>
      </c>
      <c r="C574" t="inlineStr">
        <is>
          <t>fuel</t>
        </is>
      </c>
      <c r="D574" t="inlineStr">
        <is>
          <t>fillups</t>
        </is>
      </c>
      <c r="E574" s="21">
        <f>fillups!H574</f>
        <v/>
      </c>
      <c r="F574">
        <f>IF(B574="","",LEFT(B574,4))</f>
        <v/>
      </c>
      <c r="G574">
        <f>IF(A574="","",INDEX(vehicles!$I$2:$I$5,MATCH(A574,vehicles!$A$2:$A$5,0)))</f>
        <v/>
      </c>
      <c r="H574" t="inlineStr">
        <is>
          <t>fuel</t>
        </is>
      </c>
    </row>
    <row r="575">
      <c r="A575" s="5">
        <f>fillups!A575</f>
        <v/>
      </c>
      <c r="B575" s="5">
        <f>LEFT(fillups!C575,10)</f>
        <v/>
      </c>
      <c r="C575" t="inlineStr">
        <is>
          <t>fuel</t>
        </is>
      </c>
      <c r="D575" t="inlineStr">
        <is>
          <t>fillups</t>
        </is>
      </c>
      <c r="E575" s="21">
        <f>fillups!H575</f>
        <v/>
      </c>
      <c r="F575">
        <f>IF(B575="","",LEFT(B575,4))</f>
        <v/>
      </c>
      <c r="G575">
        <f>IF(A575="","",INDEX(vehicles!$I$2:$I$5,MATCH(A575,vehicles!$A$2:$A$5,0)))</f>
        <v/>
      </c>
      <c r="H575" t="inlineStr">
        <is>
          <t>fuel</t>
        </is>
      </c>
    </row>
    <row r="576">
      <c r="A576" s="5">
        <f>fillups!A576</f>
        <v/>
      </c>
      <c r="B576" s="5">
        <f>LEFT(fillups!C576,10)</f>
        <v/>
      </c>
      <c r="C576" t="inlineStr">
        <is>
          <t>fuel</t>
        </is>
      </c>
      <c r="D576" t="inlineStr">
        <is>
          <t>fillups</t>
        </is>
      </c>
      <c r="E576" s="21">
        <f>fillups!H576</f>
        <v/>
      </c>
      <c r="F576">
        <f>IF(B576="","",LEFT(B576,4))</f>
        <v/>
      </c>
      <c r="G576">
        <f>IF(A576="","",INDEX(vehicles!$I$2:$I$5,MATCH(A576,vehicles!$A$2:$A$5,0)))</f>
        <v/>
      </c>
      <c r="H576" t="inlineStr">
        <is>
          <t>fuel</t>
        </is>
      </c>
    </row>
    <row r="577">
      <c r="A577" s="5">
        <f>fillups!A577</f>
        <v/>
      </c>
      <c r="B577" s="5">
        <f>LEFT(fillups!C577,10)</f>
        <v/>
      </c>
      <c r="C577" t="inlineStr">
        <is>
          <t>fuel</t>
        </is>
      </c>
      <c r="D577" t="inlineStr">
        <is>
          <t>fillups</t>
        </is>
      </c>
      <c r="E577" s="21">
        <f>fillups!H577</f>
        <v/>
      </c>
      <c r="F577">
        <f>IF(B577="","",LEFT(B577,4))</f>
        <v/>
      </c>
      <c r="G577">
        <f>IF(A577="","",INDEX(vehicles!$I$2:$I$5,MATCH(A577,vehicles!$A$2:$A$5,0)))</f>
        <v/>
      </c>
      <c r="H577" t="inlineStr">
        <is>
          <t>fuel</t>
        </is>
      </c>
    </row>
    <row r="578">
      <c r="A578" s="5">
        <f>fillups!A578</f>
        <v/>
      </c>
      <c r="B578" s="5">
        <f>LEFT(fillups!C578,10)</f>
        <v/>
      </c>
      <c r="C578" t="inlineStr">
        <is>
          <t>fuel</t>
        </is>
      </c>
      <c r="D578" t="inlineStr">
        <is>
          <t>fillups</t>
        </is>
      </c>
      <c r="E578" s="21">
        <f>fillups!H578</f>
        <v/>
      </c>
      <c r="F578">
        <f>IF(B578="","",LEFT(B578,4))</f>
        <v/>
      </c>
      <c r="G578">
        <f>IF(A578="","",INDEX(vehicles!$I$2:$I$5,MATCH(A578,vehicles!$A$2:$A$5,0)))</f>
        <v/>
      </c>
      <c r="H578" t="inlineStr">
        <is>
          <t>fuel</t>
        </is>
      </c>
    </row>
    <row r="579">
      <c r="A579" s="5">
        <f>fillups!A579</f>
        <v/>
      </c>
      <c r="B579" s="5">
        <f>LEFT(fillups!C579,10)</f>
        <v/>
      </c>
      <c r="C579" t="inlineStr">
        <is>
          <t>fuel</t>
        </is>
      </c>
      <c r="D579" t="inlineStr">
        <is>
          <t>fillups</t>
        </is>
      </c>
      <c r="E579" s="21">
        <f>fillups!H579</f>
        <v/>
      </c>
      <c r="F579">
        <f>IF(B579="","",LEFT(B579,4))</f>
        <v/>
      </c>
      <c r="G579">
        <f>IF(A579="","",INDEX(vehicles!$I$2:$I$5,MATCH(A579,vehicles!$A$2:$A$5,0)))</f>
        <v/>
      </c>
      <c r="H579" t="inlineStr">
        <is>
          <t>fuel</t>
        </is>
      </c>
    </row>
    <row r="580">
      <c r="A580" s="5">
        <f>fillups!A580</f>
        <v/>
      </c>
      <c r="B580" s="5">
        <f>LEFT(fillups!C580,10)</f>
        <v/>
      </c>
      <c r="C580" t="inlineStr">
        <is>
          <t>fuel</t>
        </is>
      </c>
      <c r="D580" t="inlineStr">
        <is>
          <t>fillups</t>
        </is>
      </c>
      <c r="E580" s="21">
        <f>fillups!H580</f>
        <v/>
      </c>
      <c r="F580">
        <f>IF(B580="","",LEFT(B580,4))</f>
        <v/>
      </c>
      <c r="G580">
        <f>IF(A580="","",INDEX(vehicles!$I$2:$I$5,MATCH(A580,vehicles!$A$2:$A$5,0)))</f>
        <v/>
      </c>
      <c r="H580" t="inlineStr">
        <is>
          <t>fuel</t>
        </is>
      </c>
    </row>
    <row r="581">
      <c r="A581" s="5">
        <f>fillups!A581</f>
        <v/>
      </c>
      <c r="B581" s="5">
        <f>LEFT(fillups!C581,10)</f>
        <v/>
      </c>
      <c r="C581" t="inlineStr">
        <is>
          <t>fuel</t>
        </is>
      </c>
      <c r="D581" t="inlineStr">
        <is>
          <t>fillups</t>
        </is>
      </c>
      <c r="E581" s="21">
        <f>fillups!H581</f>
        <v/>
      </c>
      <c r="F581">
        <f>IF(B581="","",LEFT(B581,4))</f>
        <v/>
      </c>
      <c r="G581">
        <f>IF(A581="","",INDEX(vehicles!$I$2:$I$5,MATCH(A581,vehicles!$A$2:$A$5,0)))</f>
        <v/>
      </c>
      <c r="H581" t="inlineStr">
        <is>
          <t>fuel</t>
        </is>
      </c>
    </row>
    <row r="582">
      <c r="A582" s="5">
        <f>fillups!A582</f>
        <v/>
      </c>
      <c r="B582" s="5">
        <f>LEFT(fillups!C582,10)</f>
        <v/>
      </c>
      <c r="C582" t="inlineStr">
        <is>
          <t>fuel</t>
        </is>
      </c>
      <c r="D582" t="inlineStr">
        <is>
          <t>fillups</t>
        </is>
      </c>
      <c r="E582" s="21">
        <f>fillups!H582</f>
        <v/>
      </c>
      <c r="F582">
        <f>IF(B582="","",LEFT(B582,4))</f>
        <v/>
      </c>
      <c r="G582">
        <f>IF(A582="","",INDEX(vehicles!$I$2:$I$5,MATCH(A582,vehicles!$A$2:$A$5,0)))</f>
        <v/>
      </c>
      <c r="H582" t="inlineStr">
        <is>
          <t>fuel</t>
        </is>
      </c>
    </row>
    <row r="583">
      <c r="A583" s="5">
        <f>fillups!A583</f>
        <v/>
      </c>
      <c r="B583" s="5">
        <f>LEFT(fillups!C583,10)</f>
        <v/>
      </c>
      <c r="C583" t="inlineStr">
        <is>
          <t>fuel</t>
        </is>
      </c>
      <c r="D583" t="inlineStr">
        <is>
          <t>fillups</t>
        </is>
      </c>
      <c r="E583" s="21">
        <f>fillups!H583</f>
        <v/>
      </c>
      <c r="F583">
        <f>IF(B583="","",LEFT(B583,4))</f>
        <v/>
      </c>
      <c r="G583">
        <f>IF(A583="","",INDEX(vehicles!$I$2:$I$5,MATCH(A583,vehicles!$A$2:$A$5,0)))</f>
        <v/>
      </c>
      <c r="H583" t="inlineStr">
        <is>
          <t>fuel</t>
        </is>
      </c>
    </row>
    <row r="584">
      <c r="A584" s="5">
        <f>fillups!A584</f>
        <v/>
      </c>
      <c r="B584" s="5">
        <f>LEFT(fillups!C584,10)</f>
        <v/>
      </c>
      <c r="C584" t="inlineStr">
        <is>
          <t>fuel</t>
        </is>
      </c>
      <c r="D584" t="inlineStr">
        <is>
          <t>fillups</t>
        </is>
      </c>
      <c r="E584" s="21">
        <f>fillups!H584</f>
        <v/>
      </c>
      <c r="F584">
        <f>IF(B584="","",LEFT(B584,4))</f>
        <v/>
      </c>
      <c r="G584">
        <f>IF(A584="","",INDEX(vehicles!$I$2:$I$5,MATCH(A584,vehicles!$A$2:$A$5,0)))</f>
        <v/>
      </c>
      <c r="H584" t="inlineStr">
        <is>
          <t>fuel</t>
        </is>
      </c>
    </row>
    <row r="585">
      <c r="A585" s="5">
        <f>fillups!A585</f>
        <v/>
      </c>
      <c r="B585" s="5">
        <f>LEFT(fillups!C585,10)</f>
        <v/>
      </c>
      <c r="C585" t="inlineStr">
        <is>
          <t>fuel</t>
        </is>
      </c>
      <c r="D585" t="inlineStr">
        <is>
          <t>fillups</t>
        </is>
      </c>
      <c r="E585" s="21">
        <f>fillups!H585</f>
        <v/>
      </c>
      <c r="F585">
        <f>IF(B585="","",LEFT(B585,4))</f>
        <v/>
      </c>
      <c r="G585">
        <f>IF(A585="","",INDEX(vehicles!$I$2:$I$5,MATCH(A585,vehicles!$A$2:$A$5,0)))</f>
        <v/>
      </c>
      <c r="H585" t="inlineStr">
        <is>
          <t>fuel</t>
        </is>
      </c>
    </row>
    <row r="586">
      <c r="A586" s="5">
        <f>fillups!A586</f>
        <v/>
      </c>
      <c r="B586" s="5">
        <f>LEFT(fillups!C586,10)</f>
        <v/>
      </c>
      <c r="C586" t="inlineStr">
        <is>
          <t>fuel</t>
        </is>
      </c>
      <c r="D586" t="inlineStr">
        <is>
          <t>fillups</t>
        </is>
      </c>
      <c r="E586" s="21">
        <f>fillups!H586</f>
        <v/>
      </c>
      <c r="F586">
        <f>IF(B586="","",LEFT(B586,4))</f>
        <v/>
      </c>
      <c r="G586">
        <f>IF(A586="","",INDEX(vehicles!$I$2:$I$5,MATCH(A586,vehicles!$A$2:$A$5,0)))</f>
        <v/>
      </c>
      <c r="H586" t="inlineStr">
        <is>
          <t>fuel</t>
        </is>
      </c>
    </row>
    <row r="587">
      <c r="A587" s="5">
        <f>fillups!A587</f>
        <v/>
      </c>
      <c r="B587" s="5">
        <f>LEFT(fillups!C587,10)</f>
        <v/>
      </c>
      <c r="C587" t="inlineStr">
        <is>
          <t>fuel</t>
        </is>
      </c>
      <c r="D587" t="inlineStr">
        <is>
          <t>fillups</t>
        </is>
      </c>
      <c r="E587" s="21">
        <f>fillups!H587</f>
        <v/>
      </c>
      <c r="F587">
        <f>IF(B587="","",LEFT(B587,4))</f>
        <v/>
      </c>
      <c r="G587">
        <f>IF(A587="","",INDEX(vehicles!$I$2:$I$5,MATCH(A587,vehicles!$A$2:$A$5,0)))</f>
        <v/>
      </c>
      <c r="H587" t="inlineStr">
        <is>
          <t>fuel</t>
        </is>
      </c>
    </row>
    <row r="588">
      <c r="A588" s="5">
        <f>fillups!A588</f>
        <v/>
      </c>
      <c r="B588" s="5">
        <f>LEFT(fillups!C588,10)</f>
        <v/>
      </c>
      <c r="C588" t="inlineStr">
        <is>
          <t>fuel</t>
        </is>
      </c>
      <c r="D588" t="inlineStr">
        <is>
          <t>fillups</t>
        </is>
      </c>
      <c r="E588" s="21">
        <f>fillups!H588</f>
        <v/>
      </c>
      <c r="F588">
        <f>IF(B588="","",LEFT(B588,4))</f>
        <v/>
      </c>
      <c r="G588">
        <f>IF(A588="","",INDEX(vehicles!$I$2:$I$5,MATCH(A588,vehicles!$A$2:$A$5,0)))</f>
        <v/>
      </c>
      <c r="H588" t="inlineStr">
        <is>
          <t>fuel</t>
        </is>
      </c>
    </row>
    <row r="589">
      <c r="A589" s="5">
        <f>fillups!A589</f>
        <v/>
      </c>
      <c r="B589" s="5">
        <f>LEFT(fillups!C589,10)</f>
        <v/>
      </c>
      <c r="C589" t="inlineStr">
        <is>
          <t>fuel</t>
        </is>
      </c>
      <c r="D589" t="inlineStr">
        <is>
          <t>fillups</t>
        </is>
      </c>
      <c r="E589" s="21">
        <f>fillups!H589</f>
        <v/>
      </c>
      <c r="F589">
        <f>IF(B589="","",LEFT(B589,4))</f>
        <v/>
      </c>
      <c r="G589">
        <f>IF(A589="","",INDEX(vehicles!$I$2:$I$5,MATCH(A589,vehicles!$A$2:$A$5,0)))</f>
        <v/>
      </c>
      <c r="H589" t="inlineStr">
        <is>
          <t>fuel</t>
        </is>
      </c>
    </row>
    <row r="590">
      <c r="A590" s="5">
        <f>fillups!A590</f>
        <v/>
      </c>
      <c r="B590" s="5">
        <f>LEFT(fillups!C590,10)</f>
        <v/>
      </c>
      <c r="C590" t="inlineStr">
        <is>
          <t>fuel</t>
        </is>
      </c>
      <c r="D590" t="inlineStr">
        <is>
          <t>fillups</t>
        </is>
      </c>
      <c r="E590" s="21">
        <f>fillups!H590</f>
        <v/>
      </c>
      <c r="F590">
        <f>IF(B590="","",LEFT(B590,4))</f>
        <v/>
      </c>
      <c r="G590">
        <f>IF(A590="","",INDEX(vehicles!$I$2:$I$5,MATCH(A590,vehicles!$A$2:$A$5,0)))</f>
        <v/>
      </c>
      <c r="H590" t="inlineStr">
        <is>
          <t>fuel</t>
        </is>
      </c>
    </row>
    <row r="591">
      <c r="A591" s="5">
        <f>fillups!A591</f>
        <v/>
      </c>
      <c r="B591" s="5">
        <f>LEFT(fillups!C591,10)</f>
        <v/>
      </c>
      <c r="C591" t="inlineStr">
        <is>
          <t>fuel</t>
        </is>
      </c>
      <c r="D591" t="inlineStr">
        <is>
          <t>fillups</t>
        </is>
      </c>
      <c r="E591" s="21">
        <f>fillups!H591</f>
        <v/>
      </c>
      <c r="F591">
        <f>IF(B591="","",LEFT(B591,4))</f>
        <v/>
      </c>
      <c r="G591">
        <f>IF(A591="","",INDEX(vehicles!$I$2:$I$5,MATCH(A591,vehicles!$A$2:$A$5,0)))</f>
        <v/>
      </c>
      <c r="H591" t="inlineStr">
        <is>
          <t>fuel</t>
        </is>
      </c>
    </row>
    <row r="592">
      <c r="A592" s="5">
        <f>fillups!A592</f>
        <v/>
      </c>
      <c r="B592" s="5">
        <f>LEFT(fillups!C592,10)</f>
        <v/>
      </c>
      <c r="C592" t="inlineStr">
        <is>
          <t>fuel</t>
        </is>
      </c>
      <c r="D592" t="inlineStr">
        <is>
          <t>fillups</t>
        </is>
      </c>
      <c r="E592" s="21">
        <f>fillups!H592</f>
        <v/>
      </c>
      <c r="F592">
        <f>IF(B592="","",LEFT(B592,4))</f>
        <v/>
      </c>
      <c r="G592">
        <f>IF(A592="","",INDEX(vehicles!$I$2:$I$5,MATCH(A592,vehicles!$A$2:$A$5,0)))</f>
        <v/>
      </c>
      <c r="H592" t="inlineStr">
        <is>
          <t>fuel</t>
        </is>
      </c>
    </row>
    <row r="593">
      <c r="A593" s="5">
        <f>fillups!A593</f>
        <v/>
      </c>
      <c r="B593" s="5">
        <f>LEFT(fillups!C593,10)</f>
        <v/>
      </c>
      <c r="C593" t="inlineStr">
        <is>
          <t>fuel</t>
        </is>
      </c>
      <c r="D593" t="inlineStr">
        <is>
          <t>fillups</t>
        </is>
      </c>
      <c r="E593" s="21">
        <f>fillups!H593</f>
        <v/>
      </c>
      <c r="F593">
        <f>IF(B593="","",LEFT(B593,4))</f>
        <v/>
      </c>
      <c r="G593">
        <f>IF(A593="","",INDEX(vehicles!$I$2:$I$5,MATCH(A593,vehicles!$A$2:$A$5,0)))</f>
        <v/>
      </c>
      <c r="H593" t="inlineStr">
        <is>
          <t>fuel</t>
        </is>
      </c>
    </row>
    <row r="594">
      <c r="A594" s="5">
        <f>fillups!A594</f>
        <v/>
      </c>
      <c r="B594" s="5">
        <f>LEFT(fillups!C594,10)</f>
        <v/>
      </c>
      <c r="C594" t="inlineStr">
        <is>
          <t>fuel</t>
        </is>
      </c>
      <c r="D594" t="inlineStr">
        <is>
          <t>fillups</t>
        </is>
      </c>
      <c r="E594" s="21">
        <f>fillups!H594</f>
        <v/>
      </c>
      <c r="F594">
        <f>IF(B594="","",LEFT(B594,4))</f>
        <v/>
      </c>
      <c r="G594">
        <f>IF(A594="","",INDEX(vehicles!$I$2:$I$5,MATCH(A594,vehicles!$A$2:$A$5,0)))</f>
        <v/>
      </c>
      <c r="H594" t="inlineStr">
        <is>
          <t>fuel</t>
        </is>
      </c>
    </row>
    <row r="595">
      <c r="A595" s="5">
        <f>fillups!A595</f>
        <v/>
      </c>
      <c r="B595" s="5">
        <f>LEFT(fillups!C595,10)</f>
        <v/>
      </c>
      <c r="C595" t="inlineStr">
        <is>
          <t>fuel</t>
        </is>
      </c>
      <c r="D595" t="inlineStr">
        <is>
          <t>fillups</t>
        </is>
      </c>
      <c r="E595" s="21">
        <f>fillups!H595</f>
        <v/>
      </c>
      <c r="F595">
        <f>IF(B595="","",LEFT(B595,4))</f>
        <v/>
      </c>
      <c r="G595">
        <f>IF(A595="","",INDEX(vehicles!$I$2:$I$5,MATCH(A595,vehicles!$A$2:$A$5,0)))</f>
        <v/>
      </c>
      <c r="H595" t="inlineStr">
        <is>
          <t>fuel</t>
        </is>
      </c>
    </row>
    <row r="596">
      <c r="A596" s="5">
        <f>fillups!A596</f>
        <v/>
      </c>
      <c r="B596" s="5">
        <f>LEFT(fillups!C596,10)</f>
        <v/>
      </c>
      <c r="C596" t="inlineStr">
        <is>
          <t>fuel</t>
        </is>
      </c>
      <c r="D596" t="inlineStr">
        <is>
          <t>fillups</t>
        </is>
      </c>
      <c r="E596" s="21">
        <f>fillups!H596</f>
        <v/>
      </c>
      <c r="F596">
        <f>IF(B596="","",LEFT(B596,4))</f>
        <v/>
      </c>
      <c r="G596">
        <f>IF(A596="","",INDEX(vehicles!$I$2:$I$5,MATCH(A596,vehicles!$A$2:$A$5,0)))</f>
        <v/>
      </c>
      <c r="H596" t="inlineStr">
        <is>
          <t>fuel</t>
        </is>
      </c>
    </row>
    <row r="597">
      <c r="A597" s="5">
        <f>expenses!A2</f>
        <v/>
      </c>
      <c r="B597" s="5">
        <f>LEFT(expenses!B2,10)</f>
        <v/>
      </c>
      <c r="C597" t="inlineStr">
        <is>
          <t>other</t>
        </is>
      </c>
      <c r="D597" t="inlineStr">
        <is>
          <t>expenses</t>
        </is>
      </c>
      <c r="E597" s="21">
        <f>expenses!D2</f>
        <v/>
      </c>
      <c r="F597">
        <f>IF(B597="","",LEFT(B597,4))</f>
        <v/>
      </c>
      <c r="G597">
        <f>IF(A597="","",INDEX(vehicles!$I$2:$I$5,MATCH(A597,vehicles!$A$2:$A$5,0)))</f>
        <v/>
      </c>
      <c r="H597">
        <f>expenses!C2</f>
        <v/>
      </c>
    </row>
    <row r="598">
      <c r="A598" s="5">
        <f>expenses!A3</f>
        <v/>
      </c>
      <c r="B598" s="5">
        <f>LEFT(expenses!B3,10)</f>
        <v/>
      </c>
      <c r="C598" t="inlineStr">
        <is>
          <t>other</t>
        </is>
      </c>
      <c r="D598" t="inlineStr">
        <is>
          <t>expenses</t>
        </is>
      </c>
      <c r="E598" s="21">
        <f>expenses!D3</f>
        <v/>
      </c>
      <c r="F598">
        <f>IF(B598="","",LEFT(B598,4))</f>
        <v/>
      </c>
      <c r="G598">
        <f>IF(A598="","",INDEX(vehicles!$I$2:$I$5,MATCH(A598,vehicles!$A$2:$A$5,0)))</f>
        <v/>
      </c>
      <c r="H598">
        <f>expenses!C3</f>
        <v/>
      </c>
    </row>
    <row r="599">
      <c r="A599" s="5">
        <f>expenses!A4</f>
        <v/>
      </c>
      <c r="B599" s="5">
        <f>LEFT(expenses!B4,10)</f>
        <v/>
      </c>
      <c r="C599" t="inlineStr">
        <is>
          <t>other</t>
        </is>
      </c>
      <c r="D599" t="inlineStr">
        <is>
          <t>expenses</t>
        </is>
      </c>
      <c r="E599" s="21">
        <f>expenses!D4</f>
        <v/>
      </c>
      <c r="F599">
        <f>IF(B599="","",LEFT(B599,4))</f>
        <v/>
      </c>
      <c r="G599">
        <f>IF(A599="","",INDEX(vehicles!$I$2:$I$5,MATCH(A599,vehicles!$A$2:$A$5,0)))</f>
        <v/>
      </c>
      <c r="H599">
        <f>expenses!C4</f>
        <v/>
      </c>
    </row>
    <row r="600">
      <c r="A600" s="5">
        <f>expenses!A5</f>
        <v/>
      </c>
      <c r="B600" s="5">
        <f>LEFT(expenses!B5,10)</f>
        <v/>
      </c>
      <c r="C600" t="inlineStr">
        <is>
          <t>other</t>
        </is>
      </c>
      <c r="D600" t="inlineStr">
        <is>
          <t>expenses</t>
        </is>
      </c>
      <c r="E600" s="21">
        <f>expenses!D5</f>
        <v/>
      </c>
      <c r="F600">
        <f>IF(B600="","",LEFT(B600,4))</f>
        <v/>
      </c>
      <c r="G600">
        <f>IF(A600="","",INDEX(vehicles!$I$2:$I$5,MATCH(A600,vehicles!$A$2:$A$5,0)))</f>
        <v/>
      </c>
      <c r="H600">
        <f>expenses!C5</f>
        <v/>
      </c>
    </row>
    <row r="601">
      <c r="A601" s="5">
        <f>expenses!A6</f>
        <v/>
      </c>
      <c r="B601" s="5">
        <f>LEFT(expenses!B6,10)</f>
        <v/>
      </c>
      <c r="C601" t="inlineStr">
        <is>
          <t>other</t>
        </is>
      </c>
      <c r="D601" t="inlineStr">
        <is>
          <t>expenses</t>
        </is>
      </c>
      <c r="E601" s="21">
        <f>expenses!D6</f>
        <v/>
      </c>
      <c r="F601">
        <f>IF(B601="","",LEFT(B601,4))</f>
        <v/>
      </c>
      <c r="G601">
        <f>IF(A601="","",INDEX(vehicles!$I$2:$I$5,MATCH(A601,vehicles!$A$2:$A$5,0)))</f>
        <v/>
      </c>
      <c r="H601">
        <f>expenses!C6</f>
        <v/>
      </c>
    </row>
    <row r="602">
      <c r="A602" s="5">
        <f>expenses!A7</f>
        <v/>
      </c>
      <c r="B602" s="5">
        <f>LEFT(expenses!B7,10)</f>
        <v/>
      </c>
      <c r="C602" t="inlineStr">
        <is>
          <t>other</t>
        </is>
      </c>
      <c r="D602" t="inlineStr">
        <is>
          <t>expenses</t>
        </is>
      </c>
      <c r="E602" s="21">
        <f>expenses!D7</f>
        <v/>
      </c>
      <c r="F602">
        <f>IF(B602="","",LEFT(B602,4))</f>
        <v/>
      </c>
      <c r="G602">
        <f>IF(A602="","",INDEX(vehicles!$I$2:$I$5,MATCH(A602,vehicles!$A$2:$A$5,0)))</f>
        <v/>
      </c>
      <c r="H602">
        <f>expenses!C7</f>
        <v/>
      </c>
    </row>
    <row r="603">
      <c r="A603" s="5">
        <f>expenses!A8</f>
        <v/>
      </c>
      <c r="B603" s="5">
        <f>LEFT(expenses!B8,10)</f>
        <v/>
      </c>
      <c r="C603" t="inlineStr">
        <is>
          <t>other</t>
        </is>
      </c>
      <c r="D603" t="inlineStr">
        <is>
          <t>expenses</t>
        </is>
      </c>
      <c r="E603" s="21">
        <f>expenses!D8</f>
        <v/>
      </c>
      <c r="F603">
        <f>IF(B603="","",LEFT(B603,4))</f>
        <v/>
      </c>
      <c r="G603">
        <f>IF(A603="","",INDEX(vehicles!$I$2:$I$5,MATCH(A603,vehicles!$A$2:$A$5,0)))</f>
        <v/>
      </c>
      <c r="H603">
        <f>expenses!C8</f>
        <v/>
      </c>
    </row>
    <row r="604">
      <c r="A604" s="5">
        <f>expenses!A9</f>
        <v/>
      </c>
      <c r="B604" s="5">
        <f>LEFT(expenses!B9,10)</f>
        <v/>
      </c>
      <c r="C604" t="inlineStr">
        <is>
          <t>other</t>
        </is>
      </c>
      <c r="D604" t="inlineStr">
        <is>
          <t>expenses</t>
        </is>
      </c>
      <c r="E604" s="21">
        <f>expenses!D9</f>
        <v/>
      </c>
      <c r="F604">
        <f>IF(B604="","",LEFT(B604,4))</f>
        <v/>
      </c>
      <c r="G604">
        <f>IF(A604="","",INDEX(vehicles!$I$2:$I$5,MATCH(A604,vehicles!$A$2:$A$5,0)))</f>
        <v/>
      </c>
      <c r="H604">
        <f>expenses!C9</f>
        <v/>
      </c>
    </row>
    <row r="605">
      <c r="A605" s="5">
        <f>expenses!A10</f>
        <v/>
      </c>
      <c r="B605" s="5">
        <f>LEFT(expenses!B10,10)</f>
        <v/>
      </c>
      <c r="C605" t="inlineStr">
        <is>
          <t>other</t>
        </is>
      </c>
      <c r="D605" t="inlineStr">
        <is>
          <t>expenses</t>
        </is>
      </c>
      <c r="E605" s="21">
        <f>expenses!D10</f>
        <v/>
      </c>
      <c r="F605">
        <f>IF(B605="","",LEFT(B605,4))</f>
        <v/>
      </c>
      <c r="G605">
        <f>IF(A605="","",INDEX(vehicles!$I$2:$I$5,MATCH(A605,vehicles!$A$2:$A$5,0)))</f>
        <v/>
      </c>
      <c r="H605">
        <f>expenses!C10</f>
        <v/>
      </c>
    </row>
    <row r="606">
      <c r="A606" s="5">
        <f>expenses!A11</f>
        <v/>
      </c>
      <c r="B606" s="5">
        <f>LEFT(expenses!B11,10)</f>
        <v/>
      </c>
      <c r="C606" t="inlineStr">
        <is>
          <t>other</t>
        </is>
      </c>
      <c r="D606" t="inlineStr">
        <is>
          <t>expenses</t>
        </is>
      </c>
      <c r="E606" s="21">
        <f>expenses!D11</f>
        <v/>
      </c>
      <c r="F606">
        <f>IF(B606="","",LEFT(B606,4))</f>
        <v/>
      </c>
      <c r="G606">
        <f>IF(A606="","",INDEX(vehicles!$I$2:$I$5,MATCH(A606,vehicles!$A$2:$A$5,0)))</f>
        <v/>
      </c>
      <c r="H606">
        <f>expenses!C11</f>
        <v/>
      </c>
    </row>
    <row r="607">
      <c r="A607" s="5">
        <f>expenses!A12</f>
        <v/>
      </c>
      <c r="B607" s="5">
        <f>LEFT(expenses!B12,10)</f>
        <v/>
      </c>
      <c r="C607" t="inlineStr">
        <is>
          <t>other</t>
        </is>
      </c>
      <c r="D607" t="inlineStr">
        <is>
          <t>expenses</t>
        </is>
      </c>
      <c r="E607" s="21">
        <f>expenses!D12</f>
        <v/>
      </c>
      <c r="F607">
        <f>IF(B607="","",LEFT(B607,4))</f>
        <v/>
      </c>
      <c r="G607">
        <f>IF(A607="","",INDEX(vehicles!$I$2:$I$5,MATCH(A607,vehicles!$A$2:$A$5,0)))</f>
        <v/>
      </c>
      <c r="H607">
        <f>expenses!C12</f>
        <v/>
      </c>
    </row>
    <row r="608">
      <c r="A608" s="5">
        <f>expenses!A13</f>
        <v/>
      </c>
      <c r="B608" s="5">
        <f>LEFT(expenses!B13,10)</f>
        <v/>
      </c>
      <c r="C608" t="inlineStr">
        <is>
          <t>other</t>
        </is>
      </c>
      <c r="D608" t="inlineStr">
        <is>
          <t>expenses</t>
        </is>
      </c>
      <c r="E608" s="21">
        <f>expenses!D13</f>
        <v/>
      </c>
      <c r="F608">
        <f>IF(B608="","",LEFT(B608,4))</f>
        <v/>
      </c>
      <c r="G608">
        <f>IF(A608="","",INDEX(vehicles!$I$2:$I$5,MATCH(A608,vehicles!$A$2:$A$5,0)))</f>
        <v/>
      </c>
      <c r="H608">
        <f>expenses!C13</f>
        <v/>
      </c>
    </row>
    <row r="609">
      <c r="A609" s="5">
        <f>expenses!A14</f>
        <v/>
      </c>
      <c r="B609" s="5">
        <f>LEFT(expenses!B14,10)</f>
        <v/>
      </c>
      <c r="C609" t="inlineStr">
        <is>
          <t>other</t>
        </is>
      </c>
      <c r="D609" t="inlineStr">
        <is>
          <t>expenses</t>
        </is>
      </c>
      <c r="E609" s="21">
        <f>expenses!D14</f>
        <v/>
      </c>
      <c r="F609">
        <f>IF(B609="","",LEFT(B609,4))</f>
        <v/>
      </c>
      <c r="G609">
        <f>IF(A609="","",INDEX(vehicles!$I$2:$I$5,MATCH(A609,vehicles!$A$2:$A$5,0)))</f>
        <v/>
      </c>
      <c r="H609">
        <f>expenses!C14</f>
        <v/>
      </c>
    </row>
    <row r="610">
      <c r="A610" s="5">
        <f>expenses!A15</f>
        <v/>
      </c>
      <c r="B610" s="5">
        <f>LEFT(expenses!B15,10)</f>
        <v/>
      </c>
      <c r="C610" t="inlineStr">
        <is>
          <t>other</t>
        </is>
      </c>
      <c r="D610" t="inlineStr">
        <is>
          <t>expenses</t>
        </is>
      </c>
      <c r="E610" s="21">
        <f>expenses!D15</f>
        <v/>
      </c>
      <c r="F610">
        <f>IF(B610="","",LEFT(B610,4))</f>
        <v/>
      </c>
      <c r="G610">
        <f>IF(A610="","",INDEX(vehicles!$I$2:$I$5,MATCH(A610,vehicles!$A$2:$A$5,0)))</f>
        <v/>
      </c>
      <c r="H610">
        <f>expenses!C15</f>
        <v/>
      </c>
    </row>
    <row r="611">
      <c r="A611" s="5">
        <f>expenses!A16</f>
        <v/>
      </c>
      <c r="B611" s="5">
        <f>LEFT(expenses!B16,10)</f>
        <v/>
      </c>
      <c r="C611" t="inlineStr">
        <is>
          <t>other</t>
        </is>
      </c>
      <c r="D611" t="inlineStr">
        <is>
          <t>expenses</t>
        </is>
      </c>
      <c r="E611" s="21">
        <f>expenses!D16</f>
        <v/>
      </c>
      <c r="F611">
        <f>IF(B611="","",LEFT(B611,4))</f>
        <v/>
      </c>
      <c r="G611">
        <f>IF(A611="","",INDEX(vehicles!$I$2:$I$5,MATCH(A611,vehicles!$A$2:$A$5,0)))</f>
        <v/>
      </c>
      <c r="H611">
        <f>expenses!C16</f>
        <v/>
      </c>
    </row>
    <row r="612">
      <c r="A612" s="5">
        <f>expenses!A17</f>
        <v/>
      </c>
      <c r="B612" s="5">
        <f>LEFT(expenses!B17,10)</f>
        <v/>
      </c>
      <c r="C612" t="inlineStr">
        <is>
          <t>other</t>
        </is>
      </c>
      <c r="D612" t="inlineStr">
        <is>
          <t>expenses</t>
        </is>
      </c>
      <c r="E612" s="21">
        <f>expenses!D17</f>
        <v/>
      </c>
      <c r="F612">
        <f>IF(B612="","",LEFT(B612,4))</f>
        <v/>
      </c>
      <c r="G612">
        <f>IF(A612="","",INDEX(vehicles!$I$2:$I$5,MATCH(A612,vehicles!$A$2:$A$5,0)))</f>
        <v/>
      </c>
      <c r="H612">
        <f>expenses!C17</f>
        <v/>
      </c>
    </row>
    <row r="613">
      <c r="A613" s="5">
        <f>expenses!A18</f>
        <v/>
      </c>
      <c r="B613" s="5">
        <f>LEFT(expenses!B18,10)</f>
        <v/>
      </c>
      <c r="C613" t="inlineStr">
        <is>
          <t>other</t>
        </is>
      </c>
      <c r="D613" t="inlineStr">
        <is>
          <t>expenses</t>
        </is>
      </c>
      <c r="E613" s="21">
        <f>expenses!D18</f>
        <v/>
      </c>
      <c r="F613">
        <f>IF(B613="","",LEFT(B613,4))</f>
        <v/>
      </c>
      <c r="G613">
        <f>IF(A613="","",INDEX(vehicles!$I$2:$I$5,MATCH(A613,vehicles!$A$2:$A$5,0)))</f>
        <v/>
      </c>
      <c r="H613">
        <f>expenses!C18</f>
        <v/>
      </c>
    </row>
    <row r="614">
      <c r="A614" s="5">
        <f>expenses!A19</f>
        <v/>
      </c>
      <c r="B614" s="5">
        <f>LEFT(expenses!B19,10)</f>
        <v/>
      </c>
      <c r="C614" t="inlineStr">
        <is>
          <t>other</t>
        </is>
      </c>
      <c r="D614" t="inlineStr">
        <is>
          <t>expenses</t>
        </is>
      </c>
      <c r="E614" s="21">
        <f>expenses!D19</f>
        <v/>
      </c>
      <c r="F614">
        <f>IF(B614="","",LEFT(B614,4))</f>
        <v/>
      </c>
      <c r="G614">
        <f>IF(A614="","",INDEX(vehicles!$I$2:$I$5,MATCH(A614,vehicles!$A$2:$A$5,0)))</f>
        <v/>
      </c>
      <c r="H614">
        <f>expenses!C19</f>
        <v/>
      </c>
    </row>
    <row r="615">
      <c r="A615" s="5">
        <f>expenses!A20</f>
        <v/>
      </c>
      <c r="B615" s="5">
        <f>LEFT(expenses!B20,10)</f>
        <v/>
      </c>
      <c r="C615" t="inlineStr">
        <is>
          <t>other</t>
        </is>
      </c>
      <c r="D615" t="inlineStr">
        <is>
          <t>expenses</t>
        </is>
      </c>
      <c r="E615" s="21">
        <f>expenses!D20</f>
        <v/>
      </c>
      <c r="F615">
        <f>IF(B615="","",LEFT(B615,4))</f>
        <v/>
      </c>
      <c r="G615">
        <f>IF(A615="","",INDEX(vehicles!$I$2:$I$5,MATCH(A615,vehicles!$A$2:$A$5,0)))</f>
        <v/>
      </c>
      <c r="H615">
        <f>expenses!C20</f>
        <v/>
      </c>
    </row>
    <row r="616">
      <c r="A616" s="5">
        <f>expenses!A21</f>
        <v/>
      </c>
      <c r="B616" s="5">
        <f>LEFT(expenses!B21,10)</f>
        <v/>
      </c>
      <c r="C616" t="inlineStr">
        <is>
          <t>other</t>
        </is>
      </c>
      <c r="D616" t="inlineStr">
        <is>
          <t>expenses</t>
        </is>
      </c>
      <c r="E616" s="21">
        <f>expenses!D21</f>
        <v/>
      </c>
      <c r="F616">
        <f>IF(B616="","",LEFT(B616,4))</f>
        <v/>
      </c>
      <c r="G616">
        <f>IF(A616="","",INDEX(vehicles!$I$2:$I$5,MATCH(A616,vehicles!$A$2:$A$5,0)))</f>
        <v/>
      </c>
      <c r="H616">
        <f>expenses!C21</f>
        <v/>
      </c>
    </row>
    <row r="617">
      <c r="A617" s="5">
        <f>expenses!A22</f>
        <v/>
      </c>
      <c r="B617" s="5">
        <f>LEFT(expenses!B22,10)</f>
        <v/>
      </c>
      <c r="C617" t="inlineStr">
        <is>
          <t>other</t>
        </is>
      </c>
      <c r="D617" t="inlineStr">
        <is>
          <t>expenses</t>
        </is>
      </c>
      <c r="E617" s="21">
        <f>expenses!D22</f>
        <v/>
      </c>
      <c r="F617">
        <f>IF(B617="","",LEFT(B617,4))</f>
        <v/>
      </c>
      <c r="G617">
        <f>IF(A617="","",INDEX(vehicles!$I$2:$I$5,MATCH(A617,vehicles!$A$2:$A$5,0)))</f>
        <v/>
      </c>
      <c r="H617">
        <f>expenses!C22</f>
        <v/>
      </c>
    </row>
    <row r="618">
      <c r="A618" s="5">
        <f>expenses!A23</f>
        <v/>
      </c>
      <c r="B618" s="5">
        <f>LEFT(expenses!B23,10)</f>
        <v/>
      </c>
      <c r="C618" t="inlineStr">
        <is>
          <t>other</t>
        </is>
      </c>
      <c r="D618" t="inlineStr">
        <is>
          <t>expenses</t>
        </is>
      </c>
      <c r="E618" s="21">
        <f>expenses!D23</f>
        <v/>
      </c>
      <c r="F618">
        <f>IF(B618="","",LEFT(B618,4))</f>
        <v/>
      </c>
      <c r="G618">
        <f>IF(A618="","",INDEX(vehicles!$I$2:$I$5,MATCH(A618,vehicles!$A$2:$A$5,0)))</f>
        <v/>
      </c>
      <c r="H618">
        <f>expenses!C23</f>
        <v/>
      </c>
    </row>
    <row r="619">
      <c r="A619" s="5">
        <f>expenses!A24</f>
        <v/>
      </c>
      <c r="B619" s="5">
        <f>LEFT(expenses!B24,10)</f>
        <v/>
      </c>
      <c r="C619" t="inlineStr">
        <is>
          <t>other</t>
        </is>
      </c>
      <c r="D619" t="inlineStr">
        <is>
          <t>expenses</t>
        </is>
      </c>
      <c r="E619" s="21">
        <f>expenses!D24</f>
        <v/>
      </c>
      <c r="F619">
        <f>IF(B619="","",LEFT(B619,4))</f>
        <v/>
      </c>
      <c r="G619">
        <f>IF(A619="","",INDEX(vehicles!$I$2:$I$5,MATCH(A619,vehicles!$A$2:$A$5,0)))</f>
        <v/>
      </c>
      <c r="H619">
        <f>expenses!C24</f>
        <v/>
      </c>
    </row>
    <row r="620">
      <c r="A620" s="5">
        <f>expenses!A25</f>
        <v/>
      </c>
      <c r="B620" s="5">
        <f>LEFT(expenses!B25,10)</f>
        <v/>
      </c>
      <c r="C620" t="inlineStr">
        <is>
          <t>other</t>
        </is>
      </c>
      <c r="D620" t="inlineStr">
        <is>
          <t>expenses</t>
        </is>
      </c>
      <c r="E620" s="21">
        <f>expenses!D25</f>
        <v/>
      </c>
      <c r="F620">
        <f>IF(B620="","",LEFT(B620,4))</f>
        <v/>
      </c>
      <c r="G620">
        <f>IF(A620="","",INDEX(vehicles!$I$2:$I$5,MATCH(A620,vehicles!$A$2:$A$5,0)))</f>
        <v/>
      </c>
      <c r="H620">
        <f>expenses!C25</f>
        <v/>
      </c>
    </row>
    <row r="621">
      <c r="A621" s="5">
        <f>expenses!A26</f>
        <v/>
      </c>
      <c r="B621" s="5">
        <f>LEFT(expenses!B26,10)</f>
        <v/>
      </c>
      <c r="C621" t="inlineStr">
        <is>
          <t>other</t>
        </is>
      </c>
      <c r="D621" t="inlineStr">
        <is>
          <t>expenses</t>
        </is>
      </c>
      <c r="E621" s="21">
        <f>expenses!D26</f>
        <v/>
      </c>
      <c r="F621">
        <f>IF(B621="","",LEFT(B621,4))</f>
        <v/>
      </c>
      <c r="G621">
        <f>IF(A621="","",INDEX(vehicles!$I$2:$I$5,MATCH(A621,vehicles!$A$2:$A$5,0)))</f>
        <v/>
      </c>
      <c r="H621">
        <f>expenses!C26</f>
        <v/>
      </c>
    </row>
    <row r="622">
      <c r="A622" s="5">
        <f>expenses!A27</f>
        <v/>
      </c>
      <c r="B622" s="5">
        <f>LEFT(expenses!B27,10)</f>
        <v/>
      </c>
      <c r="C622" t="inlineStr">
        <is>
          <t>other</t>
        </is>
      </c>
      <c r="D622" t="inlineStr">
        <is>
          <t>expenses</t>
        </is>
      </c>
      <c r="E622" s="21">
        <f>expenses!D27</f>
        <v/>
      </c>
      <c r="F622">
        <f>IF(B622="","",LEFT(B622,4))</f>
        <v/>
      </c>
      <c r="G622">
        <f>IF(A622="","",INDEX(vehicles!$I$2:$I$5,MATCH(A622,vehicles!$A$2:$A$5,0)))</f>
        <v/>
      </c>
      <c r="H622">
        <f>expenses!C27</f>
        <v/>
      </c>
    </row>
    <row r="623">
      <c r="A623" s="5">
        <f>expenses!A28</f>
        <v/>
      </c>
      <c r="B623" s="5">
        <f>LEFT(expenses!B28,10)</f>
        <v/>
      </c>
      <c r="C623" t="inlineStr">
        <is>
          <t>other</t>
        </is>
      </c>
      <c r="D623" t="inlineStr">
        <is>
          <t>expenses</t>
        </is>
      </c>
      <c r="E623" s="21">
        <f>expenses!D28</f>
        <v/>
      </c>
      <c r="F623">
        <f>IF(B623="","",LEFT(B623,4))</f>
        <v/>
      </c>
      <c r="G623">
        <f>IF(A623="","",INDEX(vehicles!$I$2:$I$5,MATCH(A623,vehicles!$A$2:$A$5,0)))</f>
        <v/>
      </c>
      <c r="H623">
        <f>expenses!C28</f>
        <v/>
      </c>
    </row>
    <row r="624">
      <c r="A624" s="5">
        <f>expenses!A29</f>
        <v/>
      </c>
      <c r="B624" s="5">
        <f>LEFT(expenses!B29,10)</f>
        <v/>
      </c>
      <c r="C624" t="inlineStr">
        <is>
          <t>other</t>
        </is>
      </c>
      <c r="D624" t="inlineStr">
        <is>
          <t>expenses</t>
        </is>
      </c>
      <c r="E624" s="21">
        <f>expenses!D29</f>
        <v/>
      </c>
      <c r="F624">
        <f>IF(B624="","",LEFT(B624,4))</f>
        <v/>
      </c>
      <c r="G624">
        <f>IF(A624="","",INDEX(vehicles!$I$2:$I$5,MATCH(A624,vehicles!$A$2:$A$5,0)))</f>
        <v/>
      </c>
      <c r="H624">
        <f>expenses!C29</f>
        <v/>
      </c>
    </row>
    <row r="625">
      <c r="A625" s="5">
        <f>expenses!A30</f>
        <v/>
      </c>
      <c r="B625" s="5">
        <f>LEFT(expenses!B30,10)</f>
        <v/>
      </c>
      <c r="C625" t="inlineStr">
        <is>
          <t>other</t>
        </is>
      </c>
      <c r="D625" t="inlineStr">
        <is>
          <t>expenses</t>
        </is>
      </c>
      <c r="E625" s="21">
        <f>expenses!D30</f>
        <v/>
      </c>
      <c r="F625">
        <f>IF(B625="","",LEFT(B625,4))</f>
        <v/>
      </c>
      <c r="G625">
        <f>IF(A625="","",INDEX(vehicles!$I$2:$I$5,MATCH(A625,vehicles!$A$2:$A$5,0)))</f>
        <v/>
      </c>
      <c r="H625">
        <f>expenses!C30</f>
        <v/>
      </c>
    </row>
    <row r="626">
      <c r="A626" s="5">
        <f>expenses!A31</f>
        <v/>
      </c>
      <c r="B626" s="5">
        <f>LEFT(expenses!B31,10)</f>
        <v/>
      </c>
      <c r="C626" t="inlineStr">
        <is>
          <t>other</t>
        </is>
      </c>
      <c r="D626" t="inlineStr">
        <is>
          <t>expenses</t>
        </is>
      </c>
      <c r="E626" s="21">
        <f>expenses!D31</f>
        <v/>
      </c>
      <c r="F626">
        <f>IF(B626="","",LEFT(B626,4))</f>
        <v/>
      </c>
      <c r="G626">
        <f>IF(A626="","",INDEX(vehicles!$I$2:$I$5,MATCH(A626,vehicles!$A$2:$A$5,0)))</f>
        <v/>
      </c>
      <c r="H626">
        <f>expenses!C31</f>
        <v/>
      </c>
    </row>
    <row r="627">
      <c r="A627" s="5">
        <f>expenses!A32</f>
        <v/>
      </c>
      <c r="B627" s="5">
        <f>LEFT(expenses!B32,10)</f>
        <v/>
      </c>
      <c r="C627" t="inlineStr">
        <is>
          <t>other</t>
        </is>
      </c>
      <c r="D627" t="inlineStr">
        <is>
          <t>expenses</t>
        </is>
      </c>
      <c r="E627" s="21">
        <f>expenses!D32</f>
        <v/>
      </c>
      <c r="F627">
        <f>IF(B627="","",LEFT(B627,4))</f>
        <v/>
      </c>
      <c r="G627">
        <f>IF(A627="","",INDEX(vehicles!$I$2:$I$5,MATCH(A627,vehicles!$A$2:$A$5,0)))</f>
        <v/>
      </c>
      <c r="H627">
        <f>expenses!C32</f>
        <v/>
      </c>
    </row>
    <row r="628">
      <c r="A628" s="5">
        <f>expenses!A33</f>
        <v/>
      </c>
      <c r="B628" s="5">
        <f>LEFT(expenses!B33,10)</f>
        <v/>
      </c>
      <c r="C628" t="inlineStr">
        <is>
          <t>other</t>
        </is>
      </c>
      <c r="D628" t="inlineStr">
        <is>
          <t>expenses</t>
        </is>
      </c>
      <c r="E628" s="21">
        <f>expenses!D33</f>
        <v/>
      </c>
      <c r="F628">
        <f>IF(B628="","",LEFT(B628,4))</f>
        <v/>
      </c>
      <c r="G628">
        <f>IF(A628="","",INDEX(vehicles!$I$2:$I$5,MATCH(A628,vehicles!$A$2:$A$5,0)))</f>
        <v/>
      </c>
      <c r="H628">
        <f>expenses!C33</f>
        <v/>
      </c>
    </row>
    <row r="629">
      <c r="A629" s="5">
        <f>expenses!A34</f>
        <v/>
      </c>
      <c r="B629" s="5">
        <f>LEFT(expenses!B34,10)</f>
        <v/>
      </c>
      <c r="C629" t="inlineStr">
        <is>
          <t>other</t>
        </is>
      </c>
      <c r="D629" t="inlineStr">
        <is>
          <t>expenses</t>
        </is>
      </c>
      <c r="E629" s="21">
        <f>expenses!D34</f>
        <v/>
      </c>
      <c r="F629">
        <f>IF(B629="","",LEFT(B629,4))</f>
        <v/>
      </c>
      <c r="G629">
        <f>IF(A629="","",INDEX(vehicles!$I$2:$I$5,MATCH(A629,vehicles!$A$2:$A$5,0)))</f>
        <v/>
      </c>
      <c r="H629">
        <f>expenses!C34</f>
        <v/>
      </c>
    </row>
    <row r="630">
      <c r="A630" s="5">
        <f>expenses!A35</f>
        <v/>
      </c>
      <c r="B630" s="5">
        <f>LEFT(expenses!B35,10)</f>
        <v/>
      </c>
      <c r="C630" t="inlineStr">
        <is>
          <t>other</t>
        </is>
      </c>
      <c r="D630" t="inlineStr">
        <is>
          <t>expenses</t>
        </is>
      </c>
      <c r="E630" s="21">
        <f>expenses!D35</f>
        <v/>
      </c>
      <c r="F630">
        <f>IF(B630="","",LEFT(B630,4))</f>
        <v/>
      </c>
      <c r="G630">
        <f>IF(A630="","",INDEX(vehicles!$I$2:$I$5,MATCH(A630,vehicles!$A$2:$A$5,0)))</f>
        <v/>
      </c>
      <c r="H630">
        <f>expenses!C35</f>
        <v/>
      </c>
    </row>
    <row r="631">
      <c r="A631" s="5">
        <f>expenses!A36</f>
        <v/>
      </c>
      <c r="B631" s="5">
        <f>LEFT(expenses!B36,10)</f>
        <v/>
      </c>
      <c r="C631" t="inlineStr">
        <is>
          <t>other</t>
        </is>
      </c>
      <c r="D631" t="inlineStr">
        <is>
          <t>expenses</t>
        </is>
      </c>
      <c r="E631" s="21">
        <f>expenses!D36</f>
        <v/>
      </c>
      <c r="F631">
        <f>IF(B631="","",LEFT(B631,4))</f>
        <v/>
      </c>
      <c r="G631">
        <f>IF(A631="","",INDEX(vehicles!$I$2:$I$5,MATCH(A631,vehicles!$A$2:$A$5,0)))</f>
        <v/>
      </c>
      <c r="H631">
        <f>expenses!C36</f>
        <v/>
      </c>
    </row>
    <row r="632">
      <c r="A632" s="5">
        <f>expenses!A37</f>
        <v/>
      </c>
      <c r="B632" s="5">
        <f>LEFT(expenses!B37,10)</f>
        <v/>
      </c>
      <c r="C632" t="inlineStr">
        <is>
          <t>other</t>
        </is>
      </c>
      <c r="D632" t="inlineStr">
        <is>
          <t>expenses</t>
        </is>
      </c>
      <c r="E632" s="21">
        <f>expenses!D37</f>
        <v/>
      </c>
      <c r="F632">
        <f>IF(B632="","",LEFT(B632,4))</f>
        <v/>
      </c>
      <c r="G632">
        <f>IF(A632="","",INDEX(vehicles!$I$2:$I$5,MATCH(A632,vehicles!$A$2:$A$5,0)))</f>
        <v/>
      </c>
      <c r="H632">
        <f>expenses!C37</f>
        <v/>
      </c>
    </row>
    <row r="633">
      <c r="A633" s="5">
        <f>expenses!A38</f>
        <v/>
      </c>
      <c r="B633" s="5">
        <f>LEFT(expenses!B38,10)</f>
        <v/>
      </c>
      <c r="C633" t="inlineStr">
        <is>
          <t>other</t>
        </is>
      </c>
      <c r="D633" t="inlineStr">
        <is>
          <t>expenses</t>
        </is>
      </c>
      <c r="E633" s="21">
        <f>expenses!D38</f>
        <v/>
      </c>
      <c r="F633">
        <f>IF(B633="","",LEFT(B633,4))</f>
        <v/>
      </c>
      <c r="G633">
        <f>IF(A633="","",INDEX(vehicles!$I$2:$I$5,MATCH(A633,vehicles!$A$2:$A$5,0)))</f>
        <v/>
      </c>
      <c r="H633">
        <f>expenses!C38</f>
        <v/>
      </c>
    </row>
    <row r="634">
      <c r="A634" s="5">
        <f>expenses!A39</f>
        <v/>
      </c>
      <c r="B634" s="5">
        <f>LEFT(expenses!B39,10)</f>
        <v/>
      </c>
      <c r="C634" t="inlineStr">
        <is>
          <t>other</t>
        </is>
      </c>
      <c r="D634" t="inlineStr">
        <is>
          <t>expenses</t>
        </is>
      </c>
      <c r="E634" s="21">
        <f>expenses!D39</f>
        <v/>
      </c>
      <c r="F634">
        <f>IF(B634="","",LEFT(B634,4))</f>
        <v/>
      </c>
      <c r="G634">
        <f>IF(A634="","",INDEX(vehicles!$I$2:$I$5,MATCH(A634,vehicles!$A$2:$A$5,0)))</f>
        <v/>
      </c>
      <c r="H634">
        <f>expenses!C39</f>
        <v/>
      </c>
    </row>
    <row r="635">
      <c r="A635" s="5">
        <f>expenses!A40</f>
        <v/>
      </c>
      <c r="B635" s="5">
        <f>LEFT(expenses!B40,10)</f>
        <v/>
      </c>
      <c r="C635" t="inlineStr">
        <is>
          <t>other</t>
        </is>
      </c>
      <c r="D635" t="inlineStr">
        <is>
          <t>expenses</t>
        </is>
      </c>
      <c r="E635" s="21">
        <f>expenses!D40</f>
        <v/>
      </c>
      <c r="F635">
        <f>IF(B635="","",LEFT(B635,4))</f>
        <v/>
      </c>
      <c r="G635">
        <f>IF(A635="","",INDEX(vehicles!$I$2:$I$5,MATCH(A635,vehicles!$A$2:$A$5,0)))</f>
        <v/>
      </c>
      <c r="H635">
        <f>expenses!C40</f>
        <v/>
      </c>
    </row>
    <row r="636">
      <c r="A636" s="5">
        <f>expenses!A41</f>
        <v/>
      </c>
      <c r="B636" s="5">
        <f>LEFT(expenses!B41,10)</f>
        <v/>
      </c>
      <c r="C636" t="inlineStr">
        <is>
          <t>other</t>
        </is>
      </c>
      <c r="D636" t="inlineStr">
        <is>
          <t>expenses</t>
        </is>
      </c>
      <c r="E636" s="21">
        <f>expenses!D41</f>
        <v/>
      </c>
      <c r="F636">
        <f>IF(B636="","",LEFT(B636,4))</f>
        <v/>
      </c>
      <c r="G636">
        <f>IF(A636="","",INDEX(vehicles!$I$2:$I$5,MATCH(A636,vehicles!$A$2:$A$5,0)))</f>
        <v/>
      </c>
      <c r="H636">
        <f>expenses!C41</f>
        <v/>
      </c>
    </row>
    <row r="637">
      <c r="A637" s="5">
        <f>expenses!A42</f>
        <v/>
      </c>
      <c r="B637" s="5">
        <f>LEFT(expenses!B42,10)</f>
        <v/>
      </c>
      <c r="C637" t="inlineStr">
        <is>
          <t>other</t>
        </is>
      </c>
      <c r="D637" t="inlineStr">
        <is>
          <t>expenses</t>
        </is>
      </c>
      <c r="E637" s="21">
        <f>expenses!D42</f>
        <v/>
      </c>
      <c r="F637">
        <f>IF(B637="","",LEFT(B637,4))</f>
        <v/>
      </c>
      <c r="G637">
        <f>IF(A637="","",INDEX(vehicles!$I$2:$I$5,MATCH(A637,vehicles!$A$2:$A$5,0)))</f>
        <v/>
      </c>
      <c r="H637">
        <f>expenses!C42</f>
        <v/>
      </c>
    </row>
    <row r="638">
      <c r="A638" s="5">
        <f>expenses!A43</f>
        <v/>
      </c>
      <c r="B638" s="5">
        <f>LEFT(expenses!B43,10)</f>
        <v/>
      </c>
      <c r="C638" t="inlineStr">
        <is>
          <t>other</t>
        </is>
      </c>
      <c r="D638" t="inlineStr">
        <is>
          <t>expenses</t>
        </is>
      </c>
      <c r="E638" s="21">
        <f>expenses!D43</f>
        <v/>
      </c>
      <c r="F638">
        <f>IF(B638="","",LEFT(B638,4))</f>
        <v/>
      </c>
      <c r="G638">
        <f>IF(A638="","",INDEX(vehicles!$I$2:$I$5,MATCH(A638,vehicles!$A$2:$A$5,0)))</f>
        <v/>
      </c>
      <c r="H638">
        <f>expenses!C43</f>
        <v/>
      </c>
    </row>
    <row r="639">
      <c r="A639" s="5">
        <f>expenses!A44</f>
        <v/>
      </c>
      <c r="B639" s="5">
        <f>LEFT(expenses!B44,10)</f>
        <v/>
      </c>
      <c r="C639" t="inlineStr">
        <is>
          <t>other</t>
        </is>
      </c>
      <c r="D639" t="inlineStr">
        <is>
          <t>expenses</t>
        </is>
      </c>
      <c r="E639" s="21">
        <f>expenses!D44</f>
        <v/>
      </c>
      <c r="F639">
        <f>IF(B639="","",LEFT(B639,4))</f>
        <v/>
      </c>
      <c r="G639">
        <f>IF(A639="","",INDEX(vehicles!$I$2:$I$5,MATCH(A639,vehicles!$A$2:$A$5,0)))</f>
        <v/>
      </c>
      <c r="H639">
        <f>expenses!C44</f>
        <v/>
      </c>
    </row>
    <row r="640">
      <c r="A640" s="5">
        <f>expenses!A45</f>
        <v/>
      </c>
      <c r="B640" s="5">
        <f>LEFT(expenses!B45,10)</f>
        <v/>
      </c>
      <c r="C640" t="inlineStr">
        <is>
          <t>other</t>
        </is>
      </c>
      <c r="D640" t="inlineStr">
        <is>
          <t>expenses</t>
        </is>
      </c>
      <c r="E640" s="21">
        <f>expenses!D45</f>
        <v/>
      </c>
      <c r="F640">
        <f>IF(B640="","",LEFT(B640,4))</f>
        <v/>
      </c>
      <c r="G640">
        <f>IF(A640="","",INDEX(vehicles!$I$2:$I$5,MATCH(A640,vehicles!$A$2:$A$5,0)))</f>
        <v/>
      </c>
      <c r="H640">
        <f>expenses!C45</f>
        <v/>
      </c>
    </row>
    <row r="641">
      <c r="A641" s="5">
        <f>expenses!A46</f>
        <v/>
      </c>
      <c r="B641" s="5">
        <f>LEFT(expenses!B46,10)</f>
        <v/>
      </c>
      <c r="C641" t="inlineStr">
        <is>
          <t>other</t>
        </is>
      </c>
      <c r="D641" t="inlineStr">
        <is>
          <t>expenses</t>
        </is>
      </c>
      <c r="E641" s="21">
        <f>expenses!D46</f>
        <v/>
      </c>
      <c r="F641">
        <f>IF(B641="","",LEFT(B641,4))</f>
        <v/>
      </c>
      <c r="G641">
        <f>IF(A641="","",INDEX(vehicles!$I$2:$I$5,MATCH(A641,vehicles!$A$2:$A$5,0)))</f>
        <v/>
      </c>
      <c r="H641">
        <f>expenses!C46</f>
        <v/>
      </c>
    </row>
    <row r="642">
      <c r="A642" s="5">
        <f>expenses!A47</f>
        <v/>
      </c>
      <c r="B642" s="5">
        <f>LEFT(expenses!B47,10)</f>
        <v/>
      </c>
      <c r="C642" t="inlineStr">
        <is>
          <t>other</t>
        </is>
      </c>
      <c r="D642" t="inlineStr">
        <is>
          <t>expenses</t>
        </is>
      </c>
      <c r="E642" s="21">
        <f>expenses!D47</f>
        <v/>
      </c>
      <c r="F642">
        <f>IF(B642="","",LEFT(B642,4))</f>
        <v/>
      </c>
      <c r="G642">
        <f>IF(A642="","",INDEX(vehicles!$I$2:$I$5,MATCH(A642,vehicles!$A$2:$A$5,0)))</f>
        <v/>
      </c>
      <c r="H642">
        <f>expenses!C47</f>
        <v/>
      </c>
    </row>
    <row r="643">
      <c r="A643" s="5">
        <f>expenses!A48</f>
        <v/>
      </c>
      <c r="B643" s="5">
        <f>LEFT(expenses!B48,10)</f>
        <v/>
      </c>
      <c r="C643" t="inlineStr">
        <is>
          <t>other</t>
        </is>
      </c>
      <c r="D643" t="inlineStr">
        <is>
          <t>expenses</t>
        </is>
      </c>
      <c r="E643" s="21">
        <f>expenses!D48</f>
        <v/>
      </c>
      <c r="F643">
        <f>IF(B643="","",LEFT(B643,4))</f>
        <v/>
      </c>
      <c r="G643">
        <f>IF(A643="","",INDEX(vehicles!$I$2:$I$5,MATCH(A643,vehicles!$A$2:$A$5,0)))</f>
        <v/>
      </c>
      <c r="H643">
        <f>expenses!C48</f>
        <v/>
      </c>
    </row>
    <row r="644">
      <c r="A644" s="5">
        <f>expenses!A49</f>
        <v/>
      </c>
      <c r="B644" s="5">
        <f>LEFT(expenses!B49,10)</f>
        <v/>
      </c>
      <c r="C644" t="inlineStr">
        <is>
          <t>other</t>
        </is>
      </c>
      <c r="D644" t="inlineStr">
        <is>
          <t>expenses</t>
        </is>
      </c>
      <c r="E644" s="21">
        <f>expenses!D49</f>
        <v/>
      </c>
      <c r="F644">
        <f>IF(B644="","",LEFT(B644,4))</f>
        <v/>
      </c>
      <c r="G644">
        <f>IF(A644="","",INDEX(vehicles!$I$2:$I$5,MATCH(A644,vehicles!$A$2:$A$5,0)))</f>
        <v/>
      </c>
      <c r="H644">
        <f>expenses!C49</f>
        <v/>
      </c>
    </row>
    <row r="645">
      <c r="A645" s="5">
        <f>expenses!A50</f>
        <v/>
      </c>
      <c r="B645" s="5">
        <f>LEFT(expenses!B50,10)</f>
        <v/>
      </c>
      <c r="C645" t="inlineStr">
        <is>
          <t>other</t>
        </is>
      </c>
      <c r="D645" t="inlineStr">
        <is>
          <t>expenses</t>
        </is>
      </c>
      <c r="E645" s="21">
        <f>expenses!D50</f>
        <v/>
      </c>
      <c r="F645">
        <f>IF(B645="","",LEFT(B645,4))</f>
        <v/>
      </c>
      <c r="G645">
        <f>IF(A645="","",INDEX(vehicles!$I$2:$I$5,MATCH(A645,vehicles!$A$2:$A$5,0)))</f>
        <v/>
      </c>
      <c r="H645">
        <f>expenses!C50</f>
        <v/>
      </c>
    </row>
    <row r="646">
      <c r="A646" s="5">
        <f>expenses!A51</f>
        <v/>
      </c>
      <c r="B646" s="5">
        <f>LEFT(expenses!B51,10)</f>
        <v/>
      </c>
      <c r="C646" t="inlineStr">
        <is>
          <t>other</t>
        </is>
      </c>
      <c r="D646" t="inlineStr">
        <is>
          <t>expenses</t>
        </is>
      </c>
      <c r="E646" s="21">
        <f>expenses!D51</f>
        <v/>
      </c>
      <c r="F646">
        <f>IF(B646="","",LEFT(B646,4))</f>
        <v/>
      </c>
      <c r="G646">
        <f>IF(A646="","",INDEX(vehicles!$I$2:$I$5,MATCH(A646,vehicles!$A$2:$A$5,0)))</f>
        <v/>
      </c>
      <c r="H646">
        <f>expenses!C51</f>
        <v/>
      </c>
    </row>
    <row r="647">
      <c r="A647" s="5">
        <f>expenses!A52</f>
        <v/>
      </c>
      <c r="B647" s="5">
        <f>LEFT(expenses!B52,10)</f>
        <v/>
      </c>
      <c r="C647" t="inlineStr">
        <is>
          <t>other</t>
        </is>
      </c>
      <c r="D647" t="inlineStr">
        <is>
          <t>expenses</t>
        </is>
      </c>
      <c r="E647" s="21">
        <f>expenses!D52</f>
        <v/>
      </c>
      <c r="F647">
        <f>IF(B647="","",LEFT(B647,4))</f>
        <v/>
      </c>
      <c r="G647">
        <f>IF(A647="","",INDEX(vehicles!$I$2:$I$5,MATCH(A647,vehicles!$A$2:$A$5,0)))</f>
        <v/>
      </c>
      <c r="H647">
        <f>expenses!C52</f>
        <v/>
      </c>
    </row>
    <row r="648">
      <c r="A648" s="5">
        <f>expenses!A53</f>
        <v/>
      </c>
      <c r="B648" s="5">
        <f>LEFT(expenses!B53,10)</f>
        <v/>
      </c>
      <c r="C648" t="inlineStr">
        <is>
          <t>other</t>
        </is>
      </c>
      <c r="D648" t="inlineStr">
        <is>
          <t>expenses</t>
        </is>
      </c>
      <c r="E648" s="21">
        <f>expenses!D53</f>
        <v/>
      </c>
      <c r="F648">
        <f>IF(B648="","",LEFT(B648,4))</f>
        <v/>
      </c>
      <c r="G648">
        <f>IF(A648="","",INDEX(vehicles!$I$2:$I$5,MATCH(A648,vehicles!$A$2:$A$5,0)))</f>
        <v/>
      </c>
      <c r="H648">
        <f>expenses!C53</f>
        <v/>
      </c>
    </row>
    <row r="649">
      <c r="A649" s="5">
        <f>expenses!A54</f>
        <v/>
      </c>
      <c r="B649" s="5">
        <f>LEFT(expenses!B54,10)</f>
        <v/>
      </c>
      <c r="C649" t="inlineStr">
        <is>
          <t>other</t>
        </is>
      </c>
      <c r="D649" t="inlineStr">
        <is>
          <t>expenses</t>
        </is>
      </c>
      <c r="E649" s="21">
        <f>expenses!D54</f>
        <v/>
      </c>
      <c r="F649">
        <f>IF(B649="","",LEFT(B649,4))</f>
        <v/>
      </c>
      <c r="G649">
        <f>IF(A649="","",INDEX(vehicles!$I$2:$I$5,MATCH(A649,vehicles!$A$2:$A$5,0)))</f>
        <v/>
      </c>
      <c r="H649">
        <f>expenses!C54</f>
        <v/>
      </c>
    </row>
    <row r="650">
      <c r="A650" s="5">
        <f>expenses!A55</f>
        <v/>
      </c>
      <c r="B650" s="5">
        <f>LEFT(expenses!B55,10)</f>
        <v/>
      </c>
      <c r="C650" t="inlineStr">
        <is>
          <t>other</t>
        </is>
      </c>
      <c r="D650" t="inlineStr">
        <is>
          <t>expenses</t>
        </is>
      </c>
      <c r="E650" s="21">
        <f>expenses!D55</f>
        <v/>
      </c>
      <c r="F650">
        <f>IF(B650="","",LEFT(B650,4))</f>
        <v/>
      </c>
      <c r="G650">
        <f>IF(A650="","",INDEX(vehicles!$I$2:$I$5,MATCH(A650,vehicles!$A$2:$A$5,0)))</f>
        <v/>
      </c>
      <c r="H650">
        <f>expenses!C55</f>
        <v/>
      </c>
    </row>
    <row r="651">
      <c r="A651" s="5">
        <f>expenses!A56</f>
        <v/>
      </c>
      <c r="B651" s="5">
        <f>LEFT(expenses!B56,10)</f>
        <v/>
      </c>
      <c r="C651" t="inlineStr">
        <is>
          <t>other</t>
        </is>
      </c>
      <c r="D651" t="inlineStr">
        <is>
          <t>expenses</t>
        </is>
      </c>
      <c r="E651" s="21">
        <f>expenses!D56</f>
        <v/>
      </c>
      <c r="F651">
        <f>IF(B651="","",LEFT(B651,4))</f>
        <v/>
      </c>
      <c r="G651">
        <f>IF(A651="","",INDEX(vehicles!$I$2:$I$5,MATCH(A651,vehicles!$A$2:$A$5,0)))</f>
        <v/>
      </c>
      <c r="H651">
        <f>expenses!C56</f>
        <v/>
      </c>
    </row>
    <row r="652">
      <c r="A652" s="5">
        <f>expenses!A57</f>
        <v/>
      </c>
      <c r="B652" s="5">
        <f>LEFT(expenses!B57,10)</f>
        <v/>
      </c>
      <c r="C652" t="inlineStr">
        <is>
          <t>other</t>
        </is>
      </c>
      <c r="D652" t="inlineStr">
        <is>
          <t>expenses</t>
        </is>
      </c>
      <c r="E652" s="21">
        <f>expenses!D57</f>
        <v/>
      </c>
      <c r="F652">
        <f>IF(B652="","",LEFT(B652,4))</f>
        <v/>
      </c>
      <c r="G652">
        <f>IF(A652="","",INDEX(vehicles!$I$2:$I$5,MATCH(A652,vehicles!$A$2:$A$5,0)))</f>
        <v/>
      </c>
      <c r="H652">
        <f>expenses!C57</f>
        <v/>
      </c>
    </row>
    <row r="653">
      <c r="A653" s="5">
        <f>expenses!A58</f>
        <v/>
      </c>
      <c r="B653" s="5">
        <f>LEFT(expenses!B58,10)</f>
        <v/>
      </c>
      <c r="C653" t="inlineStr">
        <is>
          <t>other</t>
        </is>
      </c>
      <c r="D653" t="inlineStr">
        <is>
          <t>expenses</t>
        </is>
      </c>
      <c r="E653" s="21">
        <f>expenses!D58</f>
        <v/>
      </c>
      <c r="F653">
        <f>IF(B653="","",LEFT(B653,4))</f>
        <v/>
      </c>
      <c r="G653">
        <f>IF(A653="","",INDEX(vehicles!$I$2:$I$5,MATCH(A653,vehicles!$A$2:$A$5,0)))</f>
        <v/>
      </c>
      <c r="H653">
        <f>expenses!C58</f>
        <v/>
      </c>
    </row>
    <row r="654">
      <c r="A654" s="5">
        <f>expenses!A59</f>
        <v/>
      </c>
      <c r="B654" s="5">
        <f>LEFT(expenses!B59,10)</f>
        <v/>
      </c>
      <c r="C654" t="inlineStr">
        <is>
          <t>other</t>
        </is>
      </c>
      <c r="D654" t="inlineStr">
        <is>
          <t>expenses</t>
        </is>
      </c>
      <c r="E654" s="21">
        <f>expenses!D59</f>
        <v/>
      </c>
      <c r="F654">
        <f>IF(B654="","",LEFT(B654,4))</f>
        <v/>
      </c>
      <c r="G654">
        <f>IF(A654="","",INDEX(vehicles!$I$2:$I$5,MATCH(A654,vehicles!$A$2:$A$5,0)))</f>
        <v/>
      </c>
      <c r="H654">
        <f>expenses!C59</f>
        <v/>
      </c>
    </row>
    <row r="655">
      <c r="A655" s="5">
        <f>expenses!A60</f>
        <v/>
      </c>
      <c r="B655" s="5">
        <f>LEFT(expenses!B60,10)</f>
        <v/>
      </c>
      <c r="C655" t="inlineStr">
        <is>
          <t>other</t>
        </is>
      </c>
      <c r="D655" t="inlineStr">
        <is>
          <t>expenses</t>
        </is>
      </c>
      <c r="E655" s="21">
        <f>expenses!D60</f>
        <v/>
      </c>
      <c r="F655">
        <f>IF(B655="","",LEFT(B655,4))</f>
        <v/>
      </c>
      <c r="G655">
        <f>IF(A655="","",INDEX(vehicles!$I$2:$I$5,MATCH(A655,vehicles!$A$2:$A$5,0)))</f>
        <v/>
      </c>
      <c r="H655">
        <f>expenses!C60</f>
        <v/>
      </c>
    </row>
    <row r="656">
      <c r="A656" s="5">
        <f>expenses!A61</f>
        <v/>
      </c>
      <c r="B656" s="5">
        <f>LEFT(expenses!B61,10)</f>
        <v/>
      </c>
      <c r="C656" t="inlineStr">
        <is>
          <t>other</t>
        </is>
      </c>
      <c r="D656" t="inlineStr">
        <is>
          <t>expenses</t>
        </is>
      </c>
      <c r="E656" s="21">
        <f>expenses!D61</f>
        <v/>
      </c>
      <c r="F656">
        <f>IF(B656="","",LEFT(B656,4))</f>
        <v/>
      </c>
      <c r="G656">
        <f>IF(A656="","",INDEX(vehicles!$I$2:$I$5,MATCH(A656,vehicles!$A$2:$A$5,0)))</f>
        <v/>
      </c>
      <c r="H656">
        <f>expenses!C61</f>
        <v/>
      </c>
    </row>
    <row r="657">
      <c r="A657" s="5">
        <f>expenses!A62</f>
        <v/>
      </c>
      <c r="B657" s="5">
        <f>LEFT(expenses!B62,10)</f>
        <v/>
      </c>
      <c r="C657" t="inlineStr">
        <is>
          <t>other</t>
        </is>
      </c>
      <c r="D657" t="inlineStr">
        <is>
          <t>expenses</t>
        </is>
      </c>
      <c r="E657" s="21">
        <f>expenses!D62</f>
        <v/>
      </c>
      <c r="F657">
        <f>IF(B657="","",LEFT(B657,4))</f>
        <v/>
      </c>
      <c r="G657">
        <f>IF(A657="","",INDEX(vehicles!$I$2:$I$5,MATCH(A657,vehicles!$A$2:$A$5,0)))</f>
        <v/>
      </c>
      <c r="H657">
        <f>expenses!C62</f>
        <v/>
      </c>
    </row>
    <row r="658">
      <c r="A658" s="5">
        <f>expenses!A63</f>
        <v/>
      </c>
      <c r="B658" s="5">
        <f>LEFT(expenses!B63,10)</f>
        <v/>
      </c>
      <c r="C658" t="inlineStr">
        <is>
          <t>other</t>
        </is>
      </c>
      <c r="D658" t="inlineStr">
        <is>
          <t>expenses</t>
        </is>
      </c>
      <c r="E658" s="21">
        <f>expenses!D63</f>
        <v/>
      </c>
      <c r="F658">
        <f>IF(B658="","",LEFT(B658,4))</f>
        <v/>
      </c>
      <c r="G658">
        <f>IF(A658="","",INDEX(vehicles!$I$2:$I$5,MATCH(A658,vehicles!$A$2:$A$5,0)))</f>
        <v/>
      </c>
      <c r="H658">
        <f>expenses!C63</f>
        <v/>
      </c>
    </row>
    <row r="659">
      <c r="A659" s="5">
        <f>expenses!A64</f>
        <v/>
      </c>
      <c r="B659" s="5">
        <f>LEFT(expenses!B64,10)</f>
        <v/>
      </c>
      <c r="C659" t="inlineStr">
        <is>
          <t>other</t>
        </is>
      </c>
      <c r="D659" t="inlineStr">
        <is>
          <t>expenses</t>
        </is>
      </c>
      <c r="E659" s="21">
        <f>expenses!D64</f>
        <v/>
      </c>
      <c r="F659">
        <f>IF(B659="","",LEFT(B659,4))</f>
        <v/>
      </c>
      <c r="G659">
        <f>IF(A659="","",INDEX(vehicles!$I$2:$I$5,MATCH(A659,vehicles!$A$2:$A$5,0)))</f>
        <v/>
      </c>
      <c r="H659">
        <f>expenses!C64</f>
        <v/>
      </c>
    </row>
    <row r="660">
      <c r="A660" s="5">
        <f>expenses!A65</f>
        <v/>
      </c>
      <c r="B660" s="5">
        <f>LEFT(expenses!B65,10)</f>
        <v/>
      </c>
      <c r="C660" t="inlineStr">
        <is>
          <t>other</t>
        </is>
      </c>
      <c r="D660" t="inlineStr">
        <is>
          <t>expenses</t>
        </is>
      </c>
      <c r="E660" s="21">
        <f>expenses!D65</f>
        <v/>
      </c>
      <c r="F660">
        <f>IF(B660="","",LEFT(B660,4))</f>
        <v/>
      </c>
      <c r="G660">
        <f>IF(A660="","",INDEX(vehicles!$I$2:$I$5,MATCH(A660,vehicles!$A$2:$A$5,0)))</f>
        <v/>
      </c>
      <c r="H660">
        <f>expenses!C65</f>
        <v/>
      </c>
    </row>
    <row r="661">
      <c r="A661" s="5">
        <f>expenses!A66</f>
        <v/>
      </c>
      <c r="B661" s="5">
        <f>LEFT(expenses!B66,10)</f>
        <v/>
      </c>
      <c r="C661" t="inlineStr">
        <is>
          <t>other</t>
        </is>
      </c>
      <c r="D661" t="inlineStr">
        <is>
          <t>expenses</t>
        </is>
      </c>
      <c r="E661" s="21">
        <f>expenses!D66</f>
        <v/>
      </c>
      <c r="F661">
        <f>IF(B661="","",LEFT(B661,4))</f>
        <v/>
      </c>
      <c r="G661">
        <f>IF(A661="","",INDEX(vehicles!$I$2:$I$5,MATCH(A661,vehicles!$A$2:$A$5,0)))</f>
        <v/>
      </c>
      <c r="H661">
        <f>expenses!C66</f>
        <v/>
      </c>
    </row>
    <row r="662">
      <c r="A662" s="5">
        <f>expenses!A67</f>
        <v/>
      </c>
      <c r="B662" s="5">
        <f>LEFT(expenses!B67,10)</f>
        <v/>
      </c>
      <c r="C662" t="inlineStr">
        <is>
          <t>other</t>
        </is>
      </c>
      <c r="D662" t="inlineStr">
        <is>
          <t>expenses</t>
        </is>
      </c>
      <c r="E662" s="21">
        <f>expenses!D67</f>
        <v/>
      </c>
      <c r="F662">
        <f>IF(B662="","",LEFT(B662,4))</f>
        <v/>
      </c>
      <c r="G662">
        <f>IF(A662="","",INDEX(vehicles!$I$2:$I$5,MATCH(A662,vehicles!$A$2:$A$5,0)))</f>
        <v/>
      </c>
      <c r="H662">
        <f>expenses!C67</f>
        <v/>
      </c>
    </row>
    <row r="663">
      <c r="A663" s="5">
        <f>expenses!A68</f>
        <v/>
      </c>
      <c r="B663" s="5">
        <f>LEFT(expenses!B68,10)</f>
        <v/>
      </c>
      <c r="C663" t="inlineStr">
        <is>
          <t>other</t>
        </is>
      </c>
      <c r="D663" t="inlineStr">
        <is>
          <t>expenses</t>
        </is>
      </c>
      <c r="E663" s="21">
        <f>expenses!D68</f>
        <v/>
      </c>
      <c r="F663">
        <f>IF(B663="","",LEFT(B663,4))</f>
        <v/>
      </c>
      <c r="G663">
        <f>IF(A663="","",INDEX(vehicles!$I$2:$I$5,MATCH(A663,vehicles!$A$2:$A$5,0)))</f>
        <v/>
      </c>
      <c r="H663">
        <f>expenses!C68</f>
        <v/>
      </c>
    </row>
    <row r="664">
      <c r="A664" s="5">
        <f>expenses!A69</f>
        <v/>
      </c>
      <c r="B664" s="5">
        <f>LEFT(expenses!B69,10)</f>
        <v/>
      </c>
      <c r="C664" t="inlineStr">
        <is>
          <t>other</t>
        </is>
      </c>
      <c r="D664" t="inlineStr">
        <is>
          <t>expenses</t>
        </is>
      </c>
      <c r="E664" s="21">
        <f>expenses!D69</f>
        <v/>
      </c>
      <c r="F664">
        <f>IF(B664="","",LEFT(B664,4))</f>
        <v/>
      </c>
      <c r="G664">
        <f>IF(A664="","",INDEX(vehicles!$I$2:$I$5,MATCH(A664,vehicles!$A$2:$A$5,0)))</f>
        <v/>
      </c>
      <c r="H664">
        <f>expenses!C69</f>
        <v/>
      </c>
    </row>
    <row r="665">
      <c r="A665" s="5">
        <f>expenses!A70</f>
        <v/>
      </c>
      <c r="B665" s="5">
        <f>LEFT(expenses!B70,10)</f>
        <v/>
      </c>
      <c r="C665" t="inlineStr">
        <is>
          <t>other</t>
        </is>
      </c>
      <c r="D665" t="inlineStr">
        <is>
          <t>expenses</t>
        </is>
      </c>
      <c r="E665" s="21">
        <f>expenses!D70</f>
        <v/>
      </c>
      <c r="F665">
        <f>IF(B665="","",LEFT(B665,4))</f>
        <v/>
      </c>
      <c r="G665">
        <f>IF(A665="","",INDEX(vehicles!$I$2:$I$5,MATCH(A665,vehicles!$A$2:$A$5,0)))</f>
        <v/>
      </c>
      <c r="H665">
        <f>expenses!C70</f>
        <v/>
      </c>
    </row>
    <row r="666">
      <c r="A666" s="5">
        <f>expenses!A71</f>
        <v/>
      </c>
      <c r="B666" s="5">
        <f>LEFT(expenses!B71,10)</f>
        <v/>
      </c>
      <c r="C666" t="inlineStr">
        <is>
          <t>other</t>
        </is>
      </c>
      <c r="D666" t="inlineStr">
        <is>
          <t>expenses</t>
        </is>
      </c>
      <c r="E666" s="21">
        <f>expenses!D71</f>
        <v/>
      </c>
      <c r="F666">
        <f>IF(B666="","",LEFT(B666,4))</f>
        <v/>
      </c>
      <c r="G666">
        <f>IF(A666="","",INDEX(vehicles!$I$2:$I$5,MATCH(A666,vehicles!$A$2:$A$5,0)))</f>
        <v/>
      </c>
      <c r="H666">
        <f>expenses!C71</f>
        <v/>
      </c>
    </row>
    <row r="667">
      <c r="A667" s="5">
        <f>expenses!A72</f>
        <v/>
      </c>
      <c r="B667" s="5">
        <f>LEFT(expenses!B72,10)</f>
        <v/>
      </c>
      <c r="C667" t="inlineStr">
        <is>
          <t>other</t>
        </is>
      </c>
      <c r="D667" t="inlineStr">
        <is>
          <t>expenses</t>
        </is>
      </c>
      <c r="E667" s="21">
        <f>expenses!D72</f>
        <v/>
      </c>
      <c r="F667">
        <f>IF(B667="","",LEFT(B667,4))</f>
        <v/>
      </c>
      <c r="G667">
        <f>IF(A667="","",INDEX(vehicles!$I$2:$I$5,MATCH(A667,vehicles!$A$2:$A$5,0)))</f>
        <v/>
      </c>
      <c r="H667">
        <f>expenses!C72</f>
        <v/>
      </c>
    </row>
    <row r="668">
      <c r="A668" s="5">
        <f>expenses!A73</f>
        <v/>
      </c>
      <c r="B668" s="5">
        <f>LEFT(expenses!B73,10)</f>
        <v/>
      </c>
      <c r="C668" t="inlineStr">
        <is>
          <t>other</t>
        </is>
      </c>
      <c r="D668" t="inlineStr">
        <is>
          <t>expenses</t>
        </is>
      </c>
      <c r="E668" s="21">
        <f>expenses!D73</f>
        <v/>
      </c>
      <c r="F668">
        <f>IF(B668="","",LEFT(B668,4))</f>
        <v/>
      </c>
      <c r="G668">
        <f>IF(A668="","",INDEX(vehicles!$I$2:$I$5,MATCH(A668,vehicles!$A$2:$A$5,0)))</f>
        <v/>
      </c>
      <c r="H668">
        <f>expenses!C73</f>
        <v/>
      </c>
    </row>
    <row r="669">
      <c r="A669" s="5">
        <f>expenses!A74</f>
        <v/>
      </c>
      <c r="B669" s="5">
        <f>LEFT(expenses!B74,10)</f>
        <v/>
      </c>
      <c r="C669" t="inlineStr">
        <is>
          <t>other</t>
        </is>
      </c>
      <c r="D669" t="inlineStr">
        <is>
          <t>expenses</t>
        </is>
      </c>
      <c r="E669" s="21">
        <f>expenses!D74</f>
        <v/>
      </c>
      <c r="F669">
        <f>IF(B669="","",LEFT(B669,4))</f>
        <v/>
      </c>
      <c r="G669">
        <f>IF(A669="","",INDEX(vehicles!$I$2:$I$5,MATCH(A669,vehicles!$A$2:$A$5,0)))</f>
        <v/>
      </c>
      <c r="H669">
        <f>expenses!C74</f>
        <v/>
      </c>
    </row>
    <row r="670">
      <c r="A670" s="5">
        <f>expenses!A75</f>
        <v/>
      </c>
      <c r="B670" s="5">
        <f>LEFT(expenses!B75,10)</f>
        <v/>
      </c>
      <c r="C670" t="inlineStr">
        <is>
          <t>other</t>
        </is>
      </c>
      <c r="D670" t="inlineStr">
        <is>
          <t>expenses</t>
        </is>
      </c>
      <c r="E670" s="21">
        <f>expenses!D75</f>
        <v/>
      </c>
      <c r="F670">
        <f>IF(B670="","",LEFT(B670,4))</f>
        <v/>
      </c>
      <c r="G670">
        <f>IF(A670="","",INDEX(vehicles!$I$2:$I$5,MATCH(A670,vehicles!$A$2:$A$5,0)))</f>
        <v/>
      </c>
      <c r="H670">
        <f>expenses!C75</f>
        <v/>
      </c>
    </row>
    <row r="671">
      <c r="A671" s="5">
        <f>expenses!A76</f>
        <v/>
      </c>
      <c r="B671" s="5">
        <f>LEFT(expenses!B76,10)</f>
        <v/>
      </c>
      <c r="C671" t="inlineStr">
        <is>
          <t>other</t>
        </is>
      </c>
      <c r="D671" t="inlineStr">
        <is>
          <t>expenses</t>
        </is>
      </c>
      <c r="E671" s="21">
        <f>expenses!D76</f>
        <v/>
      </c>
      <c r="F671">
        <f>IF(B671="","",LEFT(B671,4))</f>
        <v/>
      </c>
      <c r="G671">
        <f>IF(A671="","",INDEX(vehicles!$I$2:$I$5,MATCH(A671,vehicles!$A$2:$A$5,0)))</f>
        <v/>
      </c>
      <c r="H671">
        <f>expenses!C76</f>
        <v/>
      </c>
    </row>
    <row r="672">
      <c r="A672" s="5">
        <f>expenses!A77</f>
        <v/>
      </c>
      <c r="B672" s="5">
        <f>LEFT(expenses!B77,10)</f>
        <v/>
      </c>
      <c r="C672" t="inlineStr">
        <is>
          <t>other</t>
        </is>
      </c>
      <c r="D672" t="inlineStr">
        <is>
          <t>expenses</t>
        </is>
      </c>
      <c r="E672" s="21">
        <f>expenses!D77</f>
        <v/>
      </c>
      <c r="F672">
        <f>IF(B672="","",LEFT(B672,4))</f>
        <v/>
      </c>
      <c r="G672">
        <f>IF(A672="","",INDEX(vehicles!$I$2:$I$5,MATCH(A672,vehicles!$A$2:$A$5,0)))</f>
        <v/>
      </c>
      <c r="H672">
        <f>expenses!C77</f>
        <v/>
      </c>
    </row>
    <row r="673">
      <c r="A673" s="5">
        <f>expenses!A78</f>
        <v/>
      </c>
      <c r="B673" s="5">
        <f>LEFT(expenses!B78,10)</f>
        <v/>
      </c>
      <c r="C673" t="inlineStr">
        <is>
          <t>other</t>
        </is>
      </c>
      <c r="D673" t="inlineStr">
        <is>
          <t>expenses</t>
        </is>
      </c>
      <c r="E673" s="21">
        <f>expenses!D78</f>
        <v/>
      </c>
      <c r="F673">
        <f>IF(B673="","",LEFT(B673,4))</f>
        <v/>
      </c>
      <c r="G673">
        <f>IF(A673="","",INDEX(vehicles!$I$2:$I$5,MATCH(A673,vehicles!$A$2:$A$5,0)))</f>
        <v/>
      </c>
      <c r="H673">
        <f>expenses!C78</f>
        <v/>
      </c>
    </row>
    <row r="674">
      <c r="A674" s="5">
        <f>expenses!A79</f>
        <v/>
      </c>
      <c r="B674" s="5">
        <f>LEFT(expenses!B79,10)</f>
        <v/>
      </c>
      <c r="C674" t="inlineStr">
        <is>
          <t>other</t>
        </is>
      </c>
      <c r="D674" t="inlineStr">
        <is>
          <t>expenses</t>
        </is>
      </c>
      <c r="E674" s="21">
        <f>expenses!D79</f>
        <v/>
      </c>
      <c r="F674">
        <f>IF(B674="","",LEFT(B674,4))</f>
        <v/>
      </c>
      <c r="G674">
        <f>IF(A674="","",INDEX(vehicles!$I$2:$I$5,MATCH(A674,vehicles!$A$2:$A$5,0)))</f>
        <v/>
      </c>
      <c r="H674">
        <f>expenses!C79</f>
        <v/>
      </c>
    </row>
    <row r="675">
      <c r="A675" s="5">
        <f>expenses!A80</f>
        <v/>
      </c>
      <c r="B675" s="5">
        <f>LEFT(expenses!B80,10)</f>
        <v/>
      </c>
      <c r="C675" t="inlineStr">
        <is>
          <t>other</t>
        </is>
      </c>
      <c r="D675" t="inlineStr">
        <is>
          <t>expenses</t>
        </is>
      </c>
      <c r="E675" s="21">
        <f>expenses!D80</f>
        <v/>
      </c>
      <c r="F675">
        <f>IF(B675="","",LEFT(B675,4))</f>
        <v/>
      </c>
      <c r="G675">
        <f>IF(A675="","",INDEX(vehicles!$I$2:$I$5,MATCH(A675,vehicles!$A$2:$A$5,0)))</f>
        <v/>
      </c>
      <c r="H675">
        <f>expenses!C80</f>
        <v/>
      </c>
    </row>
    <row r="676">
      <c r="A676" s="5">
        <f>expenses!A81</f>
        <v/>
      </c>
      <c r="B676" s="5">
        <f>LEFT(expenses!B81,10)</f>
        <v/>
      </c>
      <c r="C676" t="inlineStr">
        <is>
          <t>other</t>
        </is>
      </c>
      <c r="D676" t="inlineStr">
        <is>
          <t>expenses</t>
        </is>
      </c>
      <c r="E676" s="21">
        <f>expenses!D81</f>
        <v/>
      </c>
      <c r="F676">
        <f>IF(B676="","",LEFT(B676,4))</f>
        <v/>
      </c>
      <c r="G676">
        <f>IF(A676="","",INDEX(vehicles!$I$2:$I$5,MATCH(A676,vehicles!$A$2:$A$5,0)))</f>
        <v/>
      </c>
      <c r="H676">
        <f>expenses!C81</f>
        <v/>
      </c>
    </row>
    <row r="677">
      <c r="A677" s="5">
        <f>expenses!A82</f>
        <v/>
      </c>
      <c r="B677" s="5">
        <f>LEFT(expenses!B82,10)</f>
        <v/>
      </c>
      <c r="C677" t="inlineStr">
        <is>
          <t>other</t>
        </is>
      </c>
      <c r="D677" t="inlineStr">
        <is>
          <t>expenses</t>
        </is>
      </c>
      <c r="E677" s="21">
        <f>expenses!D82</f>
        <v/>
      </c>
      <c r="F677">
        <f>IF(B677="","",LEFT(B677,4))</f>
        <v/>
      </c>
      <c r="G677">
        <f>IF(A677="","",INDEX(vehicles!$I$2:$I$5,MATCH(A677,vehicles!$A$2:$A$5,0)))</f>
        <v/>
      </c>
      <c r="H677">
        <f>expenses!C82</f>
        <v/>
      </c>
    </row>
    <row r="678">
      <c r="A678" s="5">
        <f>expenses!A83</f>
        <v/>
      </c>
      <c r="B678" s="5">
        <f>LEFT(expenses!B83,10)</f>
        <v/>
      </c>
      <c r="C678" t="inlineStr">
        <is>
          <t>other</t>
        </is>
      </c>
      <c r="D678" t="inlineStr">
        <is>
          <t>expenses</t>
        </is>
      </c>
      <c r="E678" s="21">
        <f>expenses!D83</f>
        <v/>
      </c>
      <c r="F678">
        <f>IF(B678="","",LEFT(B678,4))</f>
        <v/>
      </c>
      <c r="G678">
        <f>IF(A678="","",INDEX(vehicles!$I$2:$I$5,MATCH(A678,vehicles!$A$2:$A$5,0)))</f>
        <v/>
      </c>
      <c r="H678">
        <f>expenses!C83</f>
        <v/>
      </c>
    </row>
    <row r="679">
      <c r="A679" s="5">
        <f>expenses!A84</f>
        <v/>
      </c>
      <c r="B679" s="5">
        <f>LEFT(expenses!B84,10)</f>
        <v/>
      </c>
      <c r="C679" t="inlineStr">
        <is>
          <t>other</t>
        </is>
      </c>
      <c r="D679" t="inlineStr">
        <is>
          <t>expenses</t>
        </is>
      </c>
      <c r="E679" s="21">
        <f>expenses!D84</f>
        <v/>
      </c>
      <c r="F679">
        <f>IF(B679="","",LEFT(B679,4))</f>
        <v/>
      </c>
      <c r="G679">
        <f>IF(A679="","",INDEX(vehicles!$I$2:$I$5,MATCH(A679,vehicles!$A$2:$A$5,0)))</f>
        <v/>
      </c>
      <c r="H679">
        <f>expenses!C84</f>
        <v/>
      </c>
    </row>
    <row r="680">
      <c r="A680" s="5">
        <f>expenses!A85</f>
        <v/>
      </c>
      <c r="B680" s="5">
        <f>LEFT(expenses!B85,10)</f>
        <v/>
      </c>
      <c r="C680" t="inlineStr">
        <is>
          <t>other</t>
        </is>
      </c>
      <c r="D680" t="inlineStr">
        <is>
          <t>expenses</t>
        </is>
      </c>
      <c r="E680" s="21">
        <f>expenses!D85</f>
        <v/>
      </c>
      <c r="F680">
        <f>IF(B680="","",LEFT(B680,4))</f>
        <v/>
      </c>
      <c r="G680">
        <f>IF(A680="","",INDEX(vehicles!$I$2:$I$5,MATCH(A680,vehicles!$A$2:$A$5,0)))</f>
        <v/>
      </c>
      <c r="H680">
        <f>expenses!C85</f>
        <v/>
      </c>
    </row>
    <row r="681">
      <c r="A681" s="5">
        <f>expenses!A86</f>
        <v/>
      </c>
      <c r="B681" s="5">
        <f>LEFT(expenses!B86,10)</f>
        <v/>
      </c>
      <c r="C681" t="inlineStr">
        <is>
          <t>other</t>
        </is>
      </c>
      <c r="D681" t="inlineStr">
        <is>
          <t>expenses</t>
        </is>
      </c>
      <c r="E681" s="21">
        <f>expenses!D86</f>
        <v/>
      </c>
      <c r="F681">
        <f>IF(B681="","",LEFT(B681,4))</f>
        <v/>
      </c>
      <c r="G681">
        <f>IF(A681="","",INDEX(vehicles!$I$2:$I$5,MATCH(A681,vehicles!$A$2:$A$5,0)))</f>
        <v/>
      </c>
      <c r="H681">
        <f>expenses!C86</f>
        <v/>
      </c>
    </row>
    <row r="682">
      <c r="A682" s="5">
        <f>expenses!A87</f>
        <v/>
      </c>
      <c r="B682" s="5">
        <f>LEFT(expenses!B87,10)</f>
        <v/>
      </c>
      <c r="C682" t="inlineStr">
        <is>
          <t>other</t>
        </is>
      </c>
      <c r="D682" t="inlineStr">
        <is>
          <t>expenses</t>
        </is>
      </c>
      <c r="E682" s="21">
        <f>expenses!D87</f>
        <v/>
      </c>
      <c r="F682">
        <f>IF(B682="","",LEFT(B682,4))</f>
        <v/>
      </c>
      <c r="G682">
        <f>IF(A682="","",INDEX(vehicles!$I$2:$I$5,MATCH(A682,vehicles!$A$2:$A$5,0)))</f>
        <v/>
      </c>
      <c r="H682">
        <f>expenses!C87</f>
        <v/>
      </c>
    </row>
    <row r="683">
      <c r="A683" s="5">
        <f>expenses!A88</f>
        <v/>
      </c>
      <c r="B683" s="5">
        <f>LEFT(expenses!B88,10)</f>
        <v/>
      </c>
      <c r="C683" t="inlineStr">
        <is>
          <t>other</t>
        </is>
      </c>
      <c r="D683" t="inlineStr">
        <is>
          <t>expenses</t>
        </is>
      </c>
      <c r="E683" s="21">
        <f>expenses!D88</f>
        <v/>
      </c>
      <c r="F683">
        <f>IF(B683="","",LEFT(B683,4))</f>
        <v/>
      </c>
      <c r="G683">
        <f>IF(A683="","",INDEX(vehicles!$I$2:$I$5,MATCH(A683,vehicles!$A$2:$A$5,0)))</f>
        <v/>
      </c>
      <c r="H683">
        <f>expenses!C88</f>
        <v/>
      </c>
    </row>
    <row r="684">
      <c r="A684" s="5">
        <f>expenses!A89</f>
        <v/>
      </c>
      <c r="B684" s="5">
        <f>LEFT(expenses!B89,10)</f>
        <v/>
      </c>
      <c r="C684" t="inlineStr">
        <is>
          <t>other</t>
        </is>
      </c>
      <c r="D684" t="inlineStr">
        <is>
          <t>expenses</t>
        </is>
      </c>
      <c r="E684" s="21">
        <f>expenses!D89</f>
        <v/>
      </c>
      <c r="F684">
        <f>IF(B684="","",LEFT(B684,4))</f>
        <v/>
      </c>
      <c r="G684">
        <f>IF(A684="","",INDEX(vehicles!$I$2:$I$5,MATCH(A684,vehicles!$A$2:$A$5,0)))</f>
        <v/>
      </c>
      <c r="H684">
        <f>expenses!C89</f>
        <v/>
      </c>
    </row>
    <row r="685">
      <c r="A685" s="5">
        <f>expenses!A90</f>
        <v/>
      </c>
      <c r="B685" s="5">
        <f>LEFT(expenses!B90,10)</f>
        <v/>
      </c>
      <c r="C685" t="inlineStr">
        <is>
          <t>other</t>
        </is>
      </c>
      <c r="D685" t="inlineStr">
        <is>
          <t>expenses</t>
        </is>
      </c>
      <c r="E685" s="21">
        <f>expenses!D90</f>
        <v/>
      </c>
      <c r="F685">
        <f>IF(B685="","",LEFT(B685,4))</f>
        <v/>
      </c>
      <c r="G685">
        <f>IF(A685="","",INDEX(vehicles!$I$2:$I$5,MATCH(A685,vehicles!$A$2:$A$5,0)))</f>
        <v/>
      </c>
      <c r="H685">
        <f>expenses!C90</f>
        <v/>
      </c>
    </row>
    <row r="686">
      <c r="A686" s="5">
        <f>expenses!A91</f>
        <v/>
      </c>
      <c r="B686" s="5">
        <f>LEFT(expenses!B91,10)</f>
        <v/>
      </c>
      <c r="C686" t="inlineStr">
        <is>
          <t>other</t>
        </is>
      </c>
      <c r="D686" t="inlineStr">
        <is>
          <t>expenses</t>
        </is>
      </c>
      <c r="E686" s="21">
        <f>expenses!D91</f>
        <v/>
      </c>
      <c r="F686">
        <f>IF(B686="","",LEFT(B686,4))</f>
        <v/>
      </c>
      <c r="G686">
        <f>IF(A686="","",INDEX(vehicles!$I$2:$I$5,MATCH(A686,vehicles!$A$2:$A$5,0)))</f>
        <v/>
      </c>
      <c r="H686">
        <f>expenses!C91</f>
        <v/>
      </c>
    </row>
    <row r="687">
      <c r="A687" s="5">
        <f>expenses!A92</f>
        <v/>
      </c>
      <c r="B687" s="5">
        <f>LEFT(expenses!B92,10)</f>
        <v/>
      </c>
      <c r="C687" t="inlineStr">
        <is>
          <t>other</t>
        </is>
      </c>
      <c r="D687" t="inlineStr">
        <is>
          <t>expenses</t>
        </is>
      </c>
      <c r="E687" s="21">
        <f>expenses!D92</f>
        <v/>
      </c>
      <c r="F687">
        <f>IF(B687="","",LEFT(B687,4))</f>
        <v/>
      </c>
      <c r="G687">
        <f>IF(A687="","",INDEX(vehicles!$I$2:$I$5,MATCH(A687,vehicles!$A$2:$A$5,0)))</f>
        <v/>
      </c>
      <c r="H687">
        <f>expenses!C92</f>
        <v/>
      </c>
    </row>
    <row r="688">
      <c r="A688" s="5">
        <f>expenses!A93</f>
        <v/>
      </c>
      <c r="B688" s="5">
        <f>LEFT(expenses!B93,10)</f>
        <v/>
      </c>
      <c r="C688" t="inlineStr">
        <is>
          <t>other</t>
        </is>
      </c>
      <c r="D688" t="inlineStr">
        <is>
          <t>expenses</t>
        </is>
      </c>
      <c r="E688" s="21">
        <f>expenses!D93</f>
        <v/>
      </c>
      <c r="F688">
        <f>IF(B688="","",LEFT(B688,4))</f>
        <v/>
      </c>
      <c r="G688">
        <f>IF(A688="","",INDEX(vehicles!$I$2:$I$5,MATCH(A688,vehicles!$A$2:$A$5,0)))</f>
        <v/>
      </c>
      <c r="H688">
        <f>expenses!C93</f>
        <v/>
      </c>
    </row>
    <row r="689">
      <c r="A689" s="5">
        <f>expenses!A94</f>
        <v/>
      </c>
      <c r="B689" s="5">
        <f>LEFT(expenses!B94,10)</f>
        <v/>
      </c>
      <c r="C689" t="inlineStr">
        <is>
          <t>other</t>
        </is>
      </c>
      <c r="D689" t="inlineStr">
        <is>
          <t>expenses</t>
        </is>
      </c>
      <c r="E689" s="21">
        <f>expenses!D94</f>
        <v/>
      </c>
      <c r="F689">
        <f>IF(B689="","",LEFT(B689,4))</f>
        <v/>
      </c>
      <c r="G689">
        <f>IF(A689="","",INDEX(vehicles!$I$2:$I$5,MATCH(A689,vehicles!$A$2:$A$5,0)))</f>
        <v/>
      </c>
      <c r="H689">
        <f>expenses!C94</f>
        <v/>
      </c>
    </row>
    <row r="690">
      <c r="A690" s="5">
        <f>expenses!A95</f>
        <v/>
      </c>
      <c r="B690" s="5">
        <f>LEFT(expenses!B95,10)</f>
        <v/>
      </c>
      <c r="C690" t="inlineStr">
        <is>
          <t>other</t>
        </is>
      </c>
      <c r="D690" t="inlineStr">
        <is>
          <t>expenses</t>
        </is>
      </c>
      <c r="E690" s="21">
        <f>expenses!D95</f>
        <v/>
      </c>
      <c r="F690">
        <f>IF(B690="","",LEFT(B690,4))</f>
        <v/>
      </c>
      <c r="G690">
        <f>IF(A690="","",INDEX(vehicles!$I$2:$I$5,MATCH(A690,vehicles!$A$2:$A$5,0)))</f>
        <v/>
      </c>
      <c r="H690">
        <f>expenses!C95</f>
        <v/>
      </c>
    </row>
    <row r="691">
      <c r="A691" s="5">
        <f>expenses!A96</f>
        <v/>
      </c>
      <c r="B691" s="5">
        <f>LEFT(expenses!B96,10)</f>
        <v/>
      </c>
      <c r="C691" t="inlineStr">
        <is>
          <t>other</t>
        </is>
      </c>
      <c r="D691" t="inlineStr">
        <is>
          <t>expenses</t>
        </is>
      </c>
      <c r="E691" s="21">
        <f>expenses!D96</f>
        <v/>
      </c>
      <c r="F691">
        <f>IF(B691="","",LEFT(B691,4))</f>
        <v/>
      </c>
      <c r="G691">
        <f>IF(A691="","",INDEX(vehicles!$I$2:$I$5,MATCH(A691,vehicles!$A$2:$A$5,0)))</f>
        <v/>
      </c>
      <c r="H691">
        <f>expenses!C96</f>
        <v/>
      </c>
    </row>
    <row r="692">
      <c r="A692" s="5">
        <f>expenses!A97</f>
        <v/>
      </c>
      <c r="B692" s="5">
        <f>LEFT(expenses!B97,10)</f>
        <v/>
      </c>
      <c r="C692" t="inlineStr">
        <is>
          <t>other</t>
        </is>
      </c>
      <c r="D692" t="inlineStr">
        <is>
          <t>expenses</t>
        </is>
      </c>
      <c r="E692" s="21">
        <f>expenses!D97</f>
        <v/>
      </c>
      <c r="F692">
        <f>IF(B692="","",LEFT(B692,4))</f>
        <v/>
      </c>
      <c r="G692">
        <f>IF(A692="","",INDEX(vehicles!$I$2:$I$5,MATCH(A692,vehicles!$A$2:$A$5,0)))</f>
        <v/>
      </c>
      <c r="H692">
        <f>expenses!C97</f>
        <v/>
      </c>
    </row>
    <row r="693">
      <c r="A693" s="5">
        <f>expenses!A98</f>
        <v/>
      </c>
      <c r="B693" s="5">
        <f>LEFT(expenses!B98,10)</f>
        <v/>
      </c>
      <c r="C693" t="inlineStr">
        <is>
          <t>other</t>
        </is>
      </c>
      <c r="D693" t="inlineStr">
        <is>
          <t>expenses</t>
        </is>
      </c>
      <c r="E693" s="21">
        <f>expenses!D98</f>
        <v/>
      </c>
      <c r="F693">
        <f>IF(B693="","",LEFT(B693,4))</f>
        <v/>
      </c>
      <c r="G693">
        <f>IF(A693="","",INDEX(vehicles!$I$2:$I$5,MATCH(A693,vehicles!$A$2:$A$5,0)))</f>
        <v/>
      </c>
      <c r="H693">
        <f>expenses!C98</f>
        <v/>
      </c>
    </row>
    <row r="694">
      <c r="A694" s="5">
        <f>expenses!A99</f>
        <v/>
      </c>
      <c r="B694" s="5">
        <f>LEFT(expenses!B99,10)</f>
        <v/>
      </c>
      <c r="C694" t="inlineStr">
        <is>
          <t>other</t>
        </is>
      </c>
      <c r="D694" t="inlineStr">
        <is>
          <t>expenses</t>
        </is>
      </c>
      <c r="E694" s="21">
        <f>expenses!D99</f>
        <v/>
      </c>
      <c r="F694">
        <f>IF(B694="","",LEFT(B694,4))</f>
        <v/>
      </c>
      <c r="G694">
        <f>IF(A694="","",INDEX(vehicles!$I$2:$I$5,MATCH(A694,vehicles!$A$2:$A$5,0)))</f>
        <v/>
      </c>
      <c r="H694">
        <f>expenses!C99</f>
        <v/>
      </c>
    </row>
    <row r="695">
      <c r="A695" s="5">
        <f>expenses!A100</f>
        <v/>
      </c>
      <c r="B695" s="5">
        <f>LEFT(expenses!B100,10)</f>
        <v/>
      </c>
      <c r="C695" t="inlineStr">
        <is>
          <t>other</t>
        </is>
      </c>
      <c r="D695" t="inlineStr">
        <is>
          <t>expenses</t>
        </is>
      </c>
      <c r="E695" s="21">
        <f>expenses!D100</f>
        <v/>
      </c>
      <c r="F695">
        <f>IF(B695="","",LEFT(B695,4))</f>
        <v/>
      </c>
      <c r="G695">
        <f>IF(A695="","",INDEX(vehicles!$I$2:$I$5,MATCH(A695,vehicles!$A$2:$A$5,0)))</f>
        <v/>
      </c>
      <c r="H695">
        <f>expenses!C100</f>
        <v/>
      </c>
    </row>
    <row r="696">
      <c r="A696" s="5">
        <f>expenses!A101</f>
        <v/>
      </c>
      <c r="B696" s="5">
        <f>LEFT(expenses!B101,10)</f>
        <v/>
      </c>
      <c r="C696" t="inlineStr">
        <is>
          <t>other</t>
        </is>
      </c>
      <c r="D696" t="inlineStr">
        <is>
          <t>expenses</t>
        </is>
      </c>
      <c r="E696" s="21">
        <f>expenses!D101</f>
        <v/>
      </c>
      <c r="F696">
        <f>IF(B696="","",LEFT(B696,4))</f>
        <v/>
      </c>
      <c r="G696">
        <f>IF(A696="","",INDEX(vehicles!$I$2:$I$5,MATCH(A696,vehicles!$A$2:$A$5,0)))</f>
        <v/>
      </c>
      <c r="H696">
        <f>expenses!C101</f>
        <v/>
      </c>
    </row>
    <row r="697">
      <c r="A697" s="5">
        <f>expenses!A102</f>
        <v/>
      </c>
      <c r="B697" s="5">
        <f>LEFT(expenses!B102,10)</f>
        <v/>
      </c>
      <c r="C697" t="inlineStr">
        <is>
          <t>other</t>
        </is>
      </c>
      <c r="D697" t="inlineStr">
        <is>
          <t>expenses</t>
        </is>
      </c>
      <c r="E697" s="21">
        <f>expenses!D102</f>
        <v/>
      </c>
      <c r="F697">
        <f>IF(B697="","",LEFT(B697,4))</f>
        <v/>
      </c>
      <c r="G697">
        <f>IF(A697="","",INDEX(vehicles!$I$2:$I$5,MATCH(A697,vehicles!$A$2:$A$5,0)))</f>
        <v/>
      </c>
      <c r="H697">
        <f>expenses!C102</f>
        <v/>
      </c>
    </row>
    <row r="698">
      <c r="A698" s="5">
        <f>expenses!A103</f>
        <v/>
      </c>
      <c r="B698" s="5">
        <f>LEFT(expenses!B103,10)</f>
        <v/>
      </c>
      <c r="C698" t="inlineStr">
        <is>
          <t>other</t>
        </is>
      </c>
      <c r="D698" t="inlineStr">
        <is>
          <t>expenses</t>
        </is>
      </c>
      <c r="E698" s="21">
        <f>expenses!D103</f>
        <v/>
      </c>
      <c r="F698">
        <f>IF(B698="","",LEFT(B698,4))</f>
        <v/>
      </c>
      <c r="G698">
        <f>IF(A698="","",INDEX(vehicles!$I$2:$I$5,MATCH(A698,vehicles!$A$2:$A$5,0)))</f>
        <v/>
      </c>
      <c r="H698">
        <f>expenses!C103</f>
        <v/>
      </c>
    </row>
    <row r="699">
      <c r="A699" s="5">
        <f>expenses!A104</f>
        <v/>
      </c>
      <c r="B699" s="5">
        <f>LEFT(expenses!B104,10)</f>
        <v/>
      </c>
      <c r="C699" t="inlineStr">
        <is>
          <t>other</t>
        </is>
      </c>
      <c r="D699" t="inlineStr">
        <is>
          <t>expenses</t>
        </is>
      </c>
      <c r="E699" s="21">
        <f>expenses!D104</f>
        <v/>
      </c>
      <c r="F699">
        <f>IF(B699="","",LEFT(B699,4))</f>
        <v/>
      </c>
      <c r="G699">
        <f>IF(A699="","",INDEX(vehicles!$I$2:$I$5,MATCH(A699,vehicles!$A$2:$A$5,0)))</f>
        <v/>
      </c>
      <c r="H699">
        <f>expenses!C104</f>
        <v/>
      </c>
    </row>
    <row r="700">
      <c r="A700" s="5">
        <f>expenses!A105</f>
        <v/>
      </c>
      <c r="B700" s="5">
        <f>LEFT(expenses!B105,10)</f>
        <v/>
      </c>
      <c r="C700" t="inlineStr">
        <is>
          <t>other</t>
        </is>
      </c>
      <c r="D700" t="inlineStr">
        <is>
          <t>expenses</t>
        </is>
      </c>
      <c r="E700" s="21">
        <f>expenses!D105</f>
        <v/>
      </c>
      <c r="F700">
        <f>IF(B700="","",LEFT(B700,4))</f>
        <v/>
      </c>
      <c r="G700">
        <f>IF(A700="","",INDEX(vehicles!$I$2:$I$5,MATCH(A700,vehicles!$A$2:$A$5,0)))</f>
        <v/>
      </c>
      <c r="H700">
        <f>expenses!C105</f>
        <v/>
      </c>
    </row>
    <row r="701">
      <c r="A701" s="5">
        <f>expenses!A106</f>
        <v/>
      </c>
      <c r="B701" s="5">
        <f>LEFT(expenses!B106,10)</f>
        <v/>
      </c>
      <c r="C701" t="inlineStr">
        <is>
          <t>other</t>
        </is>
      </c>
      <c r="D701" t="inlineStr">
        <is>
          <t>expenses</t>
        </is>
      </c>
      <c r="E701" s="21">
        <f>expenses!D106</f>
        <v/>
      </c>
      <c r="F701">
        <f>IF(B701="","",LEFT(B701,4))</f>
        <v/>
      </c>
      <c r="G701">
        <f>IF(A701="","",INDEX(vehicles!$I$2:$I$5,MATCH(A701,vehicles!$A$2:$A$5,0)))</f>
        <v/>
      </c>
      <c r="H701">
        <f>expenses!C106</f>
        <v/>
      </c>
    </row>
    <row r="702">
      <c r="A702" s="5">
        <f>expenses!A107</f>
        <v/>
      </c>
      <c r="B702" s="5">
        <f>LEFT(expenses!B107,10)</f>
        <v/>
      </c>
      <c r="C702" t="inlineStr">
        <is>
          <t>other</t>
        </is>
      </c>
      <c r="D702" t="inlineStr">
        <is>
          <t>expenses</t>
        </is>
      </c>
      <c r="E702" s="21">
        <f>expenses!D107</f>
        <v/>
      </c>
      <c r="F702">
        <f>IF(B702="","",LEFT(B702,4))</f>
        <v/>
      </c>
      <c r="G702">
        <f>IF(A702="","",INDEX(vehicles!$I$2:$I$5,MATCH(A702,vehicles!$A$2:$A$5,0)))</f>
        <v/>
      </c>
      <c r="H702">
        <f>expenses!C107</f>
        <v/>
      </c>
    </row>
    <row r="703">
      <c r="A703" s="5">
        <f>expenses!A108</f>
        <v/>
      </c>
      <c r="B703" s="5">
        <f>LEFT(expenses!B108,10)</f>
        <v/>
      </c>
      <c r="C703" t="inlineStr">
        <is>
          <t>other</t>
        </is>
      </c>
      <c r="D703" t="inlineStr">
        <is>
          <t>expenses</t>
        </is>
      </c>
      <c r="E703" s="21">
        <f>expenses!D108</f>
        <v/>
      </c>
      <c r="F703">
        <f>IF(B703="","",LEFT(B703,4))</f>
        <v/>
      </c>
      <c r="G703">
        <f>IF(A703="","",INDEX(vehicles!$I$2:$I$5,MATCH(A703,vehicles!$A$2:$A$5,0)))</f>
        <v/>
      </c>
      <c r="H703">
        <f>expenses!C108</f>
        <v/>
      </c>
    </row>
    <row r="704">
      <c r="A704" s="5">
        <f>expenses!A109</f>
        <v/>
      </c>
      <c r="B704" s="5">
        <f>LEFT(expenses!B109,10)</f>
        <v/>
      </c>
      <c r="C704" t="inlineStr">
        <is>
          <t>other</t>
        </is>
      </c>
      <c r="D704" t="inlineStr">
        <is>
          <t>expenses</t>
        </is>
      </c>
      <c r="E704" s="21">
        <f>expenses!D109</f>
        <v/>
      </c>
      <c r="F704">
        <f>IF(B704="","",LEFT(B704,4))</f>
        <v/>
      </c>
      <c r="G704">
        <f>IF(A704="","",INDEX(vehicles!$I$2:$I$5,MATCH(A704,vehicles!$A$2:$A$5,0)))</f>
        <v/>
      </c>
      <c r="H704">
        <f>expenses!C109</f>
        <v/>
      </c>
    </row>
    <row r="705">
      <c r="A705" s="5">
        <f>expenses!A110</f>
        <v/>
      </c>
      <c r="B705" s="5">
        <f>LEFT(expenses!B110,10)</f>
        <v/>
      </c>
      <c r="C705" t="inlineStr">
        <is>
          <t>other</t>
        </is>
      </c>
      <c r="D705" t="inlineStr">
        <is>
          <t>expenses</t>
        </is>
      </c>
      <c r="E705" s="21">
        <f>expenses!D110</f>
        <v/>
      </c>
      <c r="F705">
        <f>IF(B705="","",LEFT(B705,4))</f>
        <v/>
      </c>
      <c r="G705">
        <f>IF(A705="","",INDEX(vehicles!$I$2:$I$5,MATCH(A705,vehicles!$A$2:$A$5,0)))</f>
        <v/>
      </c>
      <c r="H705">
        <f>expenses!C110</f>
        <v/>
      </c>
    </row>
    <row r="706">
      <c r="A706" s="5">
        <f>expenses!A111</f>
        <v/>
      </c>
      <c r="B706" s="5">
        <f>LEFT(expenses!B111,10)</f>
        <v/>
      </c>
      <c r="C706" t="inlineStr">
        <is>
          <t>other</t>
        </is>
      </c>
      <c r="D706" t="inlineStr">
        <is>
          <t>expenses</t>
        </is>
      </c>
      <c r="E706" s="21">
        <f>expenses!D111</f>
        <v/>
      </c>
      <c r="F706">
        <f>IF(B706="","",LEFT(B706,4))</f>
        <v/>
      </c>
      <c r="G706">
        <f>IF(A706="","",INDEX(vehicles!$I$2:$I$5,MATCH(A706,vehicles!$A$2:$A$5,0)))</f>
        <v/>
      </c>
      <c r="H706">
        <f>expenses!C111</f>
        <v/>
      </c>
    </row>
    <row r="707">
      <c r="A707" s="5">
        <f>expenses!A112</f>
        <v/>
      </c>
      <c r="B707" s="5">
        <f>LEFT(expenses!B112,10)</f>
        <v/>
      </c>
      <c r="C707" t="inlineStr">
        <is>
          <t>other</t>
        </is>
      </c>
      <c r="D707" t="inlineStr">
        <is>
          <t>expenses</t>
        </is>
      </c>
      <c r="E707" s="21">
        <f>expenses!D112</f>
        <v/>
      </c>
      <c r="F707">
        <f>IF(B707="","",LEFT(B707,4))</f>
        <v/>
      </c>
      <c r="G707">
        <f>IF(A707="","",INDEX(vehicles!$I$2:$I$5,MATCH(A707,vehicles!$A$2:$A$5,0)))</f>
        <v/>
      </c>
      <c r="H707">
        <f>expenses!C112</f>
        <v/>
      </c>
    </row>
    <row r="708">
      <c r="A708" s="5">
        <f>expenses!A113</f>
        <v/>
      </c>
      <c r="B708" s="5">
        <f>LEFT(expenses!B113,10)</f>
        <v/>
      </c>
      <c r="C708" t="inlineStr">
        <is>
          <t>other</t>
        </is>
      </c>
      <c r="D708" t="inlineStr">
        <is>
          <t>expenses</t>
        </is>
      </c>
      <c r="E708" s="21">
        <f>expenses!D113</f>
        <v/>
      </c>
      <c r="F708">
        <f>IF(B708="","",LEFT(B708,4))</f>
        <v/>
      </c>
      <c r="G708">
        <f>IF(A708="","",INDEX(vehicles!$I$2:$I$5,MATCH(A708,vehicles!$A$2:$A$5,0)))</f>
        <v/>
      </c>
      <c r="H708">
        <f>expenses!C113</f>
        <v/>
      </c>
    </row>
    <row r="709">
      <c r="A709" s="5">
        <f>expenses!A114</f>
        <v/>
      </c>
      <c r="B709" s="5">
        <f>LEFT(expenses!B114,10)</f>
        <v/>
      </c>
      <c r="C709" t="inlineStr">
        <is>
          <t>other</t>
        </is>
      </c>
      <c r="D709" t="inlineStr">
        <is>
          <t>expenses</t>
        </is>
      </c>
      <c r="E709" s="21">
        <f>expenses!D114</f>
        <v/>
      </c>
      <c r="F709">
        <f>IF(B709="","",LEFT(B709,4))</f>
        <v/>
      </c>
      <c r="G709">
        <f>IF(A709="","",INDEX(vehicles!$I$2:$I$5,MATCH(A709,vehicles!$A$2:$A$5,0)))</f>
        <v/>
      </c>
      <c r="H709">
        <f>expenses!C114</f>
        <v/>
      </c>
    </row>
    <row r="710">
      <c r="A710" s="5">
        <f>expenses!A115</f>
        <v/>
      </c>
      <c r="B710" s="5">
        <f>LEFT(expenses!B115,10)</f>
        <v/>
      </c>
      <c r="C710" t="inlineStr">
        <is>
          <t>other</t>
        </is>
      </c>
      <c r="D710" t="inlineStr">
        <is>
          <t>expenses</t>
        </is>
      </c>
      <c r="E710" s="21">
        <f>expenses!D115</f>
        <v/>
      </c>
      <c r="F710">
        <f>IF(B710="","",LEFT(B710,4))</f>
        <v/>
      </c>
      <c r="G710">
        <f>IF(A710="","",INDEX(vehicles!$I$2:$I$5,MATCH(A710,vehicles!$A$2:$A$5,0)))</f>
        <v/>
      </c>
      <c r="H710">
        <f>expenses!C115</f>
        <v/>
      </c>
    </row>
    <row r="711">
      <c r="A711" s="5">
        <f>expenses!A116</f>
        <v/>
      </c>
      <c r="B711" s="5">
        <f>LEFT(expenses!B116,10)</f>
        <v/>
      </c>
      <c r="C711" t="inlineStr">
        <is>
          <t>other</t>
        </is>
      </c>
      <c r="D711" t="inlineStr">
        <is>
          <t>expenses</t>
        </is>
      </c>
      <c r="E711" s="21">
        <f>expenses!D116</f>
        <v/>
      </c>
      <c r="F711">
        <f>IF(B711="","",LEFT(B711,4))</f>
        <v/>
      </c>
      <c r="G711">
        <f>IF(A711="","",INDEX(vehicles!$I$2:$I$5,MATCH(A711,vehicles!$A$2:$A$5,0)))</f>
        <v/>
      </c>
      <c r="H711">
        <f>expenses!C116</f>
        <v/>
      </c>
    </row>
    <row r="712">
      <c r="A712" s="5">
        <f>expenses!A117</f>
        <v/>
      </c>
      <c r="B712" s="5">
        <f>LEFT(expenses!B117,10)</f>
        <v/>
      </c>
      <c r="C712" t="inlineStr">
        <is>
          <t>other</t>
        </is>
      </c>
      <c r="D712" t="inlineStr">
        <is>
          <t>expenses</t>
        </is>
      </c>
      <c r="E712" s="21">
        <f>expenses!D117</f>
        <v/>
      </c>
      <c r="F712">
        <f>IF(B712="","",LEFT(B712,4))</f>
        <v/>
      </c>
      <c r="G712">
        <f>IF(A712="","",INDEX(vehicles!$I$2:$I$5,MATCH(A712,vehicles!$A$2:$A$5,0)))</f>
        <v/>
      </c>
      <c r="H712">
        <f>expenses!C117</f>
        <v/>
      </c>
    </row>
    <row r="713">
      <c r="A713" s="5">
        <f>expenses!A118</f>
        <v/>
      </c>
      <c r="B713" s="5">
        <f>LEFT(expenses!B118,10)</f>
        <v/>
      </c>
      <c r="C713" t="inlineStr">
        <is>
          <t>other</t>
        </is>
      </c>
      <c r="D713" t="inlineStr">
        <is>
          <t>expenses</t>
        </is>
      </c>
      <c r="E713" s="21">
        <f>expenses!D118</f>
        <v/>
      </c>
      <c r="F713">
        <f>IF(B713="","",LEFT(B713,4))</f>
        <v/>
      </c>
      <c r="G713">
        <f>IF(A713="","",INDEX(vehicles!$I$2:$I$5,MATCH(A713,vehicles!$A$2:$A$5,0)))</f>
        <v/>
      </c>
      <c r="H713">
        <f>expenses!C118</f>
        <v/>
      </c>
    </row>
    <row r="714">
      <c r="A714" s="5">
        <f>expenses!A119</f>
        <v/>
      </c>
      <c r="B714" s="5">
        <f>LEFT(expenses!B119,10)</f>
        <v/>
      </c>
      <c r="C714" t="inlineStr">
        <is>
          <t>other</t>
        </is>
      </c>
      <c r="D714" t="inlineStr">
        <is>
          <t>expenses</t>
        </is>
      </c>
      <c r="E714" s="21">
        <f>expenses!D119</f>
        <v/>
      </c>
      <c r="F714">
        <f>IF(B714="","",LEFT(B714,4))</f>
        <v/>
      </c>
      <c r="G714">
        <f>IF(A714="","",INDEX(vehicles!$I$2:$I$5,MATCH(A714,vehicles!$A$2:$A$5,0)))</f>
        <v/>
      </c>
      <c r="H714">
        <f>expenses!C119</f>
        <v/>
      </c>
    </row>
    <row r="715">
      <c r="A715" s="5">
        <f>expenses!A120</f>
        <v/>
      </c>
      <c r="B715" s="5">
        <f>LEFT(expenses!B120,10)</f>
        <v/>
      </c>
      <c r="C715" t="inlineStr">
        <is>
          <t>other</t>
        </is>
      </c>
      <c r="D715" t="inlineStr">
        <is>
          <t>expenses</t>
        </is>
      </c>
      <c r="E715" s="21">
        <f>expenses!D120</f>
        <v/>
      </c>
      <c r="F715">
        <f>IF(B715="","",LEFT(B715,4))</f>
        <v/>
      </c>
      <c r="G715">
        <f>IF(A715="","",INDEX(vehicles!$I$2:$I$5,MATCH(A715,vehicles!$A$2:$A$5,0)))</f>
        <v/>
      </c>
      <c r="H715">
        <f>expenses!C120</f>
        <v/>
      </c>
    </row>
    <row r="716">
      <c r="A716" s="5">
        <f>expenses!A121</f>
        <v/>
      </c>
      <c r="B716" s="5">
        <f>LEFT(expenses!B121,10)</f>
        <v/>
      </c>
      <c r="C716" t="inlineStr">
        <is>
          <t>other</t>
        </is>
      </c>
      <c r="D716" t="inlineStr">
        <is>
          <t>expenses</t>
        </is>
      </c>
      <c r="E716" s="21">
        <f>expenses!D121</f>
        <v/>
      </c>
      <c r="F716">
        <f>IF(B716="","",LEFT(B716,4))</f>
        <v/>
      </c>
      <c r="G716">
        <f>IF(A716="","",INDEX(vehicles!$I$2:$I$5,MATCH(A716,vehicles!$A$2:$A$5,0)))</f>
        <v/>
      </c>
      <c r="H716">
        <f>expenses!C121</f>
        <v/>
      </c>
    </row>
    <row r="717">
      <c r="A717" s="5">
        <f>expenses!A122</f>
        <v/>
      </c>
      <c r="B717" s="5">
        <f>LEFT(expenses!B122,10)</f>
        <v/>
      </c>
      <c r="C717" t="inlineStr">
        <is>
          <t>other</t>
        </is>
      </c>
      <c r="D717" t="inlineStr">
        <is>
          <t>expenses</t>
        </is>
      </c>
      <c r="E717" s="21">
        <f>expenses!D122</f>
        <v/>
      </c>
      <c r="F717">
        <f>IF(B717="","",LEFT(B717,4))</f>
        <v/>
      </c>
      <c r="G717">
        <f>IF(A717="","",INDEX(vehicles!$I$2:$I$5,MATCH(A717,vehicles!$A$2:$A$5,0)))</f>
        <v/>
      </c>
      <c r="H717">
        <f>expenses!C122</f>
        <v/>
      </c>
    </row>
    <row r="718">
      <c r="A718" s="5">
        <f>expenses!A123</f>
        <v/>
      </c>
      <c r="B718" s="5">
        <f>LEFT(expenses!B123,10)</f>
        <v/>
      </c>
      <c r="C718" t="inlineStr">
        <is>
          <t>other</t>
        </is>
      </c>
      <c r="D718" t="inlineStr">
        <is>
          <t>expenses</t>
        </is>
      </c>
      <c r="E718" s="21">
        <f>expenses!D123</f>
        <v/>
      </c>
      <c r="F718">
        <f>IF(B718="","",LEFT(B718,4))</f>
        <v/>
      </c>
      <c r="G718">
        <f>IF(A718="","",INDEX(vehicles!$I$2:$I$5,MATCH(A718,vehicles!$A$2:$A$5,0)))</f>
        <v/>
      </c>
      <c r="H718">
        <f>expenses!C123</f>
        <v/>
      </c>
    </row>
    <row r="719">
      <c r="A719" s="5">
        <f>expenses!A124</f>
        <v/>
      </c>
      <c r="B719" s="5">
        <f>LEFT(expenses!B124,10)</f>
        <v/>
      </c>
      <c r="C719" t="inlineStr">
        <is>
          <t>other</t>
        </is>
      </c>
      <c r="D719" t="inlineStr">
        <is>
          <t>expenses</t>
        </is>
      </c>
      <c r="E719" s="21">
        <f>expenses!D124</f>
        <v/>
      </c>
      <c r="F719">
        <f>IF(B719="","",LEFT(B719,4))</f>
        <v/>
      </c>
      <c r="G719">
        <f>IF(A719="","",INDEX(vehicles!$I$2:$I$5,MATCH(A719,vehicles!$A$2:$A$5,0)))</f>
        <v/>
      </c>
      <c r="H719">
        <f>expenses!C124</f>
        <v/>
      </c>
    </row>
    <row r="720">
      <c r="A720" s="5">
        <f>expenses!A125</f>
        <v/>
      </c>
      <c r="B720" s="5">
        <f>LEFT(expenses!B125,10)</f>
        <v/>
      </c>
      <c r="C720" t="inlineStr">
        <is>
          <t>other</t>
        </is>
      </c>
      <c r="D720" t="inlineStr">
        <is>
          <t>expenses</t>
        </is>
      </c>
      <c r="E720" s="21">
        <f>expenses!D125</f>
        <v/>
      </c>
      <c r="F720">
        <f>IF(B720="","",LEFT(B720,4))</f>
        <v/>
      </c>
      <c r="G720">
        <f>IF(A720="","",INDEX(vehicles!$I$2:$I$5,MATCH(A720,vehicles!$A$2:$A$5,0)))</f>
        <v/>
      </c>
      <c r="H720">
        <f>expenses!C125</f>
        <v/>
      </c>
    </row>
    <row r="721">
      <c r="A721" s="5">
        <f>expenses!A126</f>
        <v/>
      </c>
      <c r="B721" s="5">
        <f>LEFT(expenses!B126,10)</f>
        <v/>
      </c>
      <c r="C721" t="inlineStr">
        <is>
          <t>other</t>
        </is>
      </c>
      <c r="D721" t="inlineStr">
        <is>
          <t>expenses</t>
        </is>
      </c>
      <c r="E721" s="21">
        <f>expenses!D126</f>
        <v/>
      </c>
      <c r="F721">
        <f>IF(B721="","",LEFT(B721,4))</f>
        <v/>
      </c>
      <c r="G721">
        <f>IF(A721="","",INDEX(vehicles!$I$2:$I$5,MATCH(A721,vehicles!$A$2:$A$5,0)))</f>
        <v/>
      </c>
      <c r="H721">
        <f>expenses!C126</f>
        <v/>
      </c>
    </row>
    <row r="722">
      <c r="A722" s="5">
        <f>expenses!A127</f>
        <v/>
      </c>
      <c r="B722" s="5">
        <f>LEFT(expenses!B127,10)</f>
        <v/>
      </c>
      <c r="C722" t="inlineStr">
        <is>
          <t>other</t>
        </is>
      </c>
      <c r="D722" t="inlineStr">
        <is>
          <t>expenses</t>
        </is>
      </c>
      <c r="E722" s="21">
        <f>expenses!D127</f>
        <v/>
      </c>
      <c r="F722">
        <f>IF(B722="","",LEFT(B722,4))</f>
        <v/>
      </c>
      <c r="G722">
        <f>IF(A722="","",INDEX(vehicles!$I$2:$I$5,MATCH(A722,vehicles!$A$2:$A$5,0)))</f>
        <v/>
      </c>
      <c r="H722">
        <f>expenses!C127</f>
        <v/>
      </c>
    </row>
    <row r="723">
      <c r="A723" s="5">
        <f>expenses!A128</f>
        <v/>
      </c>
      <c r="B723" s="5">
        <f>LEFT(expenses!B128,10)</f>
        <v/>
      </c>
      <c r="C723" t="inlineStr">
        <is>
          <t>other</t>
        </is>
      </c>
      <c r="D723" t="inlineStr">
        <is>
          <t>expenses</t>
        </is>
      </c>
      <c r="E723" s="21">
        <f>expenses!D128</f>
        <v/>
      </c>
      <c r="F723">
        <f>IF(B723="","",LEFT(B723,4))</f>
        <v/>
      </c>
      <c r="G723">
        <f>IF(A723="","",INDEX(vehicles!$I$2:$I$5,MATCH(A723,vehicles!$A$2:$A$5,0)))</f>
        <v/>
      </c>
      <c r="H723">
        <f>expenses!C128</f>
        <v/>
      </c>
    </row>
    <row r="724">
      <c r="A724" s="5">
        <f>expenses!A129</f>
        <v/>
      </c>
      <c r="B724" s="5">
        <f>LEFT(expenses!B129,10)</f>
        <v/>
      </c>
      <c r="C724" t="inlineStr">
        <is>
          <t>other</t>
        </is>
      </c>
      <c r="D724" t="inlineStr">
        <is>
          <t>expenses</t>
        </is>
      </c>
      <c r="E724" s="21">
        <f>expenses!D129</f>
        <v/>
      </c>
      <c r="F724">
        <f>IF(B724="","",LEFT(B724,4))</f>
        <v/>
      </c>
      <c r="G724">
        <f>IF(A724="","",INDEX(vehicles!$I$2:$I$5,MATCH(A724,vehicles!$A$2:$A$5,0)))</f>
        <v/>
      </c>
      <c r="H724">
        <f>expenses!C129</f>
        <v/>
      </c>
    </row>
    <row r="725">
      <c r="A725" s="5">
        <f>expenses!A130</f>
        <v/>
      </c>
      <c r="B725" s="5">
        <f>LEFT(expenses!B130,10)</f>
        <v/>
      </c>
      <c r="C725" t="inlineStr">
        <is>
          <t>other</t>
        </is>
      </c>
      <c r="D725" t="inlineStr">
        <is>
          <t>expenses</t>
        </is>
      </c>
      <c r="E725" s="21">
        <f>expenses!D130</f>
        <v/>
      </c>
      <c r="F725">
        <f>IF(B725="","",LEFT(B725,4))</f>
        <v/>
      </c>
      <c r="G725">
        <f>IF(A725="","",INDEX(vehicles!$I$2:$I$5,MATCH(A725,vehicles!$A$2:$A$5,0)))</f>
        <v/>
      </c>
      <c r="H725">
        <f>expenses!C130</f>
        <v/>
      </c>
    </row>
    <row r="726">
      <c r="A726" s="5">
        <f>expenses!A131</f>
        <v/>
      </c>
      <c r="B726" s="5">
        <f>LEFT(expenses!B131,10)</f>
        <v/>
      </c>
      <c r="C726" t="inlineStr">
        <is>
          <t>other</t>
        </is>
      </c>
      <c r="D726" t="inlineStr">
        <is>
          <t>expenses</t>
        </is>
      </c>
      <c r="E726" s="21">
        <f>expenses!D131</f>
        <v/>
      </c>
      <c r="F726">
        <f>IF(B726="","",LEFT(B726,4))</f>
        <v/>
      </c>
      <c r="G726">
        <f>IF(A726="","",INDEX(vehicles!$I$2:$I$5,MATCH(A726,vehicles!$A$2:$A$5,0)))</f>
        <v/>
      </c>
      <c r="H726">
        <f>expenses!C131</f>
        <v/>
      </c>
    </row>
    <row r="727">
      <c r="A727" s="5">
        <f>expenses!A132</f>
        <v/>
      </c>
      <c r="B727" s="5">
        <f>LEFT(expenses!B132,10)</f>
        <v/>
      </c>
      <c r="C727" t="inlineStr">
        <is>
          <t>other</t>
        </is>
      </c>
      <c r="D727" t="inlineStr">
        <is>
          <t>expenses</t>
        </is>
      </c>
      <c r="E727" s="21">
        <f>expenses!D132</f>
        <v/>
      </c>
      <c r="F727">
        <f>IF(B727="","",LEFT(B727,4))</f>
        <v/>
      </c>
      <c r="G727">
        <f>IF(A727="","",INDEX(vehicles!$I$2:$I$5,MATCH(A727,vehicles!$A$2:$A$5,0)))</f>
        <v/>
      </c>
      <c r="H727">
        <f>expenses!C132</f>
        <v/>
      </c>
    </row>
    <row r="728">
      <c r="A728" s="5">
        <f>expenses!A133</f>
        <v/>
      </c>
      <c r="B728" s="5">
        <f>LEFT(expenses!B133,10)</f>
        <v/>
      </c>
      <c r="C728" t="inlineStr">
        <is>
          <t>other</t>
        </is>
      </c>
      <c r="D728" t="inlineStr">
        <is>
          <t>expenses</t>
        </is>
      </c>
      <c r="E728" s="21">
        <f>expenses!D133</f>
        <v/>
      </c>
      <c r="F728">
        <f>IF(B728="","",LEFT(B728,4))</f>
        <v/>
      </c>
      <c r="G728">
        <f>IF(A728="","",INDEX(vehicles!$I$2:$I$5,MATCH(A728,vehicles!$A$2:$A$5,0)))</f>
        <v/>
      </c>
      <c r="H728">
        <f>expenses!C133</f>
        <v/>
      </c>
    </row>
    <row r="729">
      <c r="A729" s="5">
        <f>expenses!A134</f>
        <v/>
      </c>
      <c r="B729" s="5">
        <f>LEFT(expenses!B134,10)</f>
        <v/>
      </c>
      <c r="C729" t="inlineStr">
        <is>
          <t>other</t>
        </is>
      </c>
      <c r="D729" t="inlineStr">
        <is>
          <t>expenses</t>
        </is>
      </c>
      <c r="E729" s="21">
        <f>expenses!D134</f>
        <v/>
      </c>
      <c r="F729">
        <f>IF(B729="","",LEFT(B729,4))</f>
        <v/>
      </c>
      <c r="G729">
        <f>IF(A729="","",INDEX(vehicles!$I$2:$I$5,MATCH(A729,vehicles!$A$2:$A$5,0)))</f>
        <v/>
      </c>
      <c r="H729">
        <f>expenses!C134</f>
        <v/>
      </c>
    </row>
    <row r="730">
      <c r="A730" s="5">
        <f>expenses!A135</f>
        <v/>
      </c>
      <c r="B730" s="5">
        <f>LEFT(expenses!B135,10)</f>
        <v/>
      </c>
      <c r="C730" t="inlineStr">
        <is>
          <t>other</t>
        </is>
      </c>
      <c r="D730" t="inlineStr">
        <is>
          <t>expenses</t>
        </is>
      </c>
      <c r="E730" s="21">
        <f>expenses!D135</f>
        <v/>
      </c>
      <c r="F730">
        <f>IF(B730="","",LEFT(B730,4))</f>
        <v/>
      </c>
      <c r="G730">
        <f>IF(A730="","",INDEX(vehicles!$I$2:$I$5,MATCH(A730,vehicles!$A$2:$A$5,0)))</f>
        <v/>
      </c>
      <c r="H730">
        <f>expenses!C135</f>
        <v/>
      </c>
    </row>
    <row r="731">
      <c r="A731" s="5">
        <f>expenses!A136</f>
        <v/>
      </c>
      <c r="B731" s="5">
        <f>LEFT(expenses!B136,10)</f>
        <v/>
      </c>
      <c r="C731" t="inlineStr">
        <is>
          <t>other</t>
        </is>
      </c>
      <c r="D731" t="inlineStr">
        <is>
          <t>expenses</t>
        </is>
      </c>
      <c r="E731" s="21">
        <f>expenses!D136</f>
        <v/>
      </c>
      <c r="F731">
        <f>IF(B731="","",LEFT(B731,4))</f>
        <v/>
      </c>
      <c r="G731">
        <f>IF(A731="","",INDEX(vehicles!$I$2:$I$5,MATCH(A731,vehicles!$A$2:$A$5,0)))</f>
        <v/>
      </c>
      <c r="H731">
        <f>expenses!C136</f>
        <v/>
      </c>
    </row>
    <row r="732">
      <c r="A732" s="5">
        <f>expenses!A137</f>
        <v/>
      </c>
      <c r="B732" s="5">
        <f>LEFT(expenses!B137,10)</f>
        <v/>
      </c>
      <c r="C732" t="inlineStr">
        <is>
          <t>other</t>
        </is>
      </c>
      <c r="D732" t="inlineStr">
        <is>
          <t>expenses</t>
        </is>
      </c>
      <c r="E732" s="21">
        <f>expenses!D137</f>
        <v/>
      </c>
      <c r="F732">
        <f>IF(B732="","",LEFT(B732,4))</f>
        <v/>
      </c>
      <c r="G732">
        <f>IF(A732="","",INDEX(vehicles!$I$2:$I$5,MATCH(A732,vehicles!$A$2:$A$5,0)))</f>
        <v/>
      </c>
      <c r="H732">
        <f>expenses!C137</f>
        <v/>
      </c>
    </row>
    <row r="733">
      <c r="A733" s="5">
        <f>expenses!A138</f>
        <v/>
      </c>
      <c r="B733" s="5">
        <f>LEFT(expenses!B138,10)</f>
        <v/>
      </c>
      <c r="C733" t="inlineStr">
        <is>
          <t>other</t>
        </is>
      </c>
      <c r="D733" t="inlineStr">
        <is>
          <t>expenses</t>
        </is>
      </c>
      <c r="E733" s="21">
        <f>expenses!D138</f>
        <v/>
      </c>
      <c r="F733">
        <f>IF(B733="","",LEFT(B733,4))</f>
        <v/>
      </c>
      <c r="G733">
        <f>IF(A733="","",INDEX(vehicles!$I$2:$I$5,MATCH(A733,vehicles!$A$2:$A$5,0)))</f>
        <v/>
      </c>
      <c r="H733">
        <f>expenses!C138</f>
        <v/>
      </c>
    </row>
    <row r="734">
      <c r="A734" s="5">
        <f>expenses!A139</f>
        <v/>
      </c>
      <c r="B734" s="5">
        <f>LEFT(expenses!B139,10)</f>
        <v/>
      </c>
      <c r="C734" t="inlineStr">
        <is>
          <t>other</t>
        </is>
      </c>
      <c r="D734" t="inlineStr">
        <is>
          <t>expenses</t>
        </is>
      </c>
      <c r="E734" s="21">
        <f>expenses!D139</f>
        <v/>
      </c>
      <c r="F734">
        <f>IF(B734="","",LEFT(B734,4))</f>
        <v/>
      </c>
      <c r="G734">
        <f>IF(A734="","",INDEX(vehicles!$I$2:$I$5,MATCH(A734,vehicles!$A$2:$A$5,0)))</f>
        <v/>
      </c>
      <c r="H734">
        <f>expenses!C139</f>
        <v/>
      </c>
    </row>
    <row r="735">
      <c r="A735" s="5">
        <f>expenses!A140</f>
        <v/>
      </c>
      <c r="B735" s="5">
        <f>LEFT(expenses!B140,10)</f>
        <v/>
      </c>
      <c r="C735" t="inlineStr">
        <is>
          <t>other</t>
        </is>
      </c>
      <c r="D735" t="inlineStr">
        <is>
          <t>expenses</t>
        </is>
      </c>
      <c r="E735" s="21">
        <f>expenses!D140</f>
        <v/>
      </c>
      <c r="F735">
        <f>IF(B735="","",LEFT(B735,4))</f>
        <v/>
      </c>
      <c r="G735">
        <f>IF(A735="","",INDEX(vehicles!$I$2:$I$5,MATCH(A735,vehicles!$A$2:$A$5,0)))</f>
        <v/>
      </c>
      <c r="H735">
        <f>expenses!C140</f>
        <v/>
      </c>
    </row>
    <row r="736">
      <c r="A736" s="5">
        <f>expenses!A141</f>
        <v/>
      </c>
      <c r="B736" s="5">
        <f>LEFT(expenses!B141,10)</f>
        <v/>
      </c>
      <c r="C736" t="inlineStr">
        <is>
          <t>other</t>
        </is>
      </c>
      <c r="D736" t="inlineStr">
        <is>
          <t>expenses</t>
        </is>
      </c>
      <c r="E736" s="21">
        <f>expenses!D141</f>
        <v/>
      </c>
      <c r="F736">
        <f>IF(B736="","",LEFT(B736,4))</f>
        <v/>
      </c>
      <c r="G736">
        <f>IF(A736="","",INDEX(vehicles!$I$2:$I$5,MATCH(A736,vehicles!$A$2:$A$5,0)))</f>
        <v/>
      </c>
      <c r="H736">
        <f>expenses!C141</f>
        <v/>
      </c>
    </row>
    <row r="737">
      <c r="A737" s="5">
        <f>expenses!A142</f>
        <v/>
      </c>
      <c r="B737" s="5">
        <f>LEFT(expenses!B142,10)</f>
        <v/>
      </c>
      <c r="C737" t="inlineStr">
        <is>
          <t>other</t>
        </is>
      </c>
      <c r="D737" t="inlineStr">
        <is>
          <t>expenses</t>
        </is>
      </c>
      <c r="E737" s="21">
        <f>expenses!D142</f>
        <v/>
      </c>
      <c r="F737">
        <f>IF(B737="","",LEFT(B737,4))</f>
        <v/>
      </c>
      <c r="G737">
        <f>IF(A737="","",INDEX(vehicles!$I$2:$I$5,MATCH(A737,vehicles!$A$2:$A$5,0)))</f>
        <v/>
      </c>
      <c r="H737">
        <f>expenses!C142</f>
        <v/>
      </c>
    </row>
    <row r="738">
      <c r="A738" s="5">
        <f>expenses!A143</f>
        <v/>
      </c>
      <c r="B738" s="5">
        <f>LEFT(expenses!B143,10)</f>
        <v/>
      </c>
      <c r="C738" t="inlineStr">
        <is>
          <t>other</t>
        </is>
      </c>
      <c r="D738" t="inlineStr">
        <is>
          <t>expenses</t>
        </is>
      </c>
      <c r="E738" s="21">
        <f>expenses!D143</f>
        <v/>
      </c>
      <c r="F738">
        <f>IF(B738="","",LEFT(B738,4))</f>
        <v/>
      </c>
      <c r="G738">
        <f>IF(A738="","",INDEX(vehicles!$I$2:$I$5,MATCH(A738,vehicles!$A$2:$A$5,0)))</f>
        <v/>
      </c>
      <c r="H738">
        <f>expenses!C143</f>
        <v/>
      </c>
    </row>
    <row r="739">
      <c r="A739" s="5">
        <f>expenses!A144</f>
        <v/>
      </c>
      <c r="B739" s="5">
        <f>LEFT(expenses!B144,10)</f>
        <v/>
      </c>
      <c r="C739" t="inlineStr">
        <is>
          <t>other</t>
        </is>
      </c>
      <c r="D739" t="inlineStr">
        <is>
          <t>expenses</t>
        </is>
      </c>
      <c r="E739" s="21">
        <f>expenses!D144</f>
        <v/>
      </c>
      <c r="F739">
        <f>IF(B739="","",LEFT(B739,4))</f>
        <v/>
      </c>
      <c r="G739">
        <f>IF(A739="","",INDEX(vehicles!$I$2:$I$5,MATCH(A739,vehicles!$A$2:$A$5,0)))</f>
        <v/>
      </c>
      <c r="H739">
        <f>expenses!C144</f>
        <v/>
      </c>
    </row>
    <row r="740">
      <c r="A740" s="5">
        <f>expenses!A145</f>
        <v/>
      </c>
      <c r="B740" s="5">
        <f>LEFT(expenses!B145,10)</f>
        <v/>
      </c>
      <c r="C740" t="inlineStr">
        <is>
          <t>other</t>
        </is>
      </c>
      <c r="D740" t="inlineStr">
        <is>
          <t>expenses</t>
        </is>
      </c>
      <c r="E740" s="21">
        <f>expenses!D145</f>
        <v/>
      </c>
      <c r="F740">
        <f>IF(B740="","",LEFT(B740,4))</f>
        <v/>
      </c>
      <c r="G740">
        <f>IF(A740="","",INDEX(vehicles!$I$2:$I$5,MATCH(A740,vehicles!$A$2:$A$5,0)))</f>
        <v/>
      </c>
      <c r="H740">
        <f>expenses!C145</f>
        <v/>
      </c>
    </row>
    <row r="741">
      <c r="A741" s="5">
        <f>expenses!A146</f>
        <v/>
      </c>
      <c r="B741" s="5">
        <f>LEFT(expenses!B146,10)</f>
        <v/>
      </c>
      <c r="C741" t="inlineStr">
        <is>
          <t>other</t>
        </is>
      </c>
      <c r="D741" t="inlineStr">
        <is>
          <t>expenses</t>
        </is>
      </c>
      <c r="E741" s="21">
        <f>expenses!D146</f>
        <v/>
      </c>
      <c r="F741">
        <f>IF(B741="","",LEFT(B741,4))</f>
        <v/>
      </c>
      <c r="G741">
        <f>IF(A741="","",INDEX(vehicles!$I$2:$I$5,MATCH(A741,vehicles!$A$2:$A$5,0)))</f>
        <v/>
      </c>
      <c r="H741">
        <f>expenses!C146</f>
        <v/>
      </c>
    </row>
    <row r="742">
      <c r="A742" s="5">
        <f>expenses!A147</f>
        <v/>
      </c>
      <c r="B742" s="5">
        <f>LEFT(expenses!B147,10)</f>
        <v/>
      </c>
      <c r="C742" t="inlineStr">
        <is>
          <t>other</t>
        </is>
      </c>
      <c r="D742" t="inlineStr">
        <is>
          <t>expenses</t>
        </is>
      </c>
      <c r="E742" s="21">
        <f>expenses!D147</f>
        <v/>
      </c>
      <c r="F742">
        <f>IF(B742="","",LEFT(B742,4))</f>
        <v/>
      </c>
      <c r="G742">
        <f>IF(A742="","",INDEX(vehicles!$I$2:$I$5,MATCH(A742,vehicles!$A$2:$A$5,0)))</f>
        <v/>
      </c>
      <c r="H742">
        <f>expenses!C147</f>
        <v/>
      </c>
    </row>
    <row r="743">
      <c r="A743" s="5">
        <f>expenses!A148</f>
        <v/>
      </c>
      <c r="B743" s="5">
        <f>LEFT(expenses!B148,10)</f>
        <v/>
      </c>
      <c r="C743" t="inlineStr">
        <is>
          <t>other</t>
        </is>
      </c>
      <c r="D743" t="inlineStr">
        <is>
          <t>expenses</t>
        </is>
      </c>
      <c r="E743" s="21">
        <f>expenses!D148</f>
        <v/>
      </c>
      <c r="F743">
        <f>IF(B743="","",LEFT(B743,4))</f>
        <v/>
      </c>
      <c r="G743">
        <f>IF(A743="","",INDEX(vehicles!$I$2:$I$5,MATCH(A743,vehicles!$A$2:$A$5,0)))</f>
        <v/>
      </c>
      <c r="H743">
        <f>expenses!C148</f>
        <v/>
      </c>
    </row>
    <row r="744">
      <c r="A744" s="5">
        <f>expenses!A149</f>
        <v/>
      </c>
      <c r="B744" s="5">
        <f>LEFT(expenses!B149,10)</f>
        <v/>
      </c>
      <c r="C744" t="inlineStr">
        <is>
          <t>other</t>
        </is>
      </c>
      <c r="D744" t="inlineStr">
        <is>
          <t>expenses</t>
        </is>
      </c>
      <c r="E744" s="21">
        <f>expenses!D149</f>
        <v/>
      </c>
      <c r="F744">
        <f>IF(B744="","",LEFT(B744,4))</f>
        <v/>
      </c>
      <c r="G744">
        <f>IF(A744="","",INDEX(vehicles!$I$2:$I$5,MATCH(A744,vehicles!$A$2:$A$5,0)))</f>
        <v/>
      </c>
      <c r="H744">
        <f>expenses!C149</f>
        <v/>
      </c>
    </row>
    <row r="745">
      <c r="A745" s="5">
        <f>expenses!A150</f>
        <v/>
      </c>
      <c r="B745" s="5">
        <f>LEFT(expenses!B150,10)</f>
        <v/>
      </c>
      <c r="C745" t="inlineStr">
        <is>
          <t>other</t>
        </is>
      </c>
      <c r="D745" t="inlineStr">
        <is>
          <t>expenses</t>
        </is>
      </c>
      <c r="E745" s="21">
        <f>expenses!D150</f>
        <v/>
      </c>
      <c r="F745">
        <f>IF(B745="","",LEFT(B745,4))</f>
        <v/>
      </c>
      <c r="G745">
        <f>IF(A745="","",INDEX(vehicles!$I$2:$I$5,MATCH(A745,vehicles!$A$2:$A$5,0)))</f>
        <v/>
      </c>
      <c r="H745">
        <f>expenses!C150</f>
        <v/>
      </c>
    </row>
    <row r="746">
      <c r="A746" s="5">
        <f>expenses!A151</f>
        <v/>
      </c>
      <c r="B746" s="5">
        <f>LEFT(expenses!B151,10)</f>
        <v/>
      </c>
      <c r="C746" t="inlineStr">
        <is>
          <t>other</t>
        </is>
      </c>
      <c r="D746" t="inlineStr">
        <is>
          <t>expenses</t>
        </is>
      </c>
      <c r="E746" s="21">
        <f>expenses!D151</f>
        <v/>
      </c>
      <c r="F746">
        <f>IF(B746="","",LEFT(B746,4))</f>
        <v/>
      </c>
      <c r="G746">
        <f>IF(A746="","",INDEX(vehicles!$I$2:$I$5,MATCH(A746,vehicles!$A$2:$A$5,0)))</f>
        <v/>
      </c>
      <c r="H746">
        <f>expenses!C151</f>
        <v/>
      </c>
    </row>
    <row r="747">
      <c r="A747" s="5">
        <f>expenses!A152</f>
        <v/>
      </c>
      <c r="B747" s="5">
        <f>LEFT(expenses!B152,10)</f>
        <v/>
      </c>
      <c r="C747" t="inlineStr">
        <is>
          <t>other</t>
        </is>
      </c>
      <c r="D747" t="inlineStr">
        <is>
          <t>expenses</t>
        </is>
      </c>
      <c r="E747" s="21">
        <f>expenses!D152</f>
        <v/>
      </c>
      <c r="F747">
        <f>IF(B747="","",LEFT(B747,4))</f>
        <v/>
      </c>
      <c r="G747">
        <f>IF(A747="","",INDEX(vehicles!$I$2:$I$5,MATCH(A747,vehicles!$A$2:$A$5,0)))</f>
        <v/>
      </c>
      <c r="H747">
        <f>expenses!C152</f>
        <v/>
      </c>
    </row>
    <row r="748">
      <c r="A748" s="5">
        <f>expenses!A153</f>
        <v/>
      </c>
      <c r="B748" s="5">
        <f>LEFT(expenses!B153,10)</f>
        <v/>
      </c>
      <c r="C748" t="inlineStr">
        <is>
          <t>other</t>
        </is>
      </c>
      <c r="D748" t="inlineStr">
        <is>
          <t>expenses</t>
        </is>
      </c>
      <c r="E748" s="21">
        <f>expenses!D153</f>
        <v/>
      </c>
      <c r="F748">
        <f>IF(B748="","",LEFT(B748,4))</f>
        <v/>
      </c>
      <c r="G748">
        <f>IF(A748="","",INDEX(vehicles!$I$2:$I$5,MATCH(A748,vehicles!$A$2:$A$5,0)))</f>
        <v/>
      </c>
      <c r="H748">
        <f>expenses!C153</f>
        <v/>
      </c>
    </row>
    <row r="749">
      <c r="A749" s="5">
        <f>expenses!A154</f>
        <v/>
      </c>
      <c r="B749" s="5">
        <f>LEFT(expenses!B154,10)</f>
        <v/>
      </c>
      <c r="C749" t="inlineStr">
        <is>
          <t>other</t>
        </is>
      </c>
      <c r="D749" t="inlineStr">
        <is>
          <t>expenses</t>
        </is>
      </c>
      <c r="E749" s="21">
        <f>expenses!D154</f>
        <v/>
      </c>
      <c r="F749">
        <f>IF(B749="","",LEFT(B749,4))</f>
        <v/>
      </c>
      <c r="G749">
        <f>IF(A749="","",INDEX(vehicles!$I$2:$I$5,MATCH(A749,vehicles!$A$2:$A$5,0)))</f>
        <v/>
      </c>
      <c r="H749">
        <f>expenses!C154</f>
        <v/>
      </c>
    </row>
    <row r="750">
      <c r="A750" s="5">
        <f>expenses!A155</f>
        <v/>
      </c>
      <c r="B750" s="5">
        <f>LEFT(expenses!B155,10)</f>
        <v/>
      </c>
      <c r="C750" t="inlineStr">
        <is>
          <t>other</t>
        </is>
      </c>
      <c r="D750" t="inlineStr">
        <is>
          <t>expenses</t>
        </is>
      </c>
      <c r="E750" s="21">
        <f>expenses!D155</f>
        <v/>
      </c>
      <c r="F750">
        <f>IF(B750="","",LEFT(B750,4))</f>
        <v/>
      </c>
      <c r="G750">
        <f>IF(A750="","",INDEX(vehicles!$I$2:$I$5,MATCH(A750,vehicles!$A$2:$A$5,0)))</f>
        <v/>
      </c>
      <c r="H750">
        <f>expenses!C155</f>
        <v/>
      </c>
    </row>
    <row r="751">
      <c r="A751" s="5">
        <f>expenses!A156</f>
        <v/>
      </c>
      <c r="B751" s="5">
        <f>LEFT(expenses!B156,10)</f>
        <v/>
      </c>
      <c r="C751" t="inlineStr">
        <is>
          <t>other</t>
        </is>
      </c>
      <c r="D751" t="inlineStr">
        <is>
          <t>expenses</t>
        </is>
      </c>
      <c r="E751" s="21">
        <f>expenses!D156</f>
        <v/>
      </c>
      <c r="F751">
        <f>IF(B751="","",LEFT(B751,4))</f>
        <v/>
      </c>
      <c r="G751">
        <f>IF(A751="","",INDEX(vehicles!$I$2:$I$5,MATCH(A751,vehicles!$A$2:$A$5,0)))</f>
        <v/>
      </c>
      <c r="H751">
        <f>expenses!C156</f>
        <v/>
      </c>
    </row>
    <row r="752">
      <c r="A752" s="5">
        <f>expenses!A157</f>
        <v/>
      </c>
      <c r="B752" s="5">
        <f>LEFT(expenses!B157,10)</f>
        <v/>
      </c>
      <c r="C752" t="inlineStr">
        <is>
          <t>other</t>
        </is>
      </c>
      <c r="D752" t="inlineStr">
        <is>
          <t>expenses</t>
        </is>
      </c>
      <c r="E752" s="21">
        <f>expenses!D157</f>
        <v/>
      </c>
      <c r="F752">
        <f>IF(B752="","",LEFT(B752,4))</f>
        <v/>
      </c>
      <c r="G752">
        <f>IF(A752="","",INDEX(vehicles!$I$2:$I$5,MATCH(A752,vehicles!$A$2:$A$5,0)))</f>
        <v/>
      </c>
      <c r="H752">
        <f>expenses!C157</f>
        <v/>
      </c>
    </row>
    <row r="753">
      <c r="A753" s="5">
        <f>maintenance!A2</f>
        <v/>
      </c>
      <c r="B753" s="5">
        <f>LEFT(maintenance!B2,10)</f>
        <v/>
      </c>
      <c r="C753" t="inlineStr">
        <is>
          <t>maintenance</t>
        </is>
      </c>
      <c r="D753" t="inlineStr">
        <is>
          <t>maintenance</t>
        </is>
      </c>
      <c r="E753" s="21">
        <f>maintenance!E2</f>
        <v/>
      </c>
      <c r="F753">
        <f>IF(B753="","",LEFT(B753,4))</f>
        <v/>
      </c>
      <c r="G753">
        <f>IF(A753="","",INDEX(vehicles!$I$2:$I$5,MATCH(A753,vehicles!$A$2:$A$5,0)))</f>
        <v/>
      </c>
      <c r="H753" t="inlineStr">
        <is>
          <t>maintenance</t>
        </is>
      </c>
    </row>
    <row r="754">
      <c r="A754" s="5">
        <f>maintenance!A3</f>
        <v/>
      </c>
      <c r="B754" s="5">
        <f>LEFT(maintenance!B3,10)</f>
        <v/>
      </c>
      <c r="C754" t="inlineStr">
        <is>
          <t>maintenance</t>
        </is>
      </c>
      <c r="D754" t="inlineStr">
        <is>
          <t>maintenance</t>
        </is>
      </c>
      <c r="E754" s="21">
        <f>maintenance!E3</f>
        <v/>
      </c>
      <c r="F754">
        <f>IF(B754="","",LEFT(B754,4))</f>
        <v/>
      </c>
      <c r="G754">
        <f>IF(A754="","",INDEX(vehicles!$I$2:$I$5,MATCH(A754,vehicles!$A$2:$A$5,0)))</f>
        <v/>
      </c>
      <c r="H754" t="inlineStr">
        <is>
          <t>maintenance</t>
        </is>
      </c>
    </row>
    <row r="755">
      <c r="A755" s="5">
        <f>maintenance!A4</f>
        <v/>
      </c>
      <c r="B755" s="5">
        <f>LEFT(maintenance!B4,10)</f>
        <v/>
      </c>
      <c r="C755" t="inlineStr">
        <is>
          <t>maintenance</t>
        </is>
      </c>
      <c r="D755" t="inlineStr">
        <is>
          <t>maintenance</t>
        </is>
      </c>
      <c r="E755" s="21">
        <f>maintenance!E4</f>
        <v/>
      </c>
      <c r="F755">
        <f>IF(B755="","",LEFT(B755,4))</f>
        <v/>
      </c>
      <c r="G755">
        <f>IF(A755="","",INDEX(vehicles!$I$2:$I$5,MATCH(A755,vehicles!$A$2:$A$5,0)))</f>
        <v/>
      </c>
      <c r="H755" t="inlineStr">
        <is>
          <t>maintenance</t>
        </is>
      </c>
    </row>
    <row r="756">
      <c r="A756" s="5">
        <f>maintenance!A5</f>
        <v/>
      </c>
      <c r="B756" s="5">
        <f>LEFT(maintenance!B5,10)</f>
        <v/>
      </c>
      <c r="C756" t="inlineStr">
        <is>
          <t>maintenance</t>
        </is>
      </c>
      <c r="D756" t="inlineStr">
        <is>
          <t>maintenance</t>
        </is>
      </c>
      <c r="E756" s="21">
        <f>maintenance!E5</f>
        <v/>
      </c>
      <c r="F756">
        <f>IF(B756="","",LEFT(B756,4))</f>
        <v/>
      </c>
      <c r="G756">
        <f>IF(A756="","",INDEX(vehicles!$I$2:$I$5,MATCH(A756,vehicles!$A$2:$A$5,0)))</f>
        <v/>
      </c>
      <c r="H756" t="inlineStr">
        <is>
          <t>maintenance</t>
        </is>
      </c>
    </row>
    <row r="757">
      <c r="A757" s="5">
        <f>maintenance!A6</f>
        <v/>
      </c>
      <c r="B757" s="5">
        <f>LEFT(maintenance!B6,10)</f>
        <v/>
      </c>
      <c r="C757" t="inlineStr">
        <is>
          <t>maintenance</t>
        </is>
      </c>
      <c r="D757" t="inlineStr">
        <is>
          <t>maintenance</t>
        </is>
      </c>
      <c r="E757" s="21">
        <f>maintenance!E6</f>
        <v/>
      </c>
      <c r="F757">
        <f>IF(B757="","",LEFT(B757,4))</f>
        <v/>
      </c>
      <c r="G757">
        <f>IF(A757="","",INDEX(vehicles!$I$2:$I$5,MATCH(A757,vehicles!$A$2:$A$5,0)))</f>
        <v/>
      </c>
      <c r="H757" t="inlineStr">
        <is>
          <t>maintenance</t>
        </is>
      </c>
    </row>
    <row r="758">
      <c r="A758" s="5">
        <f>maintenance!A7</f>
        <v/>
      </c>
      <c r="B758" s="5">
        <f>LEFT(maintenance!B7,10)</f>
        <v/>
      </c>
      <c r="C758" t="inlineStr">
        <is>
          <t>maintenance</t>
        </is>
      </c>
      <c r="D758" t="inlineStr">
        <is>
          <t>maintenance</t>
        </is>
      </c>
      <c r="E758" s="21">
        <f>maintenance!E7</f>
        <v/>
      </c>
      <c r="F758">
        <f>IF(B758="","",LEFT(B758,4))</f>
        <v/>
      </c>
      <c r="G758">
        <f>IF(A758="","",INDEX(vehicles!$I$2:$I$5,MATCH(A758,vehicles!$A$2:$A$5,0)))</f>
        <v/>
      </c>
      <c r="H758" t="inlineStr">
        <is>
          <t>maintenance</t>
        </is>
      </c>
    </row>
    <row r="759">
      <c r="A759" s="5">
        <f>maintenance!A8</f>
        <v/>
      </c>
      <c r="B759" s="5">
        <f>LEFT(maintenance!B8,10)</f>
        <v/>
      </c>
      <c r="C759" t="inlineStr">
        <is>
          <t>maintenance</t>
        </is>
      </c>
      <c r="D759" t="inlineStr">
        <is>
          <t>maintenance</t>
        </is>
      </c>
      <c r="E759" s="21">
        <f>maintenance!E8</f>
        <v/>
      </c>
      <c r="F759">
        <f>IF(B759="","",LEFT(B759,4))</f>
        <v/>
      </c>
      <c r="G759">
        <f>IF(A759="","",INDEX(vehicles!$I$2:$I$5,MATCH(A759,vehicles!$A$2:$A$5,0)))</f>
        <v/>
      </c>
      <c r="H759" t="inlineStr">
        <is>
          <t>maintenance</t>
        </is>
      </c>
    </row>
    <row r="760">
      <c r="A760" s="5">
        <f>maintenance!A9</f>
        <v/>
      </c>
      <c r="B760" s="5">
        <f>LEFT(maintenance!B9,10)</f>
        <v/>
      </c>
      <c r="C760" t="inlineStr">
        <is>
          <t>maintenance</t>
        </is>
      </c>
      <c r="D760" t="inlineStr">
        <is>
          <t>maintenance</t>
        </is>
      </c>
      <c r="E760" s="21">
        <f>maintenance!E9</f>
        <v/>
      </c>
      <c r="F760">
        <f>IF(B760="","",LEFT(B760,4))</f>
        <v/>
      </c>
      <c r="G760">
        <f>IF(A760="","",INDEX(vehicles!$I$2:$I$5,MATCH(A760,vehicles!$A$2:$A$5,0)))</f>
        <v/>
      </c>
      <c r="H760" t="inlineStr">
        <is>
          <t>maintenance</t>
        </is>
      </c>
    </row>
    <row r="761">
      <c r="A761" s="5">
        <f>maintenance!A10</f>
        <v/>
      </c>
      <c r="B761" s="5">
        <f>LEFT(maintenance!B10,10)</f>
        <v/>
      </c>
      <c r="C761" t="inlineStr">
        <is>
          <t>maintenance</t>
        </is>
      </c>
      <c r="D761" t="inlineStr">
        <is>
          <t>maintenance</t>
        </is>
      </c>
      <c r="E761" s="21">
        <f>maintenance!E10</f>
        <v/>
      </c>
      <c r="F761">
        <f>IF(B761="","",LEFT(B761,4))</f>
        <v/>
      </c>
      <c r="G761">
        <f>IF(A761="","",INDEX(vehicles!$I$2:$I$5,MATCH(A761,vehicles!$A$2:$A$5,0)))</f>
        <v/>
      </c>
      <c r="H761" t="inlineStr">
        <is>
          <t>maintenance</t>
        </is>
      </c>
    </row>
    <row r="762">
      <c r="A762" s="5">
        <f>maintenance!A11</f>
        <v/>
      </c>
      <c r="B762" s="5">
        <f>LEFT(maintenance!B11,10)</f>
        <v/>
      </c>
      <c r="C762" t="inlineStr">
        <is>
          <t>maintenance</t>
        </is>
      </c>
      <c r="D762" t="inlineStr">
        <is>
          <t>maintenance</t>
        </is>
      </c>
      <c r="E762" s="21">
        <f>maintenance!E11</f>
        <v/>
      </c>
      <c r="F762">
        <f>IF(B762="","",LEFT(B762,4))</f>
        <v/>
      </c>
      <c r="G762">
        <f>IF(A762="","",INDEX(vehicles!$I$2:$I$5,MATCH(A762,vehicles!$A$2:$A$5,0)))</f>
        <v/>
      </c>
      <c r="H762" t="inlineStr">
        <is>
          <t>maintenance</t>
        </is>
      </c>
    </row>
    <row r="763">
      <c r="A763" s="5">
        <f>maintenance!A12</f>
        <v/>
      </c>
      <c r="B763" s="5">
        <f>LEFT(maintenance!B12,10)</f>
        <v/>
      </c>
      <c r="C763" t="inlineStr">
        <is>
          <t>maintenance</t>
        </is>
      </c>
      <c r="D763" t="inlineStr">
        <is>
          <t>maintenance</t>
        </is>
      </c>
      <c r="E763" s="21">
        <f>maintenance!E12</f>
        <v/>
      </c>
      <c r="F763">
        <f>IF(B763="","",LEFT(B763,4))</f>
        <v/>
      </c>
      <c r="G763">
        <f>IF(A763="","",INDEX(vehicles!$I$2:$I$5,MATCH(A763,vehicles!$A$2:$A$5,0)))</f>
        <v/>
      </c>
      <c r="H763" t="inlineStr">
        <is>
          <t>maintenance</t>
        </is>
      </c>
    </row>
    <row r="764">
      <c r="A764" s="5">
        <f>maintenance!A13</f>
        <v/>
      </c>
      <c r="B764" s="5">
        <f>LEFT(maintenance!B13,10)</f>
        <v/>
      </c>
      <c r="C764" t="inlineStr">
        <is>
          <t>maintenance</t>
        </is>
      </c>
      <c r="D764" t="inlineStr">
        <is>
          <t>maintenance</t>
        </is>
      </c>
      <c r="E764" s="21">
        <f>maintenance!E13</f>
        <v/>
      </c>
      <c r="F764">
        <f>IF(B764="","",LEFT(B764,4))</f>
        <v/>
      </c>
      <c r="G764">
        <f>IF(A764="","",INDEX(vehicles!$I$2:$I$5,MATCH(A764,vehicles!$A$2:$A$5,0)))</f>
        <v/>
      </c>
      <c r="H764" t="inlineStr">
        <is>
          <t>maintenance</t>
        </is>
      </c>
    </row>
    <row r="765">
      <c r="A765" s="5">
        <f>maintenance!A14</f>
        <v/>
      </c>
      <c r="B765" s="5">
        <f>LEFT(maintenance!B14,10)</f>
        <v/>
      </c>
      <c r="C765" t="inlineStr">
        <is>
          <t>maintenance</t>
        </is>
      </c>
      <c r="D765" t="inlineStr">
        <is>
          <t>maintenance</t>
        </is>
      </c>
      <c r="E765" s="21">
        <f>maintenance!E14</f>
        <v/>
      </c>
      <c r="F765">
        <f>IF(B765="","",LEFT(B765,4))</f>
        <v/>
      </c>
      <c r="G765">
        <f>IF(A765="","",INDEX(vehicles!$I$2:$I$5,MATCH(A765,vehicles!$A$2:$A$5,0)))</f>
        <v/>
      </c>
      <c r="H765" t="inlineStr">
        <is>
          <t>maintenance</t>
        </is>
      </c>
    </row>
    <row r="766">
      <c r="A766" s="5">
        <f>maintenance!A15</f>
        <v/>
      </c>
      <c r="B766" s="5">
        <f>LEFT(maintenance!B15,10)</f>
        <v/>
      </c>
      <c r="C766" t="inlineStr">
        <is>
          <t>maintenance</t>
        </is>
      </c>
      <c r="D766" t="inlineStr">
        <is>
          <t>maintenance</t>
        </is>
      </c>
      <c r="E766" s="21">
        <f>maintenance!E15</f>
        <v/>
      </c>
      <c r="F766">
        <f>IF(B766="","",LEFT(B766,4))</f>
        <v/>
      </c>
      <c r="G766">
        <f>IF(A766="","",INDEX(vehicles!$I$2:$I$5,MATCH(A766,vehicles!$A$2:$A$5,0)))</f>
        <v/>
      </c>
      <c r="H766" t="inlineStr">
        <is>
          <t>maintenance</t>
        </is>
      </c>
    </row>
    <row r="767">
      <c r="A767" s="5">
        <f>maintenance!A16</f>
        <v/>
      </c>
      <c r="B767" s="5">
        <f>LEFT(maintenance!B16,10)</f>
        <v/>
      </c>
      <c r="C767" t="inlineStr">
        <is>
          <t>maintenance</t>
        </is>
      </c>
      <c r="D767" t="inlineStr">
        <is>
          <t>maintenance</t>
        </is>
      </c>
      <c r="E767" s="21">
        <f>maintenance!E16</f>
        <v/>
      </c>
      <c r="F767">
        <f>IF(B767="","",LEFT(B767,4))</f>
        <v/>
      </c>
      <c r="G767">
        <f>IF(A767="","",INDEX(vehicles!$I$2:$I$5,MATCH(A767,vehicles!$A$2:$A$5,0)))</f>
        <v/>
      </c>
      <c r="H767" t="inlineStr">
        <is>
          <t>maintenance</t>
        </is>
      </c>
    </row>
    <row r="768">
      <c r="A768" s="5">
        <f>documents!A2</f>
        <v/>
      </c>
      <c r="B768" s="5">
        <f>LEFT(documents!E2,10)</f>
        <v/>
      </c>
      <c r="C768" t="inlineStr">
        <is>
          <t>compliance</t>
        </is>
      </c>
      <c r="D768" t="inlineStr">
        <is>
          <t>documents</t>
        </is>
      </c>
      <c r="E768" s="21">
        <f>documents!G2</f>
        <v/>
      </c>
      <c r="F768">
        <f>IF(B768="","",LEFT(B768,4))</f>
        <v/>
      </c>
      <c r="G768">
        <f>IF(A768="","",INDEX(vehicles!$I$2:$I$5,MATCH(A768,vehicles!$A$2:$A$5,0)))</f>
        <v/>
      </c>
      <c r="H768" t="inlineStr">
        <is>
          <t>documents</t>
        </is>
      </c>
    </row>
    <row r="769">
      <c r="A769" s="5">
        <f>documents!A3</f>
        <v/>
      </c>
      <c r="B769" s="5">
        <f>LEFT(documents!E3,10)</f>
        <v/>
      </c>
      <c r="C769" t="inlineStr">
        <is>
          <t>compliance</t>
        </is>
      </c>
      <c r="D769" t="inlineStr">
        <is>
          <t>documents</t>
        </is>
      </c>
      <c r="E769" s="21">
        <f>documents!G3</f>
        <v/>
      </c>
      <c r="F769">
        <f>IF(B769="","",LEFT(B769,4))</f>
        <v/>
      </c>
      <c r="G769">
        <f>IF(A769="","",INDEX(vehicles!$I$2:$I$5,MATCH(A769,vehicles!$A$2:$A$5,0)))</f>
        <v/>
      </c>
      <c r="H769" t="inlineStr">
        <is>
          <t>documents</t>
        </is>
      </c>
    </row>
    <row r="770">
      <c r="A770" s="5">
        <f>documents!A4</f>
        <v/>
      </c>
      <c r="B770" s="5">
        <f>LEFT(documents!E4,10)</f>
        <v/>
      </c>
      <c r="C770" t="inlineStr">
        <is>
          <t>compliance</t>
        </is>
      </c>
      <c r="D770" t="inlineStr">
        <is>
          <t>documents</t>
        </is>
      </c>
      <c r="E770" s="21">
        <f>documents!G4</f>
        <v/>
      </c>
      <c r="F770">
        <f>IF(B770="","",LEFT(B770,4))</f>
        <v/>
      </c>
      <c r="G770">
        <f>IF(A770="","",INDEX(vehicles!$I$2:$I$5,MATCH(A770,vehicles!$A$2:$A$5,0)))</f>
        <v/>
      </c>
      <c r="H770" t="inlineStr">
        <is>
          <t>documents</t>
        </is>
      </c>
    </row>
    <row r="771">
      <c r="A771" s="5">
        <f>documents!A5</f>
        <v/>
      </c>
      <c r="B771" s="5">
        <f>LEFT(documents!E5,10)</f>
        <v/>
      </c>
      <c r="C771" t="inlineStr">
        <is>
          <t>compliance</t>
        </is>
      </c>
      <c r="D771" t="inlineStr">
        <is>
          <t>documents</t>
        </is>
      </c>
      <c r="E771" s="21">
        <f>documents!G5</f>
        <v/>
      </c>
      <c r="F771">
        <f>IF(B771="","",LEFT(B771,4))</f>
        <v/>
      </c>
      <c r="G771">
        <f>IF(A771="","",INDEX(vehicles!$I$2:$I$5,MATCH(A771,vehicles!$A$2:$A$5,0)))</f>
        <v/>
      </c>
      <c r="H771" t="inlineStr">
        <is>
          <t>documents</t>
        </is>
      </c>
    </row>
    <row r="772">
      <c r="A772" s="5">
        <f>documents!A6</f>
        <v/>
      </c>
      <c r="B772" s="5">
        <f>LEFT(documents!E6,10)</f>
        <v/>
      </c>
      <c r="C772" t="inlineStr">
        <is>
          <t>compliance</t>
        </is>
      </c>
      <c r="D772" t="inlineStr">
        <is>
          <t>documents</t>
        </is>
      </c>
      <c r="E772" s="21">
        <f>documents!G6</f>
        <v/>
      </c>
      <c r="F772">
        <f>IF(B772="","",LEFT(B772,4))</f>
        <v/>
      </c>
      <c r="G772">
        <f>IF(A772="","",INDEX(vehicles!$I$2:$I$5,MATCH(A772,vehicles!$A$2:$A$5,0)))</f>
        <v/>
      </c>
      <c r="H772" t="inlineStr">
        <is>
          <t>documents</t>
        </is>
      </c>
    </row>
    <row r="773">
      <c r="A773" s="5">
        <f>documents!A7</f>
        <v/>
      </c>
      <c r="B773" s="5">
        <f>LEFT(documents!E7,10)</f>
        <v/>
      </c>
      <c r="C773" t="inlineStr">
        <is>
          <t>compliance</t>
        </is>
      </c>
      <c r="D773" t="inlineStr">
        <is>
          <t>documents</t>
        </is>
      </c>
      <c r="E773" s="21">
        <f>documents!G7</f>
        <v/>
      </c>
      <c r="F773">
        <f>IF(B773="","",LEFT(B773,4))</f>
        <v/>
      </c>
      <c r="G773">
        <f>IF(A773="","",INDEX(vehicles!$I$2:$I$5,MATCH(A773,vehicles!$A$2:$A$5,0)))</f>
        <v/>
      </c>
      <c r="H773" t="inlineStr">
        <is>
          <t>documents</t>
        </is>
      </c>
    </row>
    <row r="774">
      <c r="A774" s="5">
        <f>documents!A8</f>
        <v/>
      </c>
      <c r="B774" s="5">
        <f>LEFT(documents!E8,10)</f>
        <v/>
      </c>
      <c r="C774" t="inlineStr">
        <is>
          <t>compliance</t>
        </is>
      </c>
      <c r="D774" t="inlineStr">
        <is>
          <t>documents</t>
        </is>
      </c>
      <c r="E774" s="21">
        <f>documents!G8</f>
        <v/>
      </c>
      <c r="F774">
        <f>IF(B774="","",LEFT(B774,4))</f>
        <v/>
      </c>
      <c r="G774">
        <f>IF(A774="","",INDEX(vehicles!$I$2:$I$5,MATCH(A774,vehicles!$A$2:$A$5,0)))</f>
        <v/>
      </c>
      <c r="H774" t="inlineStr">
        <is>
          <t>documents</t>
        </is>
      </c>
    </row>
    <row r="775">
      <c r="A775" s="5">
        <f>documents!A9</f>
        <v/>
      </c>
      <c r="B775" s="5">
        <f>LEFT(documents!E9,10)</f>
        <v/>
      </c>
      <c r="C775" t="inlineStr">
        <is>
          <t>compliance</t>
        </is>
      </c>
      <c r="D775" t="inlineStr">
        <is>
          <t>documents</t>
        </is>
      </c>
      <c r="E775" s="21">
        <f>documents!G9</f>
        <v/>
      </c>
      <c r="F775">
        <f>IF(B775="","",LEFT(B775,4))</f>
        <v/>
      </c>
      <c r="G775">
        <f>IF(A775="","",INDEX(vehicles!$I$2:$I$5,MATCH(A775,vehicles!$A$2:$A$5,0)))</f>
        <v/>
      </c>
      <c r="H775" t="inlineStr">
        <is>
          <t>documents</t>
        </is>
      </c>
    </row>
    <row r="776">
      <c r="A776" s="5">
        <f>documents!A10</f>
        <v/>
      </c>
      <c r="B776" s="5">
        <f>LEFT(documents!E10,10)</f>
        <v/>
      </c>
      <c r="C776" t="inlineStr">
        <is>
          <t>compliance</t>
        </is>
      </c>
      <c r="D776" t="inlineStr">
        <is>
          <t>documents</t>
        </is>
      </c>
      <c r="E776" s="21">
        <f>documents!G10</f>
        <v/>
      </c>
      <c r="F776">
        <f>IF(B776="","",LEFT(B776,4))</f>
        <v/>
      </c>
      <c r="G776">
        <f>IF(A776="","",INDEX(vehicles!$I$2:$I$5,MATCH(A776,vehicles!$A$2:$A$5,0)))</f>
        <v/>
      </c>
      <c r="H776" t="inlineStr">
        <is>
          <t>documents</t>
        </is>
      </c>
    </row>
    <row r="777">
      <c r="A777" s="5">
        <f>documents!A11</f>
        <v/>
      </c>
      <c r="B777" s="5">
        <f>LEFT(documents!E11,10)</f>
        <v/>
      </c>
      <c r="C777" t="inlineStr">
        <is>
          <t>compliance</t>
        </is>
      </c>
      <c r="D777" t="inlineStr">
        <is>
          <t>documents</t>
        </is>
      </c>
      <c r="E777" s="21">
        <f>documents!G11</f>
        <v/>
      </c>
      <c r="F777">
        <f>IF(B777="","",LEFT(B777,4))</f>
        <v/>
      </c>
      <c r="G777">
        <f>IF(A777="","",INDEX(vehicles!$I$2:$I$5,MATCH(A777,vehicles!$A$2:$A$5,0)))</f>
        <v/>
      </c>
      <c r="H777" t="inlineStr">
        <is>
          <t>documents</t>
        </is>
      </c>
    </row>
    <row r="778">
      <c r="A778" s="5">
        <f>documents!A12</f>
        <v/>
      </c>
      <c r="B778" s="5">
        <f>LEFT(documents!E12,10)</f>
        <v/>
      </c>
      <c r="C778" t="inlineStr">
        <is>
          <t>compliance</t>
        </is>
      </c>
      <c r="D778" t="inlineStr">
        <is>
          <t>documents</t>
        </is>
      </c>
      <c r="E778" s="21">
        <f>documents!G12</f>
        <v/>
      </c>
      <c r="F778">
        <f>IF(B778="","",LEFT(B778,4))</f>
        <v/>
      </c>
      <c r="G778">
        <f>IF(A778="","",INDEX(vehicles!$I$2:$I$5,MATCH(A778,vehicles!$A$2:$A$5,0)))</f>
        <v/>
      </c>
      <c r="H778" t="inlineStr">
        <is>
          <t>documents</t>
        </is>
      </c>
    </row>
    <row r="779">
      <c r="A779" s="5">
        <f>documents!A13</f>
        <v/>
      </c>
      <c r="B779" s="5">
        <f>LEFT(documents!E13,10)</f>
        <v/>
      </c>
      <c r="C779" t="inlineStr">
        <is>
          <t>compliance</t>
        </is>
      </c>
      <c r="D779" t="inlineStr">
        <is>
          <t>documents</t>
        </is>
      </c>
      <c r="E779" s="21">
        <f>documents!G13</f>
        <v/>
      </c>
      <c r="F779">
        <f>IF(B779="","",LEFT(B779,4))</f>
        <v/>
      </c>
      <c r="G779">
        <f>IF(A779="","",INDEX(vehicles!$I$2:$I$5,MATCH(A779,vehicles!$A$2:$A$5,0)))</f>
        <v/>
      </c>
      <c r="H779" t="inlineStr">
        <is>
          <t>documents</t>
        </is>
      </c>
    </row>
    <row r="780">
      <c r="A780" s="5">
        <f>documents!A14</f>
        <v/>
      </c>
      <c r="B780" s="5">
        <f>LEFT(documents!E14,10)</f>
        <v/>
      </c>
      <c r="C780" t="inlineStr">
        <is>
          <t>compliance</t>
        </is>
      </c>
      <c r="D780" t="inlineStr">
        <is>
          <t>documents</t>
        </is>
      </c>
      <c r="E780" s="21">
        <f>documents!G14</f>
        <v/>
      </c>
      <c r="F780">
        <f>IF(B780="","",LEFT(B780,4))</f>
        <v/>
      </c>
      <c r="G780">
        <f>IF(A780="","",INDEX(vehicles!$I$2:$I$5,MATCH(A780,vehicles!$A$2:$A$5,0)))</f>
        <v/>
      </c>
      <c r="H780" t="inlineStr">
        <is>
          <t>documents</t>
        </is>
      </c>
    </row>
    <row r="781">
      <c r="A781" s="5">
        <f>documents!A15</f>
        <v/>
      </c>
      <c r="B781" s="5">
        <f>LEFT(documents!E15,10)</f>
        <v/>
      </c>
      <c r="C781" t="inlineStr">
        <is>
          <t>compliance</t>
        </is>
      </c>
      <c r="D781" t="inlineStr">
        <is>
          <t>documents</t>
        </is>
      </c>
      <c r="E781" s="21">
        <f>documents!G15</f>
        <v/>
      </c>
      <c r="F781">
        <f>IF(B781="","",LEFT(B781,4))</f>
        <v/>
      </c>
      <c r="G781">
        <f>IF(A781="","",INDEX(vehicles!$I$2:$I$5,MATCH(A781,vehicles!$A$2:$A$5,0)))</f>
        <v/>
      </c>
      <c r="H781" t="inlineStr">
        <is>
          <t>documents</t>
        </is>
      </c>
    </row>
    <row r="782">
      <c r="A782" s="5">
        <f>documents!A16</f>
        <v/>
      </c>
      <c r="B782" s="5">
        <f>LEFT(documents!E16,10)</f>
        <v/>
      </c>
      <c r="C782" t="inlineStr">
        <is>
          <t>compliance</t>
        </is>
      </c>
      <c r="D782" t="inlineStr">
        <is>
          <t>documents</t>
        </is>
      </c>
      <c r="E782" s="21">
        <f>documents!G16</f>
        <v/>
      </c>
      <c r="F782">
        <f>IF(B782="","",LEFT(B782,4))</f>
        <v/>
      </c>
      <c r="G782">
        <f>IF(A782="","",INDEX(vehicles!$I$2:$I$5,MATCH(A782,vehicles!$A$2:$A$5,0)))</f>
        <v/>
      </c>
      <c r="H782" t="inlineStr">
        <is>
          <t>documents</t>
        </is>
      </c>
    </row>
    <row r="783">
      <c r="A783" s="5">
        <f>documents!A17</f>
        <v/>
      </c>
      <c r="B783" s="5">
        <f>LEFT(documents!E17,10)</f>
        <v/>
      </c>
      <c r="C783" t="inlineStr">
        <is>
          <t>compliance</t>
        </is>
      </c>
      <c r="D783" t="inlineStr">
        <is>
          <t>documents</t>
        </is>
      </c>
      <c r="E783" s="21">
        <f>documents!G17</f>
        <v/>
      </c>
      <c r="F783">
        <f>IF(B783="","",LEFT(B783,4))</f>
        <v/>
      </c>
      <c r="G783">
        <f>IF(A783="","",INDEX(vehicles!$I$2:$I$5,MATCH(A783,vehicles!$A$2:$A$5,0)))</f>
        <v/>
      </c>
      <c r="H783" t="inlineStr">
        <is>
          <t>documents</t>
        </is>
      </c>
    </row>
    <row r="784">
      <c r="A784" s="5">
        <f>documents!A18</f>
        <v/>
      </c>
      <c r="B784" s="5">
        <f>LEFT(documents!E18,10)</f>
        <v/>
      </c>
      <c r="C784" t="inlineStr">
        <is>
          <t>compliance</t>
        </is>
      </c>
      <c r="D784" t="inlineStr">
        <is>
          <t>documents</t>
        </is>
      </c>
      <c r="E784" s="21">
        <f>documents!G18</f>
        <v/>
      </c>
      <c r="F784">
        <f>IF(B784="","",LEFT(B784,4))</f>
        <v/>
      </c>
      <c r="G784">
        <f>IF(A784="","",INDEX(vehicles!$I$2:$I$5,MATCH(A784,vehicles!$A$2:$A$5,0)))</f>
        <v/>
      </c>
      <c r="H784" t="inlineStr">
        <is>
          <t>documents</t>
        </is>
      </c>
    </row>
    <row r="785">
      <c r="A785" s="5">
        <f>documents!A19</f>
        <v/>
      </c>
      <c r="B785" s="5">
        <f>LEFT(documents!E19,10)</f>
        <v/>
      </c>
      <c r="C785" t="inlineStr">
        <is>
          <t>compliance</t>
        </is>
      </c>
      <c r="D785" t="inlineStr">
        <is>
          <t>documents</t>
        </is>
      </c>
      <c r="E785" s="21">
        <f>documents!G19</f>
        <v/>
      </c>
      <c r="F785">
        <f>IF(B785="","",LEFT(B785,4))</f>
        <v/>
      </c>
      <c r="G785">
        <f>IF(A785="","",INDEX(vehicles!$I$2:$I$5,MATCH(A785,vehicles!$A$2:$A$5,0)))</f>
        <v/>
      </c>
      <c r="H785" t="inlineStr">
        <is>
          <t>documents</t>
        </is>
      </c>
    </row>
    <row r="786">
      <c r="A786" s="5">
        <f>documents!A20</f>
        <v/>
      </c>
      <c r="B786" s="5">
        <f>LEFT(documents!E20,10)</f>
        <v/>
      </c>
      <c r="C786" t="inlineStr">
        <is>
          <t>compliance</t>
        </is>
      </c>
      <c r="D786" t="inlineStr">
        <is>
          <t>documents</t>
        </is>
      </c>
      <c r="E786" s="21">
        <f>documents!G20</f>
        <v/>
      </c>
      <c r="F786">
        <f>IF(B786="","",LEFT(B786,4))</f>
        <v/>
      </c>
      <c r="G786">
        <f>IF(A786="","",INDEX(vehicles!$I$2:$I$5,MATCH(A786,vehicles!$A$2:$A$5,0)))</f>
        <v/>
      </c>
      <c r="H786" t="inlineStr">
        <is>
          <t>documents</t>
        </is>
      </c>
    </row>
    <row r="787">
      <c r="A787" s="11" t="n"/>
      <c r="B787" s="11" t="n"/>
      <c r="C787" t="inlineStr">
        <is>
          <t>other</t>
        </is>
      </c>
      <c r="D787" t="inlineStr">
        <is>
          <t>finance</t>
        </is>
      </c>
      <c r="E787" s="22" t="n"/>
      <c r="F787">
        <f>IF(B787="","",LEFT(B787,4))</f>
        <v/>
      </c>
      <c r="G787">
        <f>IF(A787="","",INDEX(vehicles!$I$2:$I$5,MATCH(A787,vehicles!$A$2:$A$5,0)))</f>
        <v/>
      </c>
      <c r="H787" t="inlineStr">
        <is>
          <t>finance</t>
        </is>
      </c>
      <c r="J787" s="3" t="inlineStr">
        <is>
          <t>Finance lines: yours to add (interest shares and fees on their dates, the end adjustment; spec §7.32). Group "other", category "finance".</t>
        </is>
      </c>
    </row>
    <row r="788">
      <c r="A788" s="11" t="n"/>
      <c r="B788" s="11" t="n"/>
      <c r="C788" t="inlineStr">
        <is>
          <t>other</t>
        </is>
      </c>
      <c r="D788" t="inlineStr">
        <is>
          <t>finance</t>
        </is>
      </c>
      <c r="E788" s="22" t="n"/>
      <c r="F788">
        <f>IF(B788="","",LEFT(B788,4))</f>
        <v/>
      </c>
      <c r="G788">
        <f>IF(A788="","",INDEX(vehicles!$I$2:$I$5,MATCH(A788,vehicles!$A$2:$A$5,0)))</f>
        <v/>
      </c>
      <c r="H788" t="inlineStr">
        <is>
          <t>finance</t>
        </is>
      </c>
    </row>
    <row r="789">
      <c r="A789" s="11" t="n"/>
      <c r="B789" s="11" t="n"/>
      <c r="C789" t="inlineStr">
        <is>
          <t>other</t>
        </is>
      </c>
      <c r="D789" t="inlineStr">
        <is>
          <t>finance</t>
        </is>
      </c>
      <c r="E789" s="22" t="n"/>
      <c r="F789">
        <f>IF(B789="","",LEFT(B789,4))</f>
        <v/>
      </c>
      <c r="G789">
        <f>IF(A789="","",INDEX(vehicles!$I$2:$I$5,MATCH(A789,vehicles!$A$2:$A$5,0)))</f>
        <v/>
      </c>
      <c r="H789" t="inlineStr">
        <is>
          <t>finance</t>
        </is>
      </c>
    </row>
    <row r="790">
      <c r="A790" s="11" t="n"/>
      <c r="B790" s="11" t="n"/>
      <c r="C790" t="inlineStr">
        <is>
          <t>other</t>
        </is>
      </c>
      <c r="D790" t="inlineStr">
        <is>
          <t>finance</t>
        </is>
      </c>
      <c r="E790" s="22" t="n"/>
      <c r="F790">
        <f>IF(B790="","",LEFT(B790,4))</f>
        <v/>
      </c>
      <c r="G790">
        <f>IF(A790="","",INDEX(vehicles!$I$2:$I$5,MATCH(A790,vehicles!$A$2:$A$5,0)))</f>
        <v/>
      </c>
      <c r="H790" t="inlineStr">
        <is>
          <t>finance</t>
        </is>
      </c>
    </row>
    <row r="791">
      <c r="A791" s="11" t="n"/>
      <c r="B791" s="11" t="n"/>
      <c r="C791" t="inlineStr">
        <is>
          <t>other</t>
        </is>
      </c>
      <c r="D791" t="inlineStr">
        <is>
          <t>finance</t>
        </is>
      </c>
      <c r="E791" s="22" t="n"/>
      <c r="F791">
        <f>IF(B791="","",LEFT(B791,4))</f>
        <v/>
      </c>
      <c r="G791">
        <f>IF(A791="","",INDEX(vehicles!$I$2:$I$5,MATCH(A791,vehicles!$A$2:$A$5,0)))</f>
        <v/>
      </c>
      <c r="H791" t="inlineStr">
        <is>
          <t>finance</t>
        </is>
      </c>
    </row>
    <row r="792">
      <c r="A792" s="11" t="n"/>
      <c r="B792" s="11" t="n"/>
      <c r="C792" t="inlineStr">
        <is>
          <t>other</t>
        </is>
      </c>
      <c r="D792" t="inlineStr">
        <is>
          <t>finance</t>
        </is>
      </c>
      <c r="E792" s="22" t="n"/>
      <c r="F792">
        <f>IF(B792="","",LEFT(B792,4))</f>
        <v/>
      </c>
      <c r="G792">
        <f>IF(A792="","",INDEX(vehicles!$I$2:$I$5,MATCH(A792,vehicles!$A$2:$A$5,0)))</f>
        <v/>
      </c>
      <c r="H792" t="inlineStr">
        <is>
          <t>finance</t>
        </is>
      </c>
    </row>
    <row r="793">
      <c r="A793" s="11" t="n"/>
      <c r="B793" s="11" t="n"/>
      <c r="C793" t="inlineStr">
        <is>
          <t>other</t>
        </is>
      </c>
      <c r="D793" t="inlineStr">
        <is>
          <t>finance</t>
        </is>
      </c>
      <c r="E793" s="22" t="n"/>
      <c r="F793">
        <f>IF(B793="","",LEFT(B793,4))</f>
        <v/>
      </c>
      <c r="G793">
        <f>IF(A793="","",INDEX(vehicles!$I$2:$I$5,MATCH(A793,vehicles!$A$2:$A$5,0)))</f>
        <v/>
      </c>
      <c r="H793" t="inlineStr">
        <is>
          <t>finance</t>
        </is>
      </c>
    </row>
    <row r="794">
      <c r="A794" s="11" t="n"/>
      <c r="B794" s="11" t="n"/>
      <c r="C794" t="inlineStr">
        <is>
          <t>other</t>
        </is>
      </c>
      <c r="D794" t="inlineStr">
        <is>
          <t>finance</t>
        </is>
      </c>
      <c r="E794" s="22" t="n"/>
      <c r="F794">
        <f>IF(B794="","",LEFT(B794,4))</f>
        <v/>
      </c>
      <c r="G794">
        <f>IF(A794="","",INDEX(vehicles!$I$2:$I$5,MATCH(A794,vehicles!$A$2:$A$5,0)))</f>
        <v/>
      </c>
      <c r="H794" t="inlineStr">
        <is>
          <t>finance</t>
        </is>
      </c>
    </row>
    <row r="795">
      <c r="A795" s="11" t="n"/>
      <c r="B795" s="11" t="n"/>
      <c r="C795" t="inlineStr">
        <is>
          <t>other</t>
        </is>
      </c>
      <c r="D795" t="inlineStr">
        <is>
          <t>finance</t>
        </is>
      </c>
      <c r="E795" s="22" t="n"/>
      <c r="F795">
        <f>IF(B795="","",LEFT(B795,4))</f>
        <v/>
      </c>
      <c r="G795">
        <f>IF(A795="","",INDEX(vehicles!$I$2:$I$5,MATCH(A795,vehicles!$A$2:$A$5,0)))</f>
        <v/>
      </c>
      <c r="H795" t="inlineStr">
        <is>
          <t>finance</t>
        </is>
      </c>
    </row>
    <row r="796">
      <c r="A796" s="11" t="n"/>
      <c r="B796" s="11" t="n"/>
      <c r="C796" t="inlineStr">
        <is>
          <t>other</t>
        </is>
      </c>
      <c r="D796" t="inlineStr">
        <is>
          <t>finance</t>
        </is>
      </c>
      <c r="E796" s="22" t="n"/>
      <c r="F796">
        <f>IF(B796="","",LEFT(B796,4))</f>
        <v/>
      </c>
      <c r="G796">
        <f>IF(A796="","",INDEX(vehicles!$I$2:$I$5,MATCH(A796,vehicles!$A$2:$A$5,0)))</f>
        <v/>
      </c>
      <c r="H796" t="inlineStr">
        <is>
          <t>finance</t>
        </is>
      </c>
    </row>
    <row r="797">
      <c r="A797" s="11" t="n"/>
      <c r="B797" s="11" t="n"/>
      <c r="C797" t="inlineStr">
        <is>
          <t>other</t>
        </is>
      </c>
      <c r="D797" t="inlineStr">
        <is>
          <t>finance</t>
        </is>
      </c>
      <c r="E797" s="22" t="n"/>
      <c r="F797">
        <f>IF(B797="","",LEFT(B797,4))</f>
        <v/>
      </c>
      <c r="G797">
        <f>IF(A797="","",INDEX(vehicles!$I$2:$I$5,MATCH(A797,vehicles!$A$2:$A$5,0)))</f>
        <v/>
      </c>
      <c r="H797" t="inlineStr">
        <is>
          <t>finance</t>
        </is>
      </c>
    </row>
    <row r="798">
      <c r="A798" s="11" t="n"/>
      <c r="B798" s="11" t="n"/>
      <c r="C798" t="inlineStr">
        <is>
          <t>other</t>
        </is>
      </c>
      <c r="D798" t="inlineStr">
        <is>
          <t>finance</t>
        </is>
      </c>
      <c r="E798" s="22" t="n"/>
      <c r="F798">
        <f>IF(B798="","",LEFT(B798,4))</f>
        <v/>
      </c>
      <c r="G798">
        <f>IF(A798="","",INDEX(vehicles!$I$2:$I$5,MATCH(A798,vehicles!$A$2:$A$5,0)))</f>
        <v/>
      </c>
      <c r="H798" t="inlineStr">
        <is>
          <t>finance</t>
        </is>
      </c>
    </row>
    <row r="799">
      <c r="A799" s="11" t="n"/>
      <c r="B799" s="11" t="n"/>
      <c r="C799" t="inlineStr">
        <is>
          <t>other</t>
        </is>
      </c>
      <c r="D799" t="inlineStr">
        <is>
          <t>finance</t>
        </is>
      </c>
      <c r="E799" s="22" t="n"/>
      <c r="F799">
        <f>IF(B799="","",LEFT(B799,4))</f>
        <v/>
      </c>
      <c r="G799">
        <f>IF(A799="","",INDEX(vehicles!$I$2:$I$5,MATCH(A799,vehicles!$A$2:$A$5,0)))</f>
        <v/>
      </c>
      <c r="H799" t="inlineStr">
        <is>
          <t>finance</t>
        </is>
      </c>
    </row>
    <row r="800">
      <c r="A800" s="11" t="n"/>
      <c r="B800" s="11" t="n"/>
      <c r="C800" t="inlineStr">
        <is>
          <t>other</t>
        </is>
      </c>
      <c r="D800" t="inlineStr">
        <is>
          <t>finance</t>
        </is>
      </c>
      <c r="E800" s="22" t="n"/>
      <c r="F800">
        <f>IF(B800="","",LEFT(B800,4))</f>
        <v/>
      </c>
      <c r="G800">
        <f>IF(A800="","",INDEX(vehicles!$I$2:$I$5,MATCH(A800,vehicles!$A$2:$A$5,0)))</f>
        <v/>
      </c>
      <c r="H800" t="inlineStr">
        <is>
          <t>finance</t>
        </is>
      </c>
    </row>
    <row r="801">
      <c r="A801" s="11" t="n"/>
      <c r="B801" s="11" t="n"/>
      <c r="C801" t="inlineStr">
        <is>
          <t>other</t>
        </is>
      </c>
      <c r="D801" t="inlineStr">
        <is>
          <t>finance</t>
        </is>
      </c>
      <c r="E801" s="22" t="n"/>
      <c r="F801">
        <f>IF(B801="","",LEFT(B801,4))</f>
        <v/>
      </c>
      <c r="G801">
        <f>IF(A801="","",INDEX(vehicles!$I$2:$I$5,MATCH(A801,vehicles!$A$2:$A$5,0)))</f>
        <v/>
      </c>
      <c r="H801" t="inlineStr">
        <is>
          <t>finance</t>
        </is>
      </c>
    </row>
    <row r="802">
      <c r="A802" s="11" t="n"/>
      <c r="B802" s="11" t="n"/>
      <c r="C802" t="inlineStr">
        <is>
          <t>other</t>
        </is>
      </c>
      <c r="D802" t="inlineStr">
        <is>
          <t>finance</t>
        </is>
      </c>
      <c r="E802" s="22" t="n"/>
      <c r="F802">
        <f>IF(B802="","",LEFT(B802,4))</f>
        <v/>
      </c>
      <c r="G802">
        <f>IF(A802="","",INDEX(vehicles!$I$2:$I$5,MATCH(A802,vehicles!$A$2:$A$5,0)))</f>
        <v/>
      </c>
      <c r="H802" t="inlineStr">
        <is>
          <t>finance</t>
        </is>
      </c>
    </row>
    <row r="803">
      <c r="A803" s="11" t="n"/>
      <c r="B803" s="11" t="n"/>
      <c r="C803" t="inlineStr">
        <is>
          <t>other</t>
        </is>
      </c>
      <c r="D803" t="inlineStr">
        <is>
          <t>finance</t>
        </is>
      </c>
      <c r="E803" s="22" t="n"/>
      <c r="F803">
        <f>IF(B803="","",LEFT(B803,4))</f>
        <v/>
      </c>
      <c r="G803">
        <f>IF(A803="","",INDEX(vehicles!$I$2:$I$5,MATCH(A803,vehicles!$A$2:$A$5,0)))</f>
        <v/>
      </c>
      <c r="H803" t="inlineStr">
        <is>
          <t>finance</t>
        </is>
      </c>
    </row>
    <row r="804">
      <c r="A804" s="11" t="n"/>
      <c r="B804" s="11" t="n"/>
      <c r="C804" t="inlineStr">
        <is>
          <t>other</t>
        </is>
      </c>
      <c r="D804" t="inlineStr">
        <is>
          <t>finance</t>
        </is>
      </c>
      <c r="E804" s="22" t="n"/>
      <c r="F804">
        <f>IF(B804="","",LEFT(B804,4))</f>
        <v/>
      </c>
      <c r="G804">
        <f>IF(A804="","",INDEX(vehicles!$I$2:$I$5,MATCH(A804,vehicles!$A$2:$A$5,0)))</f>
        <v/>
      </c>
      <c r="H804" t="inlineStr">
        <is>
          <t>finance</t>
        </is>
      </c>
    </row>
    <row r="805">
      <c r="A805" s="11" t="n"/>
      <c r="B805" s="11" t="n"/>
      <c r="C805" t="inlineStr">
        <is>
          <t>other</t>
        </is>
      </c>
      <c r="D805" t="inlineStr">
        <is>
          <t>finance</t>
        </is>
      </c>
      <c r="E805" s="22" t="n"/>
      <c r="F805">
        <f>IF(B805="","",LEFT(B805,4))</f>
        <v/>
      </c>
      <c r="G805">
        <f>IF(A805="","",INDEX(vehicles!$I$2:$I$5,MATCH(A805,vehicles!$A$2:$A$5,0)))</f>
        <v/>
      </c>
      <c r="H805" t="inlineStr">
        <is>
          <t>finance</t>
        </is>
      </c>
    </row>
    <row r="806">
      <c r="A806" s="11" t="n"/>
      <c r="B806" s="11" t="n"/>
      <c r="C806" t="inlineStr">
        <is>
          <t>other</t>
        </is>
      </c>
      <c r="D806" t="inlineStr">
        <is>
          <t>finance</t>
        </is>
      </c>
      <c r="E806" s="22" t="n"/>
      <c r="F806">
        <f>IF(B806="","",LEFT(B806,4))</f>
        <v/>
      </c>
      <c r="G806">
        <f>IF(A806="","",INDEX(vehicles!$I$2:$I$5,MATCH(A806,vehicles!$A$2:$A$5,0)))</f>
        <v/>
      </c>
      <c r="H806" t="inlineStr">
        <is>
          <t>finance</t>
        </is>
      </c>
    </row>
    <row r="807">
      <c r="A807" s="11" t="n"/>
      <c r="B807" s="11" t="n"/>
      <c r="C807" t="inlineStr">
        <is>
          <t>other</t>
        </is>
      </c>
      <c r="D807" t="inlineStr">
        <is>
          <t>finance</t>
        </is>
      </c>
      <c r="E807" s="22" t="n"/>
      <c r="F807">
        <f>IF(B807="","",LEFT(B807,4))</f>
        <v/>
      </c>
      <c r="G807">
        <f>IF(A807="","",INDEX(vehicles!$I$2:$I$5,MATCH(A807,vehicles!$A$2:$A$5,0)))</f>
        <v/>
      </c>
      <c r="H807" t="inlineStr">
        <is>
          <t>finance</t>
        </is>
      </c>
    </row>
    <row r="808">
      <c r="A808" s="11" t="n"/>
      <c r="B808" s="11" t="n"/>
      <c r="C808" t="inlineStr">
        <is>
          <t>other</t>
        </is>
      </c>
      <c r="D808" t="inlineStr">
        <is>
          <t>finance</t>
        </is>
      </c>
      <c r="E808" s="22" t="n"/>
      <c r="F808">
        <f>IF(B808="","",LEFT(B808,4))</f>
        <v/>
      </c>
      <c r="G808">
        <f>IF(A808="","",INDEX(vehicles!$I$2:$I$5,MATCH(A808,vehicles!$A$2:$A$5,0)))</f>
        <v/>
      </c>
      <c r="H808" t="inlineStr">
        <is>
          <t>finance</t>
        </is>
      </c>
    </row>
    <row r="809">
      <c r="A809" s="11" t="n"/>
      <c r="B809" s="11" t="n"/>
      <c r="C809" t="inlineStr">
        <is>
          <t>other</t>
        </is>
      </c>
      <c r="D809" t="inlineStr">
        <is>
          <t>finance</t>
        </is>
      </c>
      <c r="E809" s="22" t="n"/>
      <c r="F809">
        <f>IF(B809="","",LEFT(B809,4))</f>
        <v/>
      </c>
      <c r="G809">
        <f>IF(A809="","",INDEX(vehicles!$I$2:$I$5,MATCH(A809,vehicles!$A$2:$A$5,0)))</f>
        <v/>
      </c>
      <c r="H809" t="inlineStr">
        <is>
          <t>finance</t>
        </is>
      </c>
    </row>
    <row r="810">
      <c r="A810" s="11" t="n"/>
      <c r="B810" s="11" t="n"/>
      <c r="C810" t="inlineStr">
        <is>
          <t>other</t>
        </is>
      </c>
      <c r="D810" t="inlineStr">
        <is>
          <t>finance</t>
        </is>
      </c>
      <c r="E810" s="22" t="n"/>
      <c r="F810">
        <f>IF(B810="","",LEFT(B810,4))</f>
        <v/>
      </c>
      <c r="G810">
        <f>IF(A810="","",INDEX(vehicles!$I$2:$I$5,MATCH(A810,vehicles!$A$2:$A$5,0)))</f>
        <v/>
      </c>
      <c r="H810" t="inlineStr">
        <is>
          <t>finance</t>
        </is>
      </c>
    </row>
    <row r="811">
      <c r="A811" s="11" t="n"/>
      <c r="B811" s="11" t="n"/>
      <c r="C811" t="inlineStr">
        <is>
          <t>other</t>
        </is>
      </c>
      <c r="D811" t="inlineStr">
        <is>
          <t>finance</t>
        </is>
      </c>
      <c r="E811" s="22" t="n"/>
      <c r="F811">
        <f>IF(B811="","",LEFT(B811,4))</f>
        <v/>
      </c>
      <c r="G811">
        <f>IF(A811="","",INDEX(vehicles!$I$2:$I$5,MATCH(A811,vehicles!$A$2:$A$5,0)))</f>
        <v/>
      </c>
      <c r="H811" t="inlineStr">
        <is>
          <t>finance</t>
        </is>
      </c>
    </row>
    <row r="812">
      <c r="A812" s="11" t="n"/>
      <c r="B812" s="11" t="n"/>
      <c r="C812" t="inlineStr">
        <is>
          <t>other</t>
        </is>
      </c>
      <c r="D812" t="inlineStr">
        <is>
          <t>finance</t>
        </is>
      </c>
      <c r="E812" s="22" t="n"/>
      <c r="F812">
        <f>IF(B812="","",LEFT(B812,4))</f>
        <v/>
      </c>
      <c r="G812">
        <f>IF(A812="","",INDEX(vehicles!$I$2:$I$5,MATCH(A812,vehicles!$A$2:$A$5,0)))</f>
        <v/>
      </c>
      <c r="H812" t="inlineStr">
        <is>
          <t>finance</t>
        </is>
      </c>
    </row>
    <row r="813">
      <c r="A813" s="11" t="n"/>
      <c r="B813" s="11" t="n"/>
      <c r="C813" t="inlineStr">
        <is>
          <t>other</t>
        </is>
      </c>
      <c r="D813" t="inlineStr">
        <is>
          <t>finance</t>
        </is>
      </c>
      <c r="E813" s="22" t="n"/>
      <c r="F813">
        <f>IF(B813="","",LEFT(B813,4))</f>
        <v/>
      </c>
      <c r="G813">
        <f>IF(A813="","",INDEX(vehicles!$I$2:$I$5,MATCH(A813,vehicles!$A$2:$A$5,0)))</f>
        <v/>
      </c>
      <c r="H813" t="inlineStr">
        <is>
          <t>finance</t>
        </is>
      </c>
    </row>
    <row r="814">
      <c r="A814" s="11" t="n"/>
      <c r="B814" s="11" t="n"/>
      <c r="C814" t="inlineStr">
        <is>
          <t>other</t>
        </is>
      </c>
      <c r="D814" t="inlineStr">
        <is>
          <t>finance</t>
        </is>
      </c>
      <c r="E814" s="22" t="n"/>
      <c r="F814">
        <f>IF(B814="","",LEFT(B814,4))</f>
        <v/>
      </c>
      <c r="G814">
        <f>IF(A814="","",INDEX(vehicles!$I$2:$I$5,MATCH(A814,vehicles!$A$2:$A$5,0)))</f>
        <v/>
      </c>
      <c r="H814" t="inlineStr">
        <is>
          <t>finance</t>
        </is>
      </c>
    </row>
    <row r="815">
      <c r="A815" s="11" t="n"/>
      <c r="B815" s="11" t="n"/>
      <c r="C815" t="inlineStr">
        <is>
          <t>other</t>
        </is>
      </c>
      <c r="D815" t="inlineStr">
        <is>
          <t>finance</t>
        </is>
      </c>
      <c r="E815" s="22" t="n"/>
      <c r="F815">
        <f>IF(B815="","",LEFT(B815,4))</f>
        <v/>
      </c>
      <c r="G815">
        <f>IF(A815="","",INDEX(vehicles!$I$2:$I$5,MATCH(A815,vehicles!$A$2:$A$5,0)))</f>
        <v/>
      </c>
      <c r="H815" t="inlineStr">
        <is>
          <t>finance</t>
        </is>
      </c>
    </row>
    <row r="816">
      <c r="A816" s="11" t="n"/>
      <c r="B816" s="11" t="n"/>
      <c r="C816" t="inlineStr">
        <is>
          <t>other</t>
        </is>
      </c>
      <c r="D816" t="inlineStr">
        <is>
          <t>finance</t>
        </is>
      </c>
      <c r="E816" s="22" t="n"/>
      <c r="F816">
        <f>IF(B816="","",LEFT(B816,4))</f>
        <v/>
      </c>
      <c r="G816">
        <f>IF(A816="","",INDEX(vehicles!$I$2:$I$5,MATCH(A816,vehicles!$A$2:$A$5,0)))</f>
        <v/>
      </c>
      <c r="H816" t="inlineStr">
        <is>
          <t>finance</t>
        </is>
      </c>
    </row>
    <row r="817">
      <c r="A817" s="11" t="n"/>
      <c r="B817" s="11" t="n"/>
      <c r="C817" t="inlineStr">
        <is>
          <t>other</t>
        </is>
      </c>
      <c r="D817" t="inlineStr">
        <is>
          <t>finance</t>
        </is>
      </c>
      <c r="E817" s="22" t="n"/>
      <c r="F817">
        <f>IF(B817="","",LEFT(B817,4))</f>
        <v/>
      </c>
      <c r="G817">
        <f>IF(A817="","",INDEX(vehicles!$I$2:$I$5,MATCH(A817,vehicles!$A$2:$A$5,0)))</f>
        <v/>
      </c>
      <c r="H817" t="inlineStr">
        <is>
          <t>finance</t>
        </is>
      </c>
    </row>
    <row r="818">
      <c r="A818" s="11" t="n"/>
      <c r="B818" s="11" t="n"/>
      <c r="C818" t="inlineStr">
        <is>
          <t>other</t>
        </is>
      </c>
      <c r="D818" t="inlineStr">
        <is>
          <t>finance</t>
        </is>
      </c>
      <c r="E818" s="22" t="n"/>
      <c r="F818">
        <f>IF(B818="","",LEFT(B818,4))</f>
        <v/>
      </c>
      <c r="G818">
        <f>IF(A818="","",INDEX(vehicles!$I$2:$I$5,MATCH(A818,vehicles!$A$2:$A$5,0)))</f>
        <v/>
      </c>
      <c r="H818" t="inlineStr">
        <is>
          <t>finance</t>
        </is>
      </c>
    </row>
    <row r="819">
      <c r="A819" s="11" t="n"/>
      <c r="B819" s="11" t="n"/>
      <c r="C819" t="inlineStr">
        <is>
          <t>other</t>
        </is>
      </c>
      <c r="D819" t="inlineStr">
        <is>
          <t>finance</t>
        </is>
      </c>
      <c r="E819" s="22" t="n"/>
      <c r="F819">
        <f>IF(B819="","",LEFT(B819,4))</f>
        <v/>
      </c>
      <c r="G819">
        <f>IF(A819="","",INDEX(vehicles!$I$2:$I$5,MATCH(A819,vehicles!$A$2:$A$5,0)))</f>
        <v/>
      </c>
      <c r="H819" t="inlineStr">
        <is>
          <t>finance</t>
        </is>
      </c>
    </row>
    <row r="820">
      <c r="A820" s="11" t="n"/>
      <c r="B820" s="11" t="n"/>
      <c r="C820" t="inlineStr">
        <is>
          <t>other</t>
        </is>
      </c>
      <c r="D820" t="inlineStr">
        <is>
          <t>finance</t>
        </is>
      </c>
      <c r="E820" s="22" t="n"/>
      <c r="F820">
        <f>IF(B820="","",LEFT(B820,4))</f>
        <v/>
      </c>
      <c r="G820">
        <f>IF(A820="","",INDEX(vehicles!$I$2:$I$5,MATCH(A820,vehicles!$A$2:$A$5,0)))</f>
        <v/>
      </c>
      <c r="H820" t="inlineStr">
        <is>
          <t>finance</t>
        </is>
      </c>
    </row>
    <row r="821">
      <c r="A821" s="11" t="n"/>
      <c r="B821" s="11" t="n"/>
      <c r="C821" t="inlineStr">
        <is>
          <t>other</t>
        </is>
      </c>
      <c r="D821" t="inlineStr">
        <is>
          <t>finance</t>
        </is>
      </c>
      <c r="E821" s="22" t="n"/>
      <c r="F821">
        <f>IF(B821="","",LEFT(B821,4))</f>
        <v/>
      </c>
      <c r="G821">
        <f>IF(A821="","",INDEX(vehicles!$I$2:$I$5,MATCH(A821,vehicles!$A$2:$A$5,0)))</f>
        <v/>
      </c>
      <c r="H821" t="inlineStr">
        <is>
          <t>finance</t>
        </is>
      </c>
    </row>
    <row r="822">
      <c r="A822" s="11" t="n"/>
      <c r="B822" s="11" t="n"/>
      <c r="C822" t="inlineStr">
        <is>
          <t>other</t>
        </is>
      </c>
      <c r="D822" t="inlineStr">
        <is>
          <t>finance</t>
        </is>
      </c>
      <c r="E822" s="22" t="n"/>
      <c r="F822">
        <f>IF(B822="","",LEFT(B822,4))</f>
        <v/>
      </c>
      <c r="G822">
        <f>IF(A822="","",INDEX(vehicles!$I$2:$I$5,MATCH(A822,vehicles!$A$2:$A$5,0)))</f>
        <v/>
      </c>
      <c r="H822" t="inlineStr">
        <is>
          <t>finance</t>
        </is>
      </c>
    </row>
    <row r="823">
      <c r="A823" s="11" t="n"/>
      <c r="B823" s="11" t="n"/>
      <c r="C823" t="inlineStr">
        <is>
          <t>other</t>
        </is>
      </c>
      <c r="D823" t="inlineStr">
        <is>
          <t>finance</t>
        </is>
      </c>
      <c r="E823" s="22" t="n"/>
      <c r="F823">
        <f>IF(B823="","",LEFT(B823,4))</f>
        <v/>
      </c>
      <c r="G823">
        <f>IF(A823="","",INDEX(vehicles!$I$2:$I$5,MATCH(A823,vehicles!$A$2:$A$5,0)))</f>
        <v/>
      </c>
      <c r="H823" t="inlineStr">
        <is>
          <t>finance</t>
        </is>
      </c>
    </row>
    <row r="824">
      <c r="A824" s="11" t="n"/>
      <c r="B824" s="11" t="n"/>
      <c r="C824" t="inlineStr">
        <is>
          <t>other</t>
        </is>
      </c>
      <c r="D824" t="inlineStr">
        <is>
          <t>finance</t>
        </is>
      </c>
      <c r="E824" s="22" t="n"/>
      <c r="F824">
        <f>IF(B824="","",LEFT(B824,4))</f>
        <v/>
      </c>
      <c r="G824">
        <f>IF(A824="","",INDEX(vehicles!$I$2:$I$5,MATCH(A824,vehicles!$A$2:$A$5,0)))</f>
        <v/>
      </c>
      <c r="H824" t="inlineStr">
        <is>
          <t>finance</t>
        </is>
      </c>
    </row>
    <row r="825">
      <c r="A825" s="11" t="n"/>
      <c r="B825" s="11" t="n"/>
      <c r="C825" t="inlineStr">
        <is>
          <t>other</t>
        </is>
      </c>
      <c r="D825" t="inlineStr">
        <is>
          <t>finance</t>
        </is>
      </c>
      <c r="E825" s="22" t="n"/>
      <c r="F825">
        <f>IF(B825="","",LEFT(B825,4))</f>
        <v/>
      </c>
      <c r="G825">
        <f>IF(A825="","",INDEX(vehicles!$I$2:$I$5,MATCH(A825,vehicles!$A$2:$A$5,0)))</f>
        <v/>
      </c>
      <c r="H825" t="inlineStr">
        <is>
          <t>finance</t>
        </is>
      </c>
    </row>
    <row r="826">
      <c r="A826" s="11" t="n"/>
      <c r="B826" s="11" t="n"/>
      <c r="C826" t="inlineStr">
        <is>
          <t>other</t>
        </is>
      </c>
      <c r="D826" t="inlineStr">
        <is>
          <t>finance</t>
        </is>
      </c>
      <c r="E826" s="22" t="n"/>
      <c r="F826">
        <f>IF(B826="","",LEFT(B826,4))</f>
        <v/>
      </c>
      <c r="G826">
        <f>IF(A826="","",INDEX(vehicles!$I$2:$I$5,MATCH(A826,vehicles!$A$2:$A$5,0)))</f>
        <v/>
      </c>
      <c r="H826" t="inlineStr">
        <is>
          <t>finance</t>
        </is>
      </c>
    </row>
    <row r="827">
      <c r="A827" s="11" t="n"/>
      <c r="B827" s="11" t="n"/>
      <c r="C827" t="inlineStr">
        <is>
          <t>other</t>
        </is>
      </c>
      <c r="D827" t="inlineStr">
        <is>
          <t>finance</t>
        </is>
      </c>
      <c r="E827" s="22" t="n"/>
      <c r="F827">
        <f>IF(B827="","",LEFT(B827,4))</f>
        <v/>
      </c>
      <c r="G827">
        <f>IF(A827="","",INDEX(vehicles!$I$2:$I$5,MATCH(A827,vehicles!$A$2:$A$5,0)))</f>
        <v/>
      </c>
      <c r="H827" t="inlineStr">
        <is>
          <t>finance</t>
        </is>
      </c>
    </row>
    <row r="828">
      <c r="A828" s="11" t="n"/>
      <c r="B828" s="11" t="n"/>
      <c r="C828" t="inlineStr">
        <is>
          <t>other</t>
        </is>
      </c>
      <c r="D828" t="inlineStr">
        <is>
          <t>finance</t>
        </is>
      </c>
      <c r="E828" s="22" t="n"/>
      <c r="F828">
        <f>IF(B828="","",LEFT(B828,4))</f>
        <v/>
      </c>
      <c r="G828">
        <f>IF(A828="","",INDEX(vehicles!$I$2:$I$5,MATCH(A828,vehicles!$A$2:$A$5,0)))</f>
        <v/>
      </c>
      <c r="H828" t="inlineStr">
        <is>
          <t>finance</t>
        </is>
      </c>
    </row>
    <row r="829">
      <c r="A829" s="11" t="n"/>
      <c r="B829" s="11" t="n"/>
      <c r="C829" t="inlineStr">
        <is>
          <t>other</t>
        </is>
      </c>
      <c r="D829" t="inlineStr">
        <is>
          <t>finance</t>
        </is>
      </c>
      <c r="E829" s="22" t="n"/>
      <c r="F829">
        <f>IF(B829="","",LEFT(B829,4))</f>
        <v/>
      </c>
      <c r="G829">
        <f>IF(A829="","",INDEX(vehicles!$I$2:$I$5,MATCH(A829,vehicles!$A$2:$A$5,0)))</f>
        <v/>
      </c>
      <c r="H829" t="inlineStr">
        <is>
          <t>finance</t>
        </is>
      </c>
    </row>
    <row r="830">
      <c r="A830" s="11" t="n"/>
      <c r="B830" s="11" t="n"/>
      <c r="C830" t="inlineStr">
        <is>
          <t>other</t>
        </is>
      </c>
      <c r="D830" t="inlineStr">
        <is>
          <t>finance</t>
        </is>
      </c>
      <c r="E830" s="22" t="n"/>
      <c r="F830">
        <f>IF(B830="","",LEFT(B830,4))</f>
        <v/>
      </c>
      <c r="G830">
        <f>IF(A830="","",INDEX(vehicles!$I$2:$I$5,MATCH(A830,vehicles!$A$2:$A$5,0)))</f>
        <v/>
      </c>
      <c r="H830" t="inlineStr">
        <is>
          <t>finance</t>
        </is>
      </c>
    </row>
    <row r="831">
      <c r="A831" s="11" t="n"/>
      <c r="B831" s="11" t="n"/>
      <c r="C831" t="inlineStr">
        <is>
          <t>other</t>
        </is>
      </c>
      <c r="D831" t="inlineStr">
        <is>
          <t>finance</t>
        </is>
      </c>
      <c r="E831" s="22" t="n"/>
      <c r="F831">
        <f>IF(B831="","",LEFT(B831,4))</f>
        <v/>
      </c>
      <c r="G831">
        <f>IF(A831="","",INDEX(vehicles!$I$2:$I$5,MATCH(A831,vehicles!$A$2:$A$5,0)))</f>
        <v/>
      </c>
      <c r="H831" t="inlineStr">
        <is>
          <t>finance</t>
        </is>
      </c>
    </row>
    <row r="832">
      <c r="A832" s="11" t="n"/>
      <c r="B832" s="11" t="n"/>
      <c r="C832" t="inlineStr">
        <is>
          <t>other</t>
        </is>
      </c>
      <c r="D832" t="inlineStr">
        <is>
          <t>finance</t>
        </is>
      </c>
      <c r="E832" s="22" t="n"/>
      <c r="F832">
        <f>IF(B832="","",LEFT(B832,4))</f>
        <v/>
      </c>
      <c r="G832">
        <f>IF(A832="","",INDEX(vehicles!$I$2:$I$5,MATCH(A832,vehicles!$A$2:$A$5,0)))</f>
        <v/>
      </c>
      <c r="H832" t="inlineStr">
        <is>
          <t>finance</t>
        </is>
      </c>
    </row>
    <row r="833">
      <c r="A833" s="11" t="n"/>
      <c r="B833" s="11" t="n"/>
      <c r="C833" t="inlineStr">
        <is>
          <t>other</t>
        </is>
      </c>
      <c r="D833" t="inlineStr">
        <is>
          <t>finance</t>
        </is>
      </c>
      <c r="E833" s="22" t="n"/>
      <c r="F833">
        <f>IF(B833="","",LEFT(B833,4))</f>
        <v/>
      </c>
      <c r="G833">
        <f>IF(A833="","",INDEX(vehicles!$I$2:$I$5,MATCH(A833,vehicles!$A$2:$A$5,0)))</f>
        <v/>
      </c>
      <c r="H833" t="inlineStr">
        <is>
          <t>finance</t>
        </is>
      </c>
    </row>
    <row r="834">
      <c r="A834" s="11" t="n"/>
      <c r="B834" s="11" t="n"/>
      <c r="C834" t="inlineStr">
        <is>
          <t>other</t>
        </is>
      </c>
      <c r="D834" t="inlineStr">
        <is>
          <t>finance</t>
        </is>
      </c>
      <c r="E834" s="22" t="n"/>
      <c r="F834">
        <f>IF(B834="","",LEFT(B834,4))</f>
        <v/>
      </c>
      <c r="G834">
        <f>IF(A834="","",INDEX(vehicles!$I$2:$I$5,MATCH(A834,vehicles!$A$2:$A$5,0)))</f>
        <v/>
      </c>
      <c r="H834" t="inlineStr">
        <is>
          <t>finance</t>
        </is>
      </c>
    </row>
    <row r="835">
      <c r="A835" s="11" t="n"/>
      <c r="B835" s="11" t="n"/>
      <c r="C835" t="inlineStr">
        <is>
          <t>other</t>
        </is>
      </c>
      <c r="D835" t="inlineStr">
        <is>
          <t>finance</t>
        </is>
      </c>
      <c r="E835" s="22" t="n"/>
      <c r="F835">
        <f>IF(B835="","",LEFT(B835,4))</f>
        <v/>
      </c>
      <c r="G835">
        <f>IF(A835="","",INDEX(vehicles!$I$2:$I$5,MATCH(A835,vehicles!$A$2:$A$5,0)))</f>
        <v/>
      </c>
      <c r="H835" t="inlineStr">
        <is>
          <t>finance</t>
        </is>
      </c>
    </row>
    <row r="836">
      <c r="A836" s="11" t="n"/>
      <c r="B836" s="11" t="n"/>
      <c r="C836" t="inlineStr">
        <is>
          <t>other</t>
        </is>
      </c>
      <c r="D836" t="inlineStr">
        <is>
          <t>finance</t>
        </is>
      </c>
      <c r="E836" s="22" t="n"/>
      <c r="F836">
        <f>IF(B836="","",LEFT(B836,4))</f>
        <v/>
      </c>
      <c r="G836">
        <f>IF(A836="","",INDEX(vehicles!$I$2:$I$5,MATCH(A836,vehicles!$A$2:$A$5,0)))</f>
        <v/>
      </c>
      <c r="H836" t="inlineStr">
        <is>
          <t>finance</t>
        </is>
      </c>
    </row>
    <row r="837">
      <c r="A837" s="11" t="n"/>
      <c r="B837" s="11" t="n"/>
      <c r="C837" t="inlineStr">
        <is>
          <t>other</t>
        </is>
      </c>
      <c r="D837" t="inlineStr">
        <is>
          <t>finance</t>
        </is>
      </c>
      <c r="E837" s="22" t="n"/>
      <c r="F837">
        <f>IF(B837="","",LEFT(B837,4))</f>
        <v/>
      </c>
      <c r="G837">
        <f>IF(A837="","",INDEX(vehicles!$I$2:$I$5,MATCH(A837,vehicles!$A$2:$A$5,0)))</f>
        <v/>
      </c>
      <c r="H837" t="inlineStr">
        <is>
          <t>finance</t>
        </is>
      </c>
    </row>
    <row r="838">
      <c r="A838" s="11" t="n"/>
      <c r="B838" s="11" t="n"/>
      <c r="C838" t="inlineStr">
        <is>
          <t>other</t>
        </is>
      </c>
      <c r="D838" t="inlineStr">
        <is>
          <t>finance</t>
        </is>
      </c>
      <c r="E838" s="22" t="n"/>
      <c r="F838">
        <f>IF(B838="","",LEFT(B838,4))</f>
        <v/>
      </c>
      <c r="G838">
        <f>IF(A838="","",INDEX(vehicles!$I$2:$I$5,MATCH(A838,vehicles!$A$2:$A$5,0)))</f>
        <v/>
      </c>
      <c r="H838" t="inlineStr">
        <is>
          <t>finance</t>
        </is>
      </c>
    </row>
    <row r="839">
      <c r="A839" s="11" t="n"/>
      <c r="B839" s="11" t="n"/>
      <c r="C839" t="inlineStr">
        <is>
          <t>other</t>
        </is>
      </c>
      <c r="D839" t="inlineStr">
        <is>
          <t>finance</t>
        </is>
      </c>
      <c r="E839" s="22" t="n"/>
      <c r="F839">
        <f>IF(B839="","",LEFT(B839,4))</f>
        <v/>
      </c>
      <c r="G839">
        <f>IF(A839="","",INDEX(vehicles!$I$2:$I$5,MATCH(A839,vehicles!$A$2:$A$5,0)))</f>
        <v/>
      </c>
      <c r="H839" t="inlineStr">
        <is>
          <t>finance</t>
        </is>
      </c>
    </row>
    <row r="840">
      <c r="A840" s="11" t="n"/>
      <c r="B840" s="11" t="n"/>
      <c r="C840" t="inlineStr">
        <is>
          <t>other</t>
        </is>
      </c>
      <c r="D840" t="inlineStr">
        <is>
          <t>finance</t>
        </is>
      </c>
      <c r="E840" s="22" t="n"/>
      <c r="F840">
        <f>IF(B840="","",LEFT(B840,4))</f>
        <v/>
      </c>
      <c r="G840">
        <f>IF(A840="","",INDEX(vehicles!$I$2:$I$5,MATCH(A840,vehicles!$A$2:$A$5,0)))</f>
        <v/>
      </c>
      <c r="H840" t="inlineStr">
        <is>
          <t>finance</t>
        </is>
      </c>
    </row>
    <row r="841">
      <c r="A841" s="11" t="n"/>
      <c r="B841" s="11" t="n"/>
      <c r="C841" t="inlineStr">
        <is>
          <t>other</t>
        </is>
      </c>
      <c r="D841" t="inlineStr">
        <is>
          <t>finance</t>
        </is>
      </c>
      <c r="E841" s="22" t="n"/>
      <c r="F841">
        <f>IF(B841="","",LEFT(B841,4))</f>
        <v/>
      </c>
      <c r="G841">
        <f>IF(A841="","",INDEX(vehicles!$I$2:$I$5,MATCH(A841,vehicles!$A$2:$A$5,0)))</f>
        <v/>
      </c>
      <c r="H841" t="inlineStr">
        <is>
          <t>finance</t>
        </is>
      </c>
    </row>
    <row r="842">
      <c r="A842" s="11" t="n"/>
      <c r="B842" s="11" t="n"/>
      <c r="C842" t="inlineStr">
        <is>
          <t>other</t>
        </is>
      </c>
      <c r="D842" t="inlineStr">
        <is>
          <t>finance</t>
        </is>
      </c>
      <c r="E842" s="22" t="n"/>
      <c r="F842">
        <f>IF(B842="","",LEFT(B842,4))</f>
        <v/>
      </c>
      <c r="G842">
        <f>IF(A842="","",INDEX(vehicles!$I$2:$I$5,MATCH(A842,vehicles!$A$2:$A$5,0)))</f>
        <v/>
      </c>
      <c r="H842" t="inlineStr">
        <is>
          <t>finance</t>
        </is>
      </c>
    </row>
    <row r="843">
      <c r="A843" s="11" t="n"/>
      <c r="B843" s="11" t="n"/>
      <c r="C843" t="inlineStr">
        <is>
          <t>other</t>
        </is>
      </c>
      <c r="D843" t="inlineStr">
        <is>
          <t>finance</t>
        </is>
      </c>
      <c r="E843" s="22" t="n"/>
      <c r="F843">
        <f>IF(B843="","",LEFT(B843,4))</f>
        <v/>
      </c>
      <c r="G843">
        <f>IF(A843="","",INDEX(vehicles!$I$2:$I$5,MATCH(A843,vehicles!$A$2:$A$5,0)))</f>
        <v/>
      </c>
      <c r="H843" t="inlineStr">
        <is>
          <t>finance</t>
        </is>
      </c>
    </row>
    <row r="844">
      <c r="A844" s="11" t="n"/>
      <c r="B844" s="11" t="n"/>
      <c r="C844" t="inlineStr">
        <is>
          <t>other</t>
        </is>
      </c>
      <c r="D844" t="inlineStr">
        <is>
          <t>finance</t>
        </is>
      </c>
      <c r="E844" s="22" t="n"/>
      <c r="F844">
        <f>IF(B844="","",LEFT(B844,4))</f>
        <v/>
      </c>
      <c r="G844">
        <f>IF(A844="","",INDEX(vehicles!$I$2:$I$5,MATCH(A844,vehicles!$A$2:$A$5,0)))</f>
        <v/>
      </c>
      <c r="H844" t="inlineStr">
        <is>
          <t>finance</t>
        </is>
      </c>
    </row>
    <row r="845">
      <c r="A845" s="11" t="n"/>
      <c r="B845" s="11" t="n"/>
      <c r="C845" t="inlineStr">
        <is>
          <t>other</t>
        </is>
      </c>
      <c r="D845" t="inlineStr">
        <is>
          <t>finance</t>
        </is>
      </c>
      <c r="E845" s="22" t="n"/>
      <c r="F845">
        <f>IF(B845="","",LEFT(B845,4))</f>
        <v/>
      </c>
      <c r="G845">
        <f>IF(A845="","",INDEX(vehicles!$I$2:$I$5,MATCH(A845,vehicles!$A$2:$A$5,0)))</f>
        <v/>
      </c>
      <c r="H845" t="inlineStr">
        <is>
          <t>finance</t>
        </is>
      </c>
    </row>
    <row r="846">
      <c r="A846" s="11" t="n"/>
      <c r="B846" s="11" t="n"/>
      <c r="C846" t="inlineStr">
        <is>
          <t>other</t>
        </is>
      </c>
      <c r="D846" t="inlineStr">
        <is>
          <t>finance</t>
        </is>
      </c>
      <c r="E846" s="22" t="n"/>
      <c r="F846">
        <f>IF(B846="","",LEFT(B846,4))</f>
        <v/>
      </c>
      <c r="G846">
        <f>IF(A846="","",INDEX(vehicles!$I$2:$I$5,MATCH(A846,vehicles!$A$2:$A$5,0)))</f>
        <v/>
      </c>
      <c r="H846" t="inlineStr">
        <is>
          <t>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9" customWidth="1" min="4" max="4"/>
    <col width="34" customWidth="1" min="5" max="5"/>
    <col width="9" customWidth="1" min="6" max="6"/>
    <col width="12" customWidth="1" min="7" max="7"/>
    <col width="12" customWidth="1" min="8" max="8"/>
    <col width="18" customWidth="1" min="9" max="9"/>
    <col width="30" customWidth="1" min="10" max="10"/>
    <col width="50" customWidth="1" min="11" max="11"/>
  </cols>
  <sheetData>
    <row r="1">
      <c r="A1" s="7" t="inlineStr">
        <is>
          <t>id</t>
        </is>
      </c>
      <c r="B1" s="7" t="inlineStr">
        <is>
          <t>figure</t>
        </is>
      </c>
      <c r="C1" s="7" t="inlineStr">
        <is>
          <t>viewer</t>
        </is>
      </c>
      <c r="D1" s="7" t="inlineStr">
        <is>
          <t>vehicle</t>
        </is>
      </c>
      <c r="E1" s="7" t="inlineStr">
        <is>
          <t>period</t>
        </is>
      </c>
      <c r="F1" s="7" t="inlineStr">
        <is>
          <t>currency</t>
        </is>
      </c>
      <c r="G1" s="7" t="inlineStr">
        <is>
          <t>unit</t>
        </is>
      </c>
      <c r="H1" s="7" t="inlineStr">
        <is>
          <t>expected</t>
        </is>
      </c>
      <c r="I1" s="7" t="inlineStr">
        <is>
          <t>source</t>
        </is>
      </c>
      <c r="J1" s="7" t="inlineStr">
        <is>
          <t>notes</t>
        </is>
      </c>
      <c r="K1" s="3" t="inlineStr">
        <is>
          <t>how</t>
        </is>
      </c>
    </row>
    <row r="2">
      <c r="A2" s="2" t="n">
        <v>1</v>
      </c>
      <c r="B2" s="2" t="inlineStr">
        <is>
          <t>ownership.total</t>
        </is>
      </c>
      <c r="C2" s="2" t="inlineStr">
        <is>
          <t>alex</t>
        </is>
      </c>
      <c r="D2" s="2" t="inlineStr">
        <is>
          <t>golf</t>
        </is>
      </c>
      <c r="E2" s="2" t="inlineStr">
        <is>
          <t>since_bought</t>
        </is>
      </c>
      <c r="F2" s="2" t="inlineStr">
        <is>
          <t>GBP</t>
        </is>
      </c>
      <c r="G2" s="2" t="inlineStr">
        <is>
          <t>money</t>
        </is>
      </c>
      <c r="H2" s="13" t="n"/>
      <c r="I2" s="2" t="inlineStr">
        <is>
          <t>spreadsheet+script</t>
        </is>
      </c>
      <c r="J2" s="2" t="n"/>
      <c r="K2" s="14" t="inlineStr">
        <is>
          <t>yours</t>
        </is>
      </c>
    </row>
    <row r="3">
      <c r="A3" s="2" t="n">
        <v>2</v>
      </c>
      <c r="B3" s="2" t="inlineStr">
        <is>
          <t>ownership.running</t>
        </is>
      </c>
      <c r="C3" s="2" t="inlineStr">
        <is>
          <t>alex</t>
        </is>
      </c>
      <c r="D3" s="2" t="inlineStr">
        <is>
          <t>golf</t>
        </is>
      </c>
      <c r="E3" s="2" t="inlineStr">
        <is>
          <t>since_bought</t>
        </is>
      </c>
      <c r="F3" s="2" t="inlineStr">
        <is>
          <t>GBP</t>
        </is>
      </c>
      <c r="G3" s="2" t="inlineStr">
        <is>
          <t>money</t>
        </is>
      </c>
      <c r="H3" s="13" t="n"/>
      <c r="I3" s="2" t="inlineStr">
        <is>
          <t>spreadsheet</t>
        </is>
      </c>
      <c r="J3" s="2" t="n"/>
      <c r="K3" s="14" t="inlineStr">
        <is>
          <t>yours</t>
        </is>
      </c>
    </row>
    <row r="4">
      <c r="A4" s="2" t="n">
        <v>3</v>
      </c>
      <c r="B4" s="2" t="inlineStr">
        <is>
          <t>ownership.depreciation</t>
        </is>
      </c>
      <c r="C4" s="2" t="inlineStr">
        <is>
          <t>alex</t>
        </is>
      </c>
      <c r="D4" s="2" t="inlineStr">
        <is>
          <t>golf</t>
        </is>
      </c>
      <c r="E4" s="2" t="inlineStr">
        <is>
          <t>since_bought</t>
        </is>
      </c>
      <c r="F4" s="2" t="inlineStr">
        <is>
          <t>GBP</t>
        </is>
      </c>
      <c r="G4" s="2" t="inlineStr">
        <is>
          <t>money</t>
        </is>
      </c>
      <c r="H4" s="13" t="n"/>
      <c r="I4" s="2" t="inlineStr">
        <is>
          <t>spreadsheet+script</t>
        </is>
      </c>
      <c r="J4" s="2" t="n"/>
      <c r="K4" s="14" t="inlineStr">
        <is>
          <t>yours</t>
        </is>
      </c>
    </row>
    <row r="5">
      <c r="A5" s="2" t="n">
        <v>4</v>
      </c>
      <c r="B5" s="2" t="inlineStr">
        <is>
          <t>ownership.per_distance</t>
        </is>
      </c>
      <c r="C5" s="2" t="inlineStr">
        <is>
          <t>alex</t>
        </is>
      </c>
      <c r="D5" s="2" t="inlineStr">
        <is>
          <t>golf</t>
        </is>
      </c>
      <c r="E5" s="2" t="inlineStr">
        <is>
          <t>since_bought</t>
        </is>
      </c>
      <c r="F5" s="2" t="inlineStr">
        <is>
          <t>GBP</t>
        </is>
      </c>
      <c r="G5" s="2" t="inlineStr">
        <is>
          <t>money/mi</t>
        </is>
      </c>
      <c r="H5" s="23" t="n"/>
      <c r="I5" s="2" t="inlineStr">
        <is>
          <t>spreadsheet+script</t>
        </is>
      </c>
      <c r="J5" s="2" t="n"/>
      <c r="K5" s="14" t="inlineStr">
        <is>
          <t>yours</t>
        </is>
      </c>
    </row>
    <row r="6">
      <c r="A6" s="2" t="n">
        <v>5</v>
      </c>
      <c r="B6" s="2" t="inlineStr">
        <is>
          <t>ownership.per_month</t>
        </is>
      </c>
      <c r="C6" s="2" t="inlineStr">
        <is>
          <t>alex</t>
        </is>
      </c>
      <c r="D6" s="2" t="inlineStr">
        <is>
          <t>golf</t>
        </is>
      </c>
      <c r="E6" s="2" t="inlineStr">
        <is>
          <t>since_bought</t>
        </is>
      </c>
      <c r="F6" s="2" t="inlineStr">
        <is>
          <t>GBP</t>
        </is>
      </c>
      <c r="G6" s="2" t="inlineStr">
        <is>
          <t>money/month</t>
        </is>
      </c>
      <c r="H6" s="13" t="n"/>
      <c r="I6" s="2" t="inlineStr">
        <is>
          <t>spreadsheet+script</t>
        </is>
      </c>
      <c r="J6" s="2" t="n"/>
      <c r="K6" s="14" t="inlineStr">
        <is>
          <t>yours</t>
        </is>
      </c>
    </row>
    <row r="7">
      <c r="A7" s="2" t="n">
        <v>6</v>
      </c>
      <c r="B7" s="2" t="inlineStr">
        <is>
          <t>ownership.total</t>
        </is>
      </c>
      <c r="C7" s="2" t="inlineStr">
        <is>
          <t>alex</t>
        </is>
      </c>
      <c r="D7" s="2" t="inlineStr">
        <is>
          <t>ev</t>
        </is>
      </c>
      <c r="E7" s="2" t="inlineStr">
        <is>
          <t>since_bought</t>
        </is>
      </c>
      <c r="F7" s="2" t="inlineStr">
        <is>
          <t>GBP</t>
        </is>
      </c>
      <c r="G7" s="2" t="inlineStr">
        <is>
          <t>money</t>
        </is>
      </c>
      <c r="H7" s="13" t="n"/>
      <c r="I7" s="2" t="inlineStr">
        <is>
          <t>spreadsheet+script</t>
        </is>
      </c>
      <c r="J7" s="2" t="n"/>
      <c r="K7" s="14" t="inlineStr">
        <is>
          <t>yours</t>
        </is>
      </c>
    </row>
    <row r="8">
      <c r="A8" s="2" t="n">
        <v>7</v>
      </c>
      <c r="B8" s="2" t="inlineStr">
        <is>
          <t>ownership.running</t>
        </is>
      </c>
      <c r="C8" s="2" t="inlineStr">
        <is>
          <t>alex</t>
        </is>
      </c>
      <c r="D8" s="2" t="inlineStr">
        <is>
          <t>ev</t>
        </is>
      </c>
      <c r="E8" s="2" t="inlineStr">
        <is>
          <t>since_bought</t>
        </is>
      </c>
      <c r="F8" s="2" t="inlineStr">
        <is>
          <t>GBP</t>
        </is>
      </c>
      <c r="G8" s="2" t="inlineStr">
        <is>
          <t>money</t>
        </is>
      </c>
      <c r="H8" s="13" t="n"/>
      <c r="I8" s="2" t="inlineStr">
        <is>
          <t>spreadsheet</t>
        </is>
      </c>
      <c r="J8" s="2" t="n"/>
      <c r="K8" s="14" t="inlineStr">
        <is>
          <t>yours</t>
        </is>
      </c>
    </row>
    <row r="9">
      <c r="A9" s="2" t="n">
        <v>8</v>
      </c>
      <c r="B9" s="2" t="inlineStr">
        <is>
          <t>ownership.depreciation</t>
        </is>
      </c>
      <c r="C9" s="2" t="inlineStr">
        <is>
          <t>alex</t>
        </is>
      </c>
      <c r="D9" s="2" t="inlineStr">
        <is>
          <t>ev</t>
        </is>
      </c>
      <c r="E9" s="2" t="inlineStr">
        <is>
          <t>since_bought</t>
        </is>
      </c>
      <c r="F9" s="2" t="inlineStr">
        <is>
          <t>GBP</t>
        </is>
      </c>
      <c r="G9" s="2" t="inlineStr">
        <is>
          <t>money</t>
        </is>
      </c>
      <c r="H9" s="13" t="n"/>
      <c r="I9" s="2" t="inlineStr">
        <is>
          <t>spreadsheet+script</t>
        </is>
      </c>
      <c r="J9" s="2" t="n"/>
      <c r="K9" s="14" t="inlineStr">
        <is>
          <t>yours</t>
        </is>
      </c>
    </row>
    <row r="10">
      <c r="A10" s="2" t="n">
        <v>9</v>
      </c>
      <c r="B10" s="2" t="inlineStr">
        <is>
          <t>ownership.per_distance</t>
        </is>
      </c>
      <c r="C10" s="2" t="inlineStr">
        <is>
          <t>alex</t>
        </is>
      </c>
      <c r="D10" s="2" t="inlineStr">
        <is>
          <t>ev</t>
        </is>
      </c>
      <c r="E10" s="2" t="inlineStr">
        <is>
          <t>since_bought</t>
        </is>
      </c>
      <c r="F10" s="2" t="inlineStr">
        <is>
          <t>GBP</t>
        </is>
      </c>
      <c r="G10" s="2" t="inlineStr">
        <is>
          <t>money/mi</t>
        </is>
      </c>
      <c r="H10" s="23" t="n"/>
      <c r="I10" s="2" t="inlineStr">
        <is>
          <t>spreadsheet+script</t>
        </is>
      </c>
      <c r="J10" s="2" t="n"/>
      <c r="K10" s="14" t="inlineStr">
        <is>
          <t>yours</t>
        </is>
      </c>
    </row>
    <row r="11">
      <c r="A11" s="2" t="n">
        <v>10</v>
      </c>
      <c r="B11" s="2" t="inlineStr">
        <is>
          <t>ownership.per_month</t>
        </is>
      </c>
      <c r="C11" s="2" t="inlineStr">
        <is>
          <t>alex</t>
        </is>
      </c>
      <c r="D11" s="2" t="inlineStr">
        <is>
          <t>ev</t>
        </is>
      </c>
      <c r="E11" s="2" t="inlineStr">
        <is>
          <t>since_bought</t>
        </is>
      </c>
      <c r="F11" s="2" t="inlineStr">
        <is>
          <t>GBP</t>
        </is>
      </c>
      <c r="G11" s="2" t="inlineStr">
        <is>
          <t>money/month</t>
        </is>
      </c>
      <c r="H11" s="13" t="n"/>
      <c r="I11" s="2" t="inlineStr">
        <is>
          <t>spreadsheet+script</t>
        </is>
      </c>
      <c r="J11" s="2" t="n"/>
      <c r="K11" s="14" t="inlineStr">
        <is>
          <t>yours</t>
        </is>
      </c>
    </row>
    <row r="12">
      <c r="A12" s="2" t="n">
        <v>11</v>
      </c>
      <c r="B12" s="2" t="inlineStr">
        <is>
          <t>ownership.total</t>
        </is>
      </c>
      <c r="C12" s="2" t="inlineStr">
        <is>
          <t>alex</t>
        </is>
      </c>
      <c r="D12" s="2" t="inlineStr">
        <is>
          <t>focus</t>
        </is>
      </c>
      <c r="E12" s="2" t="inlineStr">
        <is>
          <t>since_bought</t>
        </is>
      </c>
      <c r="F12" s="2" t="inlineStr">
        <is>
          <t>GBP</t>
        </is>
      </c>
      <c r="G12" s="2" t="inlineStr">
        <is>
          <t>money</t>
        </is>
      </c>
      <c r="H12" s="13" t="n"/>
      <c r="I12" s="2" t="inlineStr">
        <is>
          <t>spreadsheet+script</t>
        </is>
      </c>
      <c r="J12" s="2" t="n"/>
      <c r="K12" s="14" t="inlineStr">
        <is>
          <t>yours</t>
        </is>
      </c>
    </row>
    <row r="13">
      <c r="A13" s="2" t="n">
        <v>12</v>
      </c>
      <c r="B13" s="2" t="inlineStr">
        <is>
          <t>ownership.running</t>
        </is>
      </c>
      <c r="C13" s="2" t="inlineStr">
        <is>
          <t>alex</t>
        </is>
      </c>
      <c r="D13" s="2" t="inlineStr">
        <is>
          <t>focus</t>
        </is>
      </c>
      <c r="E13" s="2" t="inlineStr">
        <is>
          <t>since_bought</t>
        </is>
      </c>
      <c r="F13" s="2" t="inlineStr">
        <is>
          <t>GBP</t>
        </is>
      </c>
      <c r="G13" s="2" t="inlineStr">
        <is>
          <t>money</t>
        </is>
      </c>
      <c r="H13" s="13" t="n"/>
      <c r="I13" s="2" t="inlineStr">
        <is>
          <t>spreadsheet</t>
        </is>
      </c>
      <c r="J13" s="2" t="n"/>
      <c r="K13" s="14" t="inlineStr">
        <is>
          <t>yours</t>
        </is>
      </c>
    </row>
    <row r="14">
      <c r="A14" s="2" t="n">
        <v>13</v>
      </c>
      <c r="B14" s="2" t="inlineStr">
        <is>
          <t>ownership.depreciation</t>
        </is>
      </c>
      <c r="C14" s="2" t="inlineStr">
        <is>
          <t>alex</t>
        </is>
      </c>
      <c r="D14" s="2" t="inlineStr">
        <is>
          <t>focus</t>
        </is>
      </c>
      <c r="E14" s="2" t="inlineStr">
        <is>
          <t>since_bought</t>
        </is>
      </c>
      <c r="F14" s="2" t="inlineStr">
        <is>
          <t>GBP</t>
        </is>
      </c>
      <c r="G14" s="2" t="inlineStr">
        <is>
          <t>money</t>
        </is>
      </c>
      <c r="H14" s="13" t="n"/>
      <c r="I14" s="2" t="inlineStr">
        <is>
          <t>spreadsheet+script</t>
        </is>
      </c>
      <c r="J14" s="2" t="n"/>
      <c r="K14" s="14" t="inlineStr">
        <is>
          <t>yours</t>
        </is>
      </c>
    </row>
    <row r="15">
      <c r="A15" s="2" t="n">
        <v>14</v>
      </c>
      <c r="B15" s="2" t="inlineStr">
        <is>
          <t>ownership.per_distance</t>
        </is>
      </c>
      <c r="C15" s="2" t="inlineStr">
        <is>
          <t>alex</t>
        </is>
      </c>
      <c r="D15" s="2" t="inlineStr">
        <is>
          <t>focus</t>
        </is>
      </c>
      <c r="E15" s="2" t="inlineStr">
        <is>
          <t>since_bought</t>
        </is>
      </c>
      <c r="F15" s="2" t="inlineStr">
        <is>
          <t>GBP</t>
        </is>
      </c>
      <c r="G15" s="2" t="inlineStr">
        <is>
          <t>money/mi</t>
        </is>
      </c>
      <c r="H15" s="23" t="n"/>
      <c r="I15" s="2" t="inlineStr">
        <is>
          <t>spreadsheet+script</t>
        </is>
      </c>
      <c r="J15" s="2" t="n"/>
      <c r="K15" s="14" t="inlineStr">
        <is>
          <t>yours</t>
        </is>
      </c>
    </row>
    <row r="16">
      <c r="A16" s="2" t="n">
        <v>15</v>
      </c>
      <c r="B16" s="2" t="inlineStr">
        <is>
          <t>ownership.per_month</t>
        </is>
      </c>
      <c r="C16" s="2" t="inlineStr">
        <is>
          <t>alex</t>
        </is>
      </c>
      <c r="D16" s="2" t="inlineStr">
        <is>
          <t>focus</t>
        </is>
      </c>
      <c r="E16" s="2" t="inlineStr">
        <is>
          <t>since_bought</t>
        </is>
      </c>
      <c r="F16" s="2" t="inlineStr">
        <is>
          <t>GBP</t>
        </is>
      </c>
      <c r="G16" s="2" t="inlineStr">
        <is>
          <t>money/month</t>
        </is>
      </c>
      <c r="H16" s="13" t="n"/>
      <c r="I16" s="2" t="inlineStr">
        <is>
          <t>spreadsheet+script</t>
        </is>
      </c>
      <c r="J16" s="2" t="n"/>
      <c r="K16" s="14" t="inlineStr">
        <is>
          <t>yours</t>
        </is>
      </c>
    </row>
    <row r="17">
      <c r="A17" s="2" t="n">
        <v>16</v>
      </c>
      <c r="B17" s="2" t="inlineStr">
        <is>
          <t>ownership.total</t>
        </is>
      </c>
      <c r="C17" s="2" t="inlineStr">
        <is>
          <t>alex</t>
        </is>
      </c>
      <c r="D17" s="2" t="inlineStr">
        <is>
          <t>corolla</t>
        </is>
      </c>
      <c r="E17" s="2" t="inlineStr">
        <is>
          <t>since_bought</t>
        </is>
      </c>
      <c r="F17" s="2" t="inlineStr">
        <is>
          <t>EUR</t>
        </is>
      </c>
      <c r="G17" s="2" t="inlineStr">
        <is>
          <t>money</t>
        </is>
      </c>
      <c r="H17" s="13" t="n"/>
      <c r="I17" s="2" t="inlineStr">
        <is>
          <t>spreadsheet+script</t>
        </is>
      </c>
      <c r="J17" s="2" t="n"/>
      <c r="K17" s="14" t="inlineStr">
        <is>
          <t>yours</t>
        </is>
      </c>
    </row>
    <row r="18">
      <c r="A18" s="2" t="n">
        <v>17</v>
      </c>
      <c r="B18" s="2" t="inlineStr">
        <is>
          <t>ownership.running</t>
        </is>
      </c>
      <c r="C18" s="2" t="inlineStr">
        <is>
          <t>alex</t>
        </is>
      </c>
      <c r="D18" s="2" t="inlineStr">
        <is>
          <t>corolla</t>
        </is>
      </c>
      <c r="E18" s="2" t="inlineStr">
        <is>
          <t>since_bought</t>
        </is>
      </c>
      <c r="F18" s="2" t="inlineStr">
        <is>
          <t>EUR</t>
        </is>
      </c>
      <c r="G18" s="2" t="inlineStr">
        <is>
          <t>money</t>
        </is>
      </c>
      <c r="H18" s="13" t="n"/>
      <c r="I18" s="2" t="inlineStr">
        <is>
          <t>spreadsheet</t>
        </is>
      </c>
      <c r="J18" s="2" t="n"/>
      <c r="K18" s="14" t="inlineStr">
        <is>
          <t>yours</t>
        </is>
      </c>
    </row>
    <row r="19">
      <c r="A19" s="2" t="n">
        <v>18</v>
      </c>
      <c r="B19" s="2" t="inlineStr">
        <is>
          <t>ownership.depreciation</t>
        </is>
      </c>
      <c r="C19" s="2" t="inlineStr">
        <is>
          <t>alex</t>
        </is>
      </c>
      <c r="D19" s="2" t="inlineStr">
        <is>
          <t>corolla</t>
        </is>
      </c>
      <c r="E19" s="2" t="inlineStr">
        <is>
          <t>since_bought</t>
        </is>
      </c>
      <c r="F19" s="2" t="inlineStr">
        <is>
          <t>EUR</t>
        </is>
      </c>
      <c r="G19" s="2" t="inlineStr">
        <is>
          <t>money</t>
        </is>
      </c>
      <c r="H19" s="13" t="n"/>
      <c r="I19" s="2" t="inlineStr">
        <is>
          <t>spreadsheet+script</t>
        </is>
      </c>
      <c r="J19" s="2" t="n"/>
      <c r="K19" s="14" t="inlineStr">
        <is>
          <t>yours</t>
        </is>
      </c>
    </row>
    <row r="20">
      <c r="A20" s="2" t="n">
        <v>19</v>
      </c>
      <c r="B20" s="2" t="inlineStr">
        <is>
          <t>ownership.per_distance</t>
        </is>
      </c>
      <c r="C20" s="2" t="inlineStr">
        <is>
          <t>alex</t>
        </is>
      </c>
      <c r="D20" s="2" t="inlineStr">
        <is>
          <t>corolla</t>
        </is>
      </c>
      <c r="E20" s="2" t="inlineStr">
        <is>
          <t>since_bought</t>
        </is>
      </c>
      <c r="F20" s="2" t="inlineStr">
        <is>
          <t>EUR</t>
        </is>
      </c>
      <c r="G20" s="2" t="inlineStr">
        <is>
          <t>money/mi</t>
        </is>
      </c>
      <c r="H20" s="23" t="n"/>
      <c r="I20" s="2" t="inlineStr">
        <is>
          <t>spreadsheet+script</t>
        </is>
      </c>
      <c r="J20" s="2" t="n"/>
      <c r="K20" s="14" t="inlineStr">
        <is>
          <t>yours</t>
        </is>
      </c>
    </row>
    <row r="21">
      <c r="A21" s="2" t="n">
        <v>20</v>
      </c>
      <c r="B21" s="2" t="inlineStr">
        <is>
          <t>ownership.per_month</t>
        </is>
      </c>
      <c r="C21" s="2" t="inlineStr">
        <is>
          <t>alex</t>
        </is>
      </c>
      <c r="D21" s="2" t="inlineStr">
        <is>
          <t>corolla</t>
        </is>
      </c>
      <c r="E21" s="2" t="inlineStr">
        <is>
          <t>since_bought</t>
        </is>
      </c>
      <c r="F21" s="2" t="inlineStr">
        <is>
          <t>EUR</t>
        </is>
      </c>
      <c r="G21" s="2" t="inlineStr">
        <is>
          <t>money/month</t>
        </is>
      </c>
      <c r="H21" s="13" t="n"/>
      <c r="I21" s="2" t="inlineStr">
        <is>
          <t>spreadsheet+script</t>
        </is>
      </c>
      <c r="J21" s="2" t="n"/>
      <c r="K21" s="14" t="inlineStr">
        <is>
          <t>yours</t>
        </is>
      </c>
    </row>
    <row r="22">
      <c r="A22" s="2" t="n">
        <v>21</v>
      </c>
      <c r="B22" s="2" t="inlineStr">
        <is>
          <t>ownership.payouts</t>
        </is>
      </c>
      <c r="C22" s="2" t="inlineStr">
        <is>
          <t>alex</t>
        </is>
      </c>
      <c r="D22" s="2" t="inlineStr">
        <is>
          <t>focus</t>
        </is>
      </c>
      <c r="E22" s="2" t="inlineStr">
        <is>
          <t>since_bought</t>
        </is>
      </c>
      <c r="F22" s="2" t="inlineStr">
        <is>
          <t>GBP</t>
        </is>
      </c>
      <c r="G22" s="2" t="inlineStr">
        <is>
          <t>money</t>
        </is>
      </c>
      <c r="H22" s="13" t="n"/>
      <c r="I22" s="2" t="inlineStr">
        <is>
          <t>spreadsheet</t>
        </is>
      </c>
      <c r="J22" s="2" t="n"/>
      <c r="K22" s="14" t="inlineStr">
        <is>
          <t>yours</t>
        </is>
      </c>
    </row>
    <row r="23">
      <c r="A23" s="2" t="n">
        <v>22</v>
      </c>
      <c r="B23" s="2" t="inlineStr">
        <is>
          <t>ownership.total</t>
        </is>
      </c>
      <c r="C23" s="2" t="inlineStr">
        <is>
          <t>sam</t>
        </is>
      </c>
      <c r="D23" s="2" t="inlineStr">
        <is>
          <t>corolla</t>
        </is>
      </c>
      <c r="E23" s="2" t="inlineStr">
        <is>
          <t>since_bought</t>
        </is>
      </c>
      <c r="F23" s="2" t="inlineStr">
        <is>
          <t>EUR</t>
        </is>
      </c>
      <c r="G23" s="2" t="inlineStr">
        <is>
          <t>money</t>
        </is>
      </c>
      <c r="H23" s="13" t="n"/>
      <c r="I23" s="2" t="inlineStr">
        <is>
          <t>spreadsheet+script</t>
        </is>
      </c>
      <c r="J23" s="2" t="n"/>
      <c r="K23" s="14" t="inlineStr">
        <is>
          <t>yours</t>
        </is>
      </c>
    </row>
    <row r="24">
      <c r="A24" s="2" t="n">
        <v>23</v>
      </c>
      <c r="B24" s="2" t="inlineStr">
        <is>
          <t>ownership.per_distance</t>
        </is>
      </c>
      <c r="C24" s="2" t="inlineStr">
        <is>
          <t>sam</t>
        </is>
      </c>
      <c r="D24" s="2" t="inlineStr">
        <is>
          <t>corolla</t>
        </is>
      </c>
      <c r="E24" s="2" t="inlineStr">
        <is>
          <t>since_bought</t>
        </is>
      </c>
      <c r="F24" s="2" t="inlineStr">
        <is>
          <t>EUR</t>
        </is>
      </c>
      <c r="G24" s="2" t="inlineStr">
        <is>
          <t>money/km</t>
        </is>
      </c>
      <c r="H24" s="23" t="n"/>
      <c r="I24" s="2" t="inlineStr">
        <is>
          <t>spreadsheet+script</t>
        </is>
      </c>
      <c r="J24" s="2" t="n"/>
      <c r="K24" s="14" t="inlineStr">
        <is>
          <t>yours</t>
        </is>
      </c>
    </row>
    <row r="25">
      <c r="A25" s="2" t="n">
        <v>24</v>
      </c>
      <c r="B25" s="2" t="inlineStr">
        <is>
          <t>ownership.per_month</t>
        </is>
      </c>
      <c r="C25" s="2" t="inlineStr">
        <is>
          <t>sam</t>
        </is>
      </c>
      <c r="D25" s="2" t="inlineStr">
        <is>
          <t>corolla</t>
        </is>
      </c>
      <c r="E25" s="2" t="inlineStr">
        <is>
          <t>since_bought</t>
        </is>
      </c>
      <c r="F25" s="2" t="inlineStr">
        <is>
          <t>EUR</t>
        </is>
      </c>
      <c r="G25" s="2" t="inlineStr">
        <is>
          <t>money/month</t>
        </is>
      </c>
      <c r="H25" s="13" t="n"/>
      <c r="I25" s="2" t="inlineStr">
        <is>
          <t>spreadsheet+script</t>
        </is>
      </c>
      <c r="J25" s="2" t="n"/>
      <c r="K25" s="14" t="inlineStr">
        <is>
          <t>yours</t>
        </is>
      </c>
    </row>
    <row r="26">
      <c r="A26" s="2" t="n">
        <v>25</v>
      </c>
      <c r="B26" s="2" t="inlineStr">
        <is>
          <t>true_cost.fuel</t>
        </is>
      </c>
      <c r="C26" s="2" t="inlineStr">
        <is>
          <t>alex</t>
        </is>
      </c>
      <c r="D26" s="2" t="inlineStr">
        <is>
          <t>golf</t>
        </is>
      </c>
      <c r="E26" s="2" t="inlineStr">
        <is>
          <t>last_12_months</t>
        </is>
      </c>
      <c r="F26" s="2" t="inlineStr">
        <is>
          <t>GBP</t>
        </is>
      </c>
      <c r="G26" s="2" t="inlineStr">
        <is>
          <t>money</t>
        </is>
      </c>
      <c r="H26" s="13" t="n"/>
      <c r="I26" s="2" t="inlineStr">
        <is>
          <t>spreadsheet</t>
        </is>
      </c>
      <c r="J26" s="2" t="n"/>
      <c r="K26" s="14" t="inlineStr">
        <is>
          <t>yours</t>
        </is>
      </c>
    </row>
    <row r="27">
      <c r="A27" s="2" t="n">
        <v>26</v>
      </c>
      <c r="B27" s="2" t="inlineStr">
        <is>
          <t>true_cost.maintenance</t>
        </is>
      </c>
      <c r="C27" s="2" t="inlineStr">
        <is>
          <t>alex</t>
        </is>
      </c>
      <c r="D27" s="2" t="inlineStr">
        <is>
          <t>golf</t>
        </is>
      </c>
      <c r="E27" s="2" t="inlineStr">
        <is>
          <t>last_12_months</t>
        </is>
      </c>
      <c r="F27" s="2" t="inlineStr">
        <is>
          <t>GBP</t>
        </is>
      </c>
      <c r="G27" s="2" t="inlineStr">
        <is>
          <t>money</t>
        </is>
      </c>
      <c r="H27" s="13" t="n"/>
      <c r="I27" s="2" t="inlineStr">
        <is>
          <t>spreadsheet</t>
        </is>
      </c>
      <c r="J27" s="2" t="n"/>
      <c r="K27" s="14" t="inlineStr">
        <is>
          <t>yours</t>
        </is>
      </c>
    </row>
    <row r="28">
      <c r="A28" s="2" t="n">
        <v>27</v>
      </c>
      <c r="B28" s="2" t="inlineStr">
        <is>
          <t>true_cost.compliance</t>
        </is>
      </c>
      <c r="C28" s="2" t="inlineStr">
        <is>
          <t>alex</t>
        </is>
      </c>
      <c r="D28" s="2" t="inlineStr">
        <is>
          <t>golf</t>
        </is>
      </c>
      <c r="E28" s="2" t="inlineStr">
        <is>
          <t>last_12_months</t>
        </is>
      </c>
      <c r="F28" s="2" t="inlineStr">
        <is>
          <t>GBP</t>
        </is>
      </c>
      <c r="G28" s="2" t="inlineStr">
        <is>
          <t>money</t>
        </is>
      </c>
      <c r="H28" s="13" t="n"/>
      <c r="I28" s="2" t="inlineStr">
        <is>
          <t>spreadsheet</t>
        </is>
      </c>
      <c r="J28" s="2" t="n"/>
      <c r="K28" s="14" t="inlineStr">
        <is>
          <t>yours</t>
        </is>
      </c>
    </row>
    <row r="29">
      <c r="A29" s="2" t="n">
        <v>28</v>
      </c>
      <c r="B29" s="2" t="inlineStr">
        <is>
          <t>true_cost.other</t>
        </is>
      </c>
      <c r="C29" s="2" t="inlineStr">
        <is>
          <t>alex</t>
        </is>
      </c>
      <c r="D29" s="2" t="inlineStr">
        <is>
          <t>golf</t>
        </is>
      </c>
      <c r="E29" s="2" t="inlineStr">
        <is>
          <t>last_12_months</t>
        </is>
      </c>
      <c r="F29" s="2" t="inlineStr">
        <is>
          <t>GBP</t>
        </is>
      </c>
      <c r="G29" s="2" t="inlineStr">
        <is>
          <t>money</t>
        </is>
      </c>
      <c r="H29" s="13" t="n"/>
      <c r="I29" s="2" t="inlineStr">
        <is>
          <t>spreadsheet</t>
        </is>
      </c>
      <c r="J29" s="2" t="n"/>
      <c r="K29" s="14" t="inlineStr">
        <is>
          <t>yours</t>
        </is>
      </c>
    </row>
    <row r="30">
      <c r="A30" s="2" t="n">
        <v>29</v>
      </c>
      <c r="B30" s="2" t="inlineStr">
        <is>
          <t>true_cost.depreciation</t>
        </is>
      </c>
      <c r="C30" s="2" t="inlineStr">
        <is>
          <t>alex</t>
        </is>
      </c>
      <c r="D30" s="2" t="inlineStr">
        <is>
          <t>golf</t>
        </is>
      </c>
      <c r="E30" s="2" t="inlineStr">
        <is>
          <t>last_12_months</t>
        </is>
      </c>
      <c r="F30" s="2" t="inlineStr">
        <is>
          <t>GBP</t>
        </is>
      </c>
      <c r="G30" s="2" t="inlineStr">
        <is>
          <t>money</t>
        </is>
      </c>
      <c r="H30" s="13" t="n"/>
      <c r="I30" s="2" t="inlineStr">
        <is>
          <t>spreadsheet+script</t>
        </is>
      </c>
      <c r="J30" s="2" t="n"/>
      <c r="K30" s="14" t="inlineStr">
        <is>
          <t>yours</t>
        </is>
      </c>
    </row>
    <row r="31">
      <c r="A31" s="2" t="n">
        <v>30</v>
      </c>
      <c r="B31" s="2" t="inlineStr">
        <is>
          <t>true_cost.total</t>
        </is>
      </c>
      <c r="C31" s="2" t="inlineStr">
        <is>
          <t>alex</t>
        </is>
      </c>
      <c r="D31" s="2" t="inlineStr">
        <is>
          <t>golf</t>
        </is>
      </c>
      <c r="E31" s="2" t="inlineStr">
        <is>
          <t>last_12_months</t>
        </is>
      </c>
      <c r="F31" s="2" t="inlineStr">
        <is>
          <t>GBP</t>
        </is>
      </c>
      <c r="G31" s="2" t="inlineStr">
        <is>
          <t>money</t>
        </is>
      </c>
      <c r="H31" s="13" t="n"/>
      <c r="I31" s="2" t="inlineStr">
        <is>
          <t>spreadsheet+script</t>
        </is>
      </c>
      <c r="J31" s="2" t="n"/>
      <c r="K31" s="14" t="inlineStr">
        <is>
          <t>yours</t>
        </is>
      </c>
    </row>
    <row r="32">
      <c r="A32" s="2" t="n">
        <v>31</v>
      </c>
      <c r="B32" s="2" t="inlineStr">
        <is>
          <t>true_cost.per_distance</t>
        </is>
      </c>
      <c r="C32" s="2" t="inlineStr">
        <is>
          <t>alex</t>
        </is>
      </c>
      <c r="D32" s="2" t="inlineStr">
        <is>
          <t>golf</t>
        </is>
      </c>
      <c r="E32" s="2" t="inlineStr">
        <is>
          <t>last_12_months</t>
        </is>
      </c>
      <c r="F32" s="2" t="inlineStr">
        <is>
          <t>GBP</t>
        </is>
      </c>
      <c r="G32" s="2" t="inlineStr">
        <is>
          <t>money/mi</t>
        </is>
      </c>
      <c r="H32" s="23" t="n"/>
      <c r="I32" s="2" t="inlineStr">
        <is>
          <t>spreadsheet+script</t>
        </is>
      </c>
      <c r="J32" s="2" t="n"/>
      <c r="K32" s="14" t="inlineStr">
        <is>
          <t>yours</t>
        </is>
      </c>
    </row>
    <row r="33">
      <c r="A33" s="2" t="n">
        <v>32</v>
      </c>
      <c r="B33" s="2" t="inlineStr">
        <is>
          <t>true_cost.fuel</t>
        </is>
      </c>
      <c r="C33" s="2" t="inlineStr">
        <is>
          <t>alex</t>
        </is>
      </c>
      <c r="D33" s="2" t="inlineStr">
        <is>
          <t>golf</t>
        </is>
      </c>
      <c r="E33" s="2" t="inlineStr">
        <is>
          <t>2023</t>
        </is>
      </c>
      <c r="F33" s="2" t="inlineStr">
        <is>
          <t>GBP</t>
        </is>
      </c>
      <c r="G33" s="2" t="inlineStr">
        <is>
          <t>money</t>
        </is>
      </c>
      <c r="H33" s="13" t="n"/>
      <c r="I33" s="2" t="inlineStr">
        <is>
          <t>spreadsheet</t>
        </is>
      </c>
      <c r="J33" s="2" t="n"/>
      <c r="K33" s="14" t="inlineStr">
        <is>
          <t>yours</t>
        </is>
      </c>
    </row>
    <row r="34">
      <c r="A34" s="2" t="n">
        <v>33</v>
      </c>
      <c r="B34" s="2" t="inlineStr">
        <is>
          <t>true_cost.maintenance</t>
        </is>
      </c>
      <c r="C34" s="2" t="inlineStr">
        <is>
          <t>alex</t>
        </is>
      </c>
      <c r="D34" s="2" t="inlineStr">
        <is>
          <t>golf</t>
        </is>
      </c>
      <c r="E34" s="2" t="inlineStr">
        <is>
          <t>2023</t>
        </is>
      </c>
      <c r="F34" s="2" t="inlineStr">
        <is>
          <t>GBP</t>
        </is>
      </c>
      <c r="G34" s="2" t="inlineStr">
        <is>
          <t>money</t>
        </is>
      </c>
      <c r="H34" s="13" t="n"/>
      <c r="I34" s="2" t="inlineStr">
        <is>
          <t>spreadsheet</t>
        </is>
      </c>
      <c r="J34" s="2" t="n"/>
      <c r="K34" s="14" t="inlineStr">
        <is>
          <t>yours</t>
        </is>
      </c>
    </row>
    <row r="35">
      <c r="A35" s="2" t="n">
        <v>34</v>
      </c>
      <c r="B35" s="2" t="inlineStr">
        <is>
          <t>true_cost.compliance</t>
        </is>
      </c>
      <c r="C35" s="2" t="inlineStr">
        <is>
          <t>alex</t>
        </is>
      </c>
      <c r="D35" s="2" t="inlineStr">
        <is>
          <t>golf</t>
        </is>
      </c>
      <c r="E35" s="2" t="inlineStr">
        <is>
          <t>2023</t>
        </is>
      </c>
      <c r="F35" s="2" t="inlineStr">
        <is>
          <t>GBP</t>
        </is>
      </c>
      <c r="G35" s="2" t="inlineStr">
        <is>
          <t>money</t>
        </is>
      </c>
      <c r="H35" s="13" t="n"/>
      <c r="I35" s="2" t="inlineStr">
        <is>
          <t>spreadsheet</t>
        </is>
      </c>
      <c r="J35" s="2" t="n"/>
      <c r="K35" s="14" t="inlineStr">
        <is>
          <t>yours</t>
        </is>
      </c>
    </row>
    <row r="36">
      <c r="A36" s="2" t="n">
        <v>35</v>
      </c>
      <c r="B36" s="2" t="inlineStr">
        <is>
          <t>true_cost.other</t>
        </is>
      </c>
      <c r="C36" s="2" t="inlineStr">
        <is>
          <t>alex</t>
        </is>
      </c>
      <c r="D36" s="2" t="inlineStr">
        <is>
          <t>golf</t>
        </is>
      </c>
      <c r="E36" s="2" t="inlineStr">
        <is>
          <t>2023</t>
        </is>
      </c>
      <c r="F36" s="2" t="inlineStr">
        <is>
          <t>GBP</t>
        </is>
      </c>
      <c r="G36" s="2" t="inlineStr">
        <is>
          <t>money</t>
        </is>
      </c>
      <c r="H36" s="13" t="n"/>
      <c r="I36" s="2" t="inlineStr">
        <is>
          <t>spreadsheet</t>
        </is>
      </c>
      <c r="J36" s="2" t="n"/>
      <c r="K36" s="14" t="inlineStr">
        <is>
          <t>yours</t>
        </is>
      </c>
    </row>
    <row r="37">
      <c r="A37" s="2" t="n">
        <v>36</v>
      </c>
      <c r="B37" s="2" t="inlineStr">
        <is>
          <t>true_cost.depreciation</t>
        </is>
      </c>
      <c r="C37" s="2" t="inlineStr">
        <is>
          <t>alex</t>
        </is>
      </c>
      <c r="D37" s="2" t="inlineStr">
        <is>
          <t>golf</t>
        </is>
      </c>
      <c r="E37" s="2" t="inlineStr">
        <is>
          <t>2023</t>
        </is>
      </c>
      <c r="F37" s="2" t="inlineStr">
        <is>
          <t>GBP</t>
        </is>
      </c>
      <c r="G37" s="2" t="inlineStr">
        <is>
          <t>money</t>
        </is>
      </c>
      <c r="H37" s="13" t="n"/>
      <c r="I37" s="2" t="inlineStr">
        <is>
          <t>spreadsheet+script</t>
        </is>
      </c>
      <c r="J37" s="2" t="n"/>
      <c r="K37" s="14" t="inlineStr">
        <is>
          <t>yours</t>
        </is>
      </c>
    </row>
    <row r="38">
      <c r="A38" s="2" t="n">
        <v>37</v>
      </c>
      <c r="B38" s="2" t="inlineStr">
        <is>
          <t>true_cost.total</t>
        </is>
      </c>
      <c r="C38" s="2" t="inlineStr">
        <is>
          <t>alex</t>
        </is>
      </c>
      <c r="D38" s="2" t="inlineStr">
        <is>
          <t>golf</t>
        </is>
      </c>
      <c r="E38" s="2" t="inlineStr">
        <is>
          <t>2023</t>
        </is>
      </c>
      <c r="F38" s="2" t="inlineStr">
        <is>
          <t>GBP</t>
        </is>
      </c>
      <c r="G38" s="2" t="inlineStr">
        <is>
          <t>money</t>
        </is>
      </c>
      <c r="H38" s="13" t="n"/>
      <c r="I38" s="2" t="inlineStr">
        <is>
          <t>spreadsheet+script</t>
        </is>
      </c>
      <c r="J38" s="2" t="n"/>
      <c r="K38" s="14" t="inlineStr">
        <is>
          <t>yours</t>
        </is>
      </c>
    </row>
    <row r="39">
      <c r="A39" s="2" t="n">
        <v>38</v>
      </c>
      <c r="B39" s="2" t="inlineStr">
        <is>
          <t>true_cost.per_distance</t>
        </is>
      </c>
      <c r="C39" s="2" t="inlineStr">
        <is>
          <t>alex</t>
        </is>
      </c>
      <c r="D39" s="2" t="inlineStr">
        <is>
          <t>golf</t>
        </is>
      </c>
      <c r="E39" s="2" t="inlineStr">
        <is>
          <t>2023</t>
        </is>
      </c>
      <c r="F39" s="2" t="inlineStr">
        <is>
          <t>GBP</t>
        </is>
      </c>
      <c r="G39" s="2" t="inlineStr">
        <is>
          <t>money/mi</t>
        </is>
      </c>
      <c r="H39" s="23" t="n"/>
      <c r="I39" s="2" t="inlineStr">
        <is>
          <t>spreadsheet+script</t>
        </is>
      </c>
      <c r="J39" s="2" t="n"/>
      <c r="K39" s="14" t="inlineStr">
        <is>
          <t>yours</t>
        </is>
      </c>
    </row>
    <row r="40">
      <c r="A40" s="2" t="n">
        <v>39</v>
      </c>
      <c r="B40" s="2" t="inlineStr">
        <is>
          <t>true_cost.fuel</t>
        </is>
      </c>
      <c r="C40" s="2" t="inlineStr">
        <is>
          <t>alex</t>
        </is>
      </c>
      <c r="D40" s="2" t="inlineStr">
        <is>
          <t>golf</t>
        </is>
      </c>
      <c r="E40" s="2" t="inlineStr">
        <is>
          <t>2024</t>
        </is>
      </c>
      <c r="F40" s="2" t="inlineStr">
        <is>
          <t>GBP</t>
        </is>
      </c>
      <c r="G40" s="2" t="inlineStr">
        <is>
          <t>money</t>
        </is>
      </c>
      <c r="H40" s="13" t="n"/>
      <c r="I40" s="2" t="inlineStr">
        <is>
          <t>spreadsheet</t>
        </is>
      </c>
      <c r="J40" s="2" t="n"/>
      <c r="K40" s="14" t="inlineStr">
        <is>
          <t>yours</t>
        </is>
      </c>
    </row>
    <row r="41">
      <c r="A41" s="2" t="n">
        <v>40</v>
      </c>
      <c r="B41" s="2" t="inlineStr">
        <is>
          <t>true_cost.maintenance</t>
        </is>
      </c>
      <c r="C41" s="2" t="inlineStr">
        <is>
          <t>alex</t>
        </is>
      </c>
      <c r="D41" s="2" t="inlineStr">
        <is>
          <t>golf</t>
        </is>
      </c>
      <c r="E41" s="2" t="inlineStr">
        <is>
          <t>2024</t>
        </is>
      </c>
      <c r="F41" s="2" t="inlineStr">
        <is>
          <t>GBP</t>
        </is>
      </c>
      <c r="G41" s="2" t="inlineStr">
        <is>
          <t>money</t>
        </is>
      </c>
      <c r="H41" s="13" t="n"/>
      <c r="I41" s="2" t="inlineStr">
        <is>
          <t>spreadsheet</t>
        </is>
      </c>
      <c r="J41" s="2" t="n"/>
      <c r="K41" s="14" t="inlineStr">
        <is>
          <t>yours</t>
        </is>
      </c>
    </row>
    <row r="42">
      <c r="A42" s="2" t="n">
        <v>41</v>
      </c>
      <c r="B42" s="2" t="inlineStr">
        <is>
          <t>true_cost.compliance</t>
        </is>
      </c>
      <c r="C42" s="2" t="inlineStr">
        <is>
          <t>alex</t>
        </is>
      </c>
      <c r="D42" s="2" t="inlineStr">
        <is>
          <t>golf</t>
        </is>
      </c>
      <c r="E42" s="2" t="inlineStr">
        <is>
          <t>2024</t>
        </is>
      </c>
      <c r="F42" s="2" t="inlineStr">
        <is>
          <t>GBP</t>
        </is>
      </c>
      <c r="G42" s="2" t="inlineStr">
        <is>
          <t>money</t>
        </is>
      </c>
      <c r="H42" s="13" t="n"/>
      <c r="I42" s="2" t="inlineStr">
        <is>
          <t>spreadsheet</t>
        </is>
      </c>
      <c r="J42" s="2" t="n"/>
      <c r="K42" s="14" t="inlineStr">
        <is>
          <t>yours</t>
        </is>
      </c>
    </row>
    <row r="43">
      <c r="A43" s="2" t="n">
        <v>42</v>
      </c>
      <c r="B43" s="2" t="inlineStr">
        <is>
          <t>true_cost.other</t>
        </is>
      </c>
      <c r="C43" s="2" t="inlineStr">
        <is>
          <t>alex</t>
        </is>
      </c>
      <c r="D43" s="2" t="inlineStr">
        <is>
          <t>golf</t>
        </is>
      </c>
      <c r="E43" s="2" t="inlineStr">
        <is>
          <t>2024</t>
        </is>
      </c>
      <c r="F43" s="2" t="inlineStr">
        <is>
          <t>GBP</t>
        </is>
      </c>
      <c r="G43" s="2" t="inlineStr">
        <is>
          <t>money</t>
        </is>
      </c>
      <c r="H43" s="13" t="n"/>
      <c r="I43" s="2" t="inlineStr">
        <is>
          <t>spreadsheet</t>
        </is>
      </c>
      <c r="J43" s="2" t="n"/>
      <c r="K43" s="14" t="inlineStr">
        <is>
          <t>yours</t>
        </is>
      </c>
    </row>
    <row r="44">
      <c r="A44" s="2" t="n">
        <v>43</v>
      </c>
      <c r="B44" s="2" t="inlineStr">
        <is>
          <t>true_cost.depreciation</t>
        </is>
      </c>
      <c r="C44" s="2" t="inlineStr">
        <is>
          <t>alex</t>
        </is>
      </c>
      <c r="D44" s="2" t="inlineStr">
        <is>
          <t>golf</t>
        </is>
      </c>
      <c r="E44" s="2" t="inlineStr">
        <is>
          <t>2024</t>
        </is>
      </c>
      <c r="F44" s="2" t="inlineStr">
        <is>
          <t>GBP</t>
        </is>
      </c>
      <c r="G44" s="2" t="inlineStr">
        <is>
          <t>money</t>
        </is>
      </c>
      <c r="H44" s="13" t="n"/>
      <c r="I44" s="2" t="inlineStr">
        <is>
          <t>spreadsheet+script</t>
        </is>
      </c>
      <c r="J44" s="2" t="n"/>
      <c r="K44" s="14" t="inlineStr">
        <is>
          <t>yours</t>
        </is>
      </c>
    </row>
    <row r="45">
      <c r="A45" s="2" t="n">
        <v>44</v>
      </c>
      <c r="B45" s="2" t="inlineStr">
        <is>
          <t>true_cost.total</t>
        </is>
      </c>
      <c r="C45" s="2" t="inlineStr">
        <is>
          <t>alex</t>
        </is>
      </c>
      <c r="D45" s="2" t="inlineStr">
        <is>
          <t>golf</t>
        </is>
      </c>
      <c r="E45" s="2" t="inlineStr">
        <is>
          <t>2024</t>
        </is>
      </c>
      <c r="F45" s="2" t="inlineStr">
        <is>
          <t>GBP</t>
        </is>
      </c>
      <c r="G45" s="2" t="inlineStr">
        <is>
          <t>money</t>
        </is>
      </c>
      <c r="H45" s="13" t="n"/>
      <c r="I45" s="2" t="inlineStr">
        <is>
          <t>spreadsheet+script</t>
        </is>
      </c>
      <c r="J45" s="2" t="n"/>
      <c r="K45" s="14" t="inlineStr">
        <is>
          <t>yours</t>
        </is>
      </c>
    </row>
    <row r="46">
      <c r="A46" s="2" t="n">
        <v>45</v>
      </c>
      <c r="B46" s="2" t="inlineStr">
        <is>
          <t>true_cost.per_distance</t>
        </is>
      </c>
      <c r="C46" s="2" t="inlineStr">
        <is>
          <t>alex</t>
        </is>
      </c>
      <c r="D46" s="2" t="inlineStr">
        <is>
          <t>golf</t>
        </is>
      </c>
      <c r="E46" s="2" t="inlineStr">
        <is>
          <t>2024</t>
        </is>
      </c>
      <c r="F46" s="2" t="inlineStr">
        <is>
          <t>GBP</t>
        </is>
      </c>
      <c r="G46" s="2" t="inlineStr">
        <is>
          <t>money/mi</t>
        </is>
      </c>
      <c r="H46" s="23" t="n"/>
      <c r="I46" s="2" t="inlineStr">
        <is>
          <t>spreadsheet+script</t>
        </is>
      </c>
      <c r="J46" s="2" t="n"/>
      <c r="K46" s="14" t="inlineStr">
        <is>
          <t>yours</t>
        </is>
      </c>
    </row>
    <row r="47">
      <c r="A47" s="2" t="n">
        <v>46</v>
      </c>
      <c r="B47" s="2" t="inlineStr">
        <is>
          <t>true_cost.fuel</t>
        </is>
      </c>
      <c r="C47" s="2" t="inlineStr">
        <is>
          <t>alex</t>
        </is>
      </c>
      <c r="D47" s="2" t="inlineStr">
        <is>
          <t>golf</t>
        </is>
      </c>
      <c r="E47" s="2" t="inlineStr">
        <is>
          <t>2025</t>
        </is>
      </c>
      <c r="F47" s="2" t="inlineStr">
        <is>
          <t>GBP</t>
        </is>
      </c>
      <c r="G47" s="2" t="inlineStr">
        <is>
          <t>money</t>
        </is>
      </c>
      <c r="H47" s="13" t="n"/>
      <c r="I47" s="2" t="inlineStr">
        <is>
          <t>spreadsheet</t>
        </is>
      </c>
      <c r="J47" s="2" t="n"/>
      <c r="K47" s="14" t="inlineStr">
        <is>
          <t>yours</t>
        </is>
      </c>
    </row>
    <row r="48">
      <c r="A48" s="2" t="n">
        <v>47</v>
      </c>
      <c r="B48" s="2" t="inlineStr">
        <is>
          <t>true_cost.maintenance</t>
        </is>
      </c>
      <c r="C48" s="2" t="inlineStr">
        <is>
          <t>alex</t>
        </is>
      </c>
      <c r="D48" s="2" t="inlineStr">
        <is>
          <t>golf</t>
        </is>
      </c>
      <c r="E48" s="2" t="inlineStr">
        <is>
          <t>2025</t>
        </is>
      </c>
      <c r="F48" s="2" t="inlineStr">
        <is>
          <t>GBP</t>
        </is>
      </c>
      <c r="G48" s="2" t="inlineStr">
        <is>
          <t>money</t>
        </is>
      </c>
      <c r="H48" s="13" t="n"/>
      <c r="I48" s="2" t="inlineStr">
        <is>
          <t>spreadsheet</t>
        </is>
      </c>
      <c r="J48" s="2" t="n"/>
      <c r="K48" s="14" t="inlineStr">
        <is>
          <t>yours</t>
        </is>
      </c>
    </row>
    <row r="49">
      <c r="A49" s="2" t="n">
        <v>48</v>
      </c>
      <c r="B49" s="2" t="inlineStr">
        <is>
          <t>true_cost.compliance</t>
        </is>
      </c>
      <c r="C49" s="2" t="inlineStr">
        <is>
          <t>alex</t>
        </is>
      </c>
      <c r="D49" s="2" t="inlineStr">
        <is>
          <t>golf</t>
        </is>
      </c>
      <c r="E49" s="2" t="inlineStr">
        <is>
          <t>2025</t>
        </is>
      </c>
      <c r="F49" s="2" t="inlineStr">
        <is>
          <t>GBP</t>
        </is>
      </c>
      <c r="G49" s="2" t="inlineStr">
        <is>
          <t>money</t>
        </is>
      </c>
      <c r="H49" s="13" t="n"/>
      <c r="I49" s="2" t="inlineStr">
        <is>
          <t>spreadsheet</t>
        </is>
      </c>
      <c r="J49" s="2" t="n"/>
      <c r="K49" s="14" t="inlineStr">
        <is>
          <t>yours</t>
        </is>
      </c>
    </row>
    <row r="50">
      <c r="A50" s="2" t="n">
        <v>49</v>
      </c>
      <c r="B50" s="2" t="inlineStr">
        <is>
          <t>true_cost.other</t>
        </is>
      </c>
      <c r="C50" s="2" t="inlineStr">
        <is>
          <t>alex</t>
        </is>
      </c>
      <c r="D50" s="2" t="inlineStr">
        <is>
          <t>golf</t>
        </is>
      </c>
      <c r="E50" s="2" t="inlineStr">
        <is>
          <t>2025</t>
        </is>
      </c>
      <c r="F50" s="2" t="inlineStr">
        <is>
          <t>GBP</t>
        </is>
      </c>
      <c r="G50" s="2" t="inlineStr">
        <is>
          <t>money</t>
        </is>
      </c>
      <c r="H50" s="13" t="n"/>
      <c r="I50" s="2" t="inlineStr">
        <is>
          <t>spreadsheet</t>
        </is>
      </c>
      <c r="J50" s="2" t="n"/>
      <c r="K50" s="14" t="inlineStr">
        <is>
          <t>yours</t>
        </is>
      </c>
    </row>
    <row r="51">
      <c r="A51" s="2" t="n">
        <v>50</v>
      </c>
      <c r="B51" s="2" t="inlineStr">
        <is>
          <t>true_cost.depreciation</t>
        </is>
      </c>
      <c r="C51" s="2" t="inlineStr">
        <is>
          <t>alex</t>
        </is>
      </c>
      <c r="D51" s="2" t="inlineStr">
        <is>
          <t>golf</t>
        </is>
      </c>
      <c r="E51" s="2" t="inlineStr">
        <is>
          <t>2025</t>
        </is>
      </c>
      <c r="F51" s="2" t="inlineStr">
        <is>
          <t>GBP</t>
        </is>
      </c>
      <c r="G51" s="2" t="inlineStr">
        <is>
          <t>money</t>
        </is>
      </c>
      <c r="H51" s="13" t="n"/>
      <c r="I51" s="2" t="inlineStr">
        <is>
          <t>spreadsheet+script</t>
        </is>
      </c>
      <c r="J51" s="2" t="n"/>
      <c r="K51" s="14" t="inlineStr">
        <is>
          <t>yours</t>
        </is>
      </c>
    </row>
    <row r="52">
      <c r="A52" s="2" t="n">
        <v>51</v>
      </c>
      <c r="B52" s="2" t="inlineStr">
        <is>
          <t>true_cost.total</t>
        </is>
      </c>
      <c r="C52" s="2" t="inlineStr">
        <is>
          <t>alex</t>
        </is>
      </c>
      <c r="D52" s="2" t="inlineStr">
        <is>
          <t>golf</t>
        </is>
      </c>
      <c r="E52" s="2" t="inlineStr">
        <is>
          <t>2025</t>
        </is>
      </c>
      <c r="F52" s="2" t="inlineStr">
        <is>
          <t>GBP</t>
        </is>
      </c>
      <c r="G52" s="2" t="inlineStr">
        <is>
          <t>money</t>
        </is>
      </c>
      <c r="H52" s="13" t="n"/>
      <c r="I52" s="2" t="inlineStr">
        <is>
          <t>spreadsheet+script</t>
        </is>
      </c>
      <c r="J52" s="2" t="n"/>
      <c r="K52" s="14" t="inlineStr">
        <is>
          <t>yours</t>
        </is>
      </c>
    </row>
    <row r="53">
      <c r="A53" s="2" t="n">
        <v>52</v>
      </c>
      <c r="B53" s="2" t="inlineStr">
        <is>
          <t>true_cost.per_distance</t>
        </is>
      </c>
      <c r="C53" s="2" t="inlineStr">
        <is>
          <t>alex</t>
        </is>
      </c>
      <c r="D53" s="2" t="inlineStr">
        <is>
          <t>golf</t>
        </is>
      </c>
      <c r="E53" s="2" t="inlineStr">
        <is>
          <t>2025</t>
        </is>
      </c>
      <c r="F53" s="2" t="inlineStr">
        <is>
          <t>GBP</t>
        </is>
      </c>
      <c r="G53" s="2" t="inlineStr">
        <is>
          <t>money/mi</t>
        </is>
      </c>
      <c r="H53" s="23" t="n"/>
      <c r="I53" s="2" t="inlineStr">
        <is>
          <t>spreadsheet+script</t>
        </is>
      </c>
      <c r="J53" s="2" t="n"/>
      <c r="K53" s="14" t="inlineStr">
        <is>
          <t>yours</t>
        </is>
      </c>
    </row>
    <row r="54">
      <c r="A54" s="2" t="n">
        <v>53</v>
      </c>
      <c r="B54" s="2" t="inlineStr">
        <is>
          <t>true_cost.fuel</t>
        </is>
      </c>
      <c r="C54" s="2" t="inlineStr">
        <is>
          <t>alex</t>
        </is>
      </c>
      <c r="D54" s="2" t="inlineStr">
        <is>
          <t>golf</t>
        </is>
      </c>
      <c r="E54" s="2" t="inlineStr">
        <is>
          <t>2026</t>
        </is>
      </c>
      <c r="F54" s="2" t="inlineStr">
        <is>
          <t>GBP</t>
        </is>
      </c>
      <c r="G54" s="2" t="inlineStr">
        <is>
          <t>money</t>
        </is>
      </c>
      <c r="H54" s="13" t="n"/>
      <c r="I54" s="2" t="inlineStr">
        <is>
          <t>spreadsheet</t>
        </is>
      </c>
      <c r="J54" s="2" t="n"/>
      <c r="K54" s="14" t="inlineStr">
        <is>
          <t>yours</t>
        </is>
      </c>
    </row>
    <row r="55">
      <c r="A55" s="2" t="n">
        <v>54</v>
      </c>
      <c r="B55" s="2" t="inlineStr">
        <is>
          <t>true_cost.maintenance</t>
        </is>
      </c>
      <c r="C55" s="2" t="inlineStr">
        <is>
          <t>alex</t>
        </is>
      </c>
      <c r="D55" s="2" t="inlineStr">
        <is>
          <t>golf</t>
        </is>
      </c>
      <c r="E55" s="2" t="inlineStr">
        <is>
          <t>2026</t>
        </is>
      </c>
      <c r="F55" s="2" t="inlineStr">
        <is>
          <t>GBP</t>
        </is>
      </c>
      <c r="G55" s="2" t="inlineStr">
        <is>
          <t>money</t>
        </is>
      </c>
      <c r="H55" s="13" t="n"/>
      <c r="I55" s="2" t="inlineStr">
        <is>
          <t>spreadsheet</t>
        </is>
      </c>
      <c r="J55" s="2" t="n"/>
      <c r="K55" s="14" t="inlineStr">
        <is>
          <t>yours</t>
        </is>
      </c>
    </row>
    <row r="56">
      <c r="A56" s="2" t="n">
        <v>55</v>
      </c>
      <c r="B56" s="2" t="inlineStr">
        <is>
          <t>true_cost.compliance</t>
        </is>
      </c>
      <c r="C56" s="2" t="inlineStr">
        <is>
          <t>alex</t>
        </is>
      </c>
      <c r="D56" s="2" t="inlineStr">
        <is>
          <t>golf</t>
        </is>
      </c>
      <c r="E56" s="2" t="inlineStr">
        <is>
          <t>2026</t>
        </is>
      </c>
      <c r="F56" s="2" t="inlineStr">
        <is>
          <t>GBP</t>
        </is>
      </c>
      <c r="G56" s="2" t="inlineStr">
        <is>
          <t>money</t>
        </is>
      </c>
      <c r="H56" s="13" t="n"/>
      <c r="I56" s="2" t="inlineStr">
        <is>
          <t>spreadsheet</t>
        </is>
      </c>
      <c r="J56" s="2" t="n"/>
      <c r="K56" s="14" t="inlineStr">
        <is>
          <t>yours</t>
        </is>
      </c>
    </row>
    <row r="57">
      <c r="A57" s="2" t="n">
        <v>56</v>
      </c>
      <c r="B57" s="2" t="inlineStr">
        <is>
          <t>true_cost.other</t>
        </is>
      </c>
      <c r="C57" s="2" t="inlineStr">
        <is>
          <t>alex</t>
        </is>
      </c>
      <c r="D57" s="2" t="inlineStr">
        <is>
          <t>golf</t>
        </is>
      </c>
      <c r="E57" s="2" t="inlineStr">
        <is>
          <t>2026</t>
        </is>
      </c>
      <c r="F57" s="2" t="inlineStr">
        <is>
          <t>GBP</t>
        </is>
      </c>
      <c r="G57" s="2" t="inlineStr">
        <is>
          <t>money</t>
        </is>
      </c>
      <c r="H57" s="13" t="n"/>
      <c r="I57" s="2" t="inlineStr">
        <is>
          <t>spreadsheet</t>
        </is>
      </c>
      <c r="J57" s="2" t="n"/>
      <c r="K57" s="14" t="inlineStr">
        <is>
          <t>yours</t>
        </is>
      </c>
    </row>
    <row r="58">
      <c r="A58" s="2" t="n">
        <v>57</v>
      </c>
      <c r="B58" s="2" t="inlineStr">
        <is>
          <t>true_cost.depreciation</t>
        </is>
      </c>
      <c r="C58" s="2" t="inlineStr">
        <is>
          <t>alex</t>
        </is>
      </c>
      <c r="D58" s="2" t="inlineStr">
        <is>
          <t>golf</t>
        </is>
      </c>
      <c r="E58" s="2" t="inlineStr">
        <is>
          <t>2026</t>
        </is>
      </c>
      <c r="F58" s="2" t="inlineStr">
        <is>
          <t>GBP</t>
        </is>
      </c>
      <c r="G58" s="2" t="inlineStr">
        <is>
          <t>money</t>
        </is>
      </c>
      <c r="H58" s="13" t="n"/>
      <c r="I58" s="2" t="inlineStr">
        <is>
          <t>spreadsheet+script</t>
        </is>
      </c>
      <c r="J58" s="2" t="n"/>
      <c r="K58" s="14" t="inlineStr">
        <is>
          <t>yours</t>
        </is>
      </c>
    </row>
    <row r="59">
      <c r="A59" s="2" t="n">
        <v>58</v>
      </c>
      <c r="B59" s="2" t="inlineStr">
        <is>
          <t>true_cost.total</t>
        </is>
      </c>
      <c r="C59" s="2" t="inlineStr">
        <is>
          <t>alex</t>
        </is>
      </c>
      <c r="D59" s="2" t="inlineStr">
        <is>
          <t>golf</t>
        </is>
      </c>
      <c r="E59" s="2" t="inlineStr">
        <is>
          <t>2026</t>
        </is>
      </c>
      <c r="F59" s="2" t="inlineStr">
        <is>
          <t>GBP</t>
        </is>
      </c>
      <c r="G59" s="2" t="inlineStr">
        <is>
          <t>money</t>
        </is>
      </c>
      <c r="H59" s="13" t="n"/>
      <c r="I59" s="2" t="inlineStr">
        <is>
          <t>spreadsheet+script</t>
        </is>
      </c>
      <c r="J59" s="2" t="n"/>
      <c r="K59" s="14" t="inlineStr">
        <is>
          <t>yours</t>
        </is>
      </c>
    </row>
    <row r="60">
      <c r="A60" s="2" t="n">
        <v>59</v>
      </c>
      <c r="B60" s="2" t="inlineStr">
        <is>
          <t>true_cost.per_distance</t>
        </is>
      </c>
      <c r="C60" s="2" t="inlineStr">
        <is>
          <t>alex</t>
        </is>
      </c>
      <c r="D60" s="2" t="inlineStr">
        <is>
          <t>golf</t>
        </is>
      </c>
      <c r="E60" s="2" t="inlineStr">
        <is>
          <t>2026</t>
        </is>
      </c>
      <c r="F60" s="2" t="inlineStr">
        <is>
          <t>GBP</t>
        </is>
      </c>
      <c r="G60" s="2" t="inlineStr">
        <is>
          <t>money/mi</t>
        </is>
      </c>
      <c r="H60" s="23" t="n"/>
      <c r="I60" s="2" t="inlineStr">
        <is>
          <t>spreadsheet+script</t>
        </is>
      </c>
      <c r="J60" s="2" t="n"/>
      <c r="K60" s="14" t="inlineStr">
        <is>
          <t>yours</t>
        </is>
      </c>
    </row>
    <row r="61">
      <c r="A61" s="2" t="n">
        <v>60</v>
      </c>
      <c r="B61" s="2" t="inlineStr">
        <is>
          <t>true_cost.what_changed.fuel</t>
        </is>
      </c>
      <c r="C61" s="2" t="inlineStr">
        <is>
          <t>alex</t>
        </is>
      </c>
      <c r="D61" s="2" t="inlineStr">
        <is>
          <t>golf</t>
        </is>
      </c>
      <c r="E61" s="2" t="inlineStr">
        <is>
          <t>2024 vs 2023</t>
        </is>
      </c>
      <c r="F61" s="2" t="inlineStr">
        <is>
          <t>GBP</t>
        </is>
      </c>
      <c r="G61" s="2" t="inlineStr">
        <is>
          <t>money/mi</t>
        </is>
      </c>
      <c r="H61" s="13" t="n"/>
      <c r="I61" s="2" t="inlineStr">
        <is>
          <t>spreadsheet</t>
        </is>
      </c>
      <c r="J61" s="2" t="n"/>
      <c r="K61" s="14" t="inlineStr">
        <is>
          <t>yours</t>
        </is>
      </c>
    </row>
    <row r="62">
      <c r="A62" s="2" t="n">
        <v>61</v>
      </c>
      <c r="B62" s="2" t="inlineStr">
        <is>
          <t>true_cost.what_changed.maintenance</t>
        </is>
      </c>
      <c r="C62" s="2" t="inlineStr">
        <is>
          <t>alex</t>
        </is>
      </c>
      <c r="D62" s="2" t="inlineStr">
        <is>
          <t>golf</t>
        </is>
      </c>
      <c r="E62" s="2" t="inlineStr">
        <is>
          <t>2024 vs 2023</t>
        </is>
      </c>
      <c r="F62" s="2" t="inlineStr">
        <is>
          <t>GBP</t>
        </is>
      </c>
      <c r="G62" s="2" t="inlineStr">
        <is>
          <t>money/mi</t>
        </is>
      </c>
      <c r="H62" s="13" t="n"/>
      <c r="I62" s="2" t="inlineStr">
        <is>
          <t>spreadsheet</t>
        </is>
      </c>
      <c r="J62" s="2" t="n"/>
      <c r="K62" s="14" t="inlineStr">
        <is>
          <t>yours</t>
        </is>
      </c>
    </row>
    <row r="63">
      <c r="A63" s="2" t="n">
        <v>62</v>
      </c>
      <c r="B63" s="2" t="inlineStr">
        <is>
          <t>true_cost.what_changed.compliance</t>
        </is>
      </c>
      <c r="C63" s="2" t="inlineStr">
        <is>
          <t>alex</t>
        </is>
      </c>
      <c r="D63" s="2" t="inlineStr">
        <is>
          <t>golf</t>
        </is>
      </c>
      <c r="E63" s="2" t="inlineStr">
        <is>
          <t>2024 vs 2023</t>
        </is>
      </c>
      <c r="F63" s="2" t="inlineStr">
        <is>
          <t>GBP</t>
        </is>
      </c>
      <c r="G63" s="2" t="inlineStr">
        <is>
          <t>money/mi</t>
        </is>
      </c>
      <c r="H63" s="13" t="n"/>
      <c r="I63" s="2" t="inlineStr">
        <is>
          <t>spreadsheet</t>
        </is>
      </c>
      <c r="J63" s="2" t="n"/>
      <c r="K63" s="14" t="inlineStr">
        <is>
          <t>yours</t>
        </is>
      </c>
    </row>
    <row r="64">
      <c r="A64" s="2" t="n">
        <v>63</v>
      </c>
      <c r="B64" s="2" t="inlineStr">
        <is>
          <t>true_cost.what_changed.other</t>
        </is>
      </c>
      <c r="C64" s="2" t="inlineStr">
        <is>
          <t>alex</t>
        </is>
      </c>
      <c r="D64" s="2" t="inlineStr">
        <is>
          <t>golf</t>
        </is>
      </c>
      <c r="E64" s="2" t="inlineStr">
        <is>
          <t>2024 vs 2023</t>
        </is>
      </c>
      <c r="F64" s="2" t="inlineStr">
        <is>
          <t>GBP</t>
        </is>
      </c>
      <c r="G64" s="2" t="inlineStr">
        <is>
          <t>money/mi</t>
        </is>
      </c>
      <c r="H64" s="13" t="n"/>
      <c r="I64" s="2" t="inlineStr">
        <is>
          <t>spreadsheet</t>
        </is>
      </c>
      <c r="J64" s="2" t="n"/>
      <c r="K64" s="14" t="inlineStr">
        <is>
          <t>yours</t>
        </is>
      </c>
    </row>
    <row r="65">
      <c r="A65" s="2" t="n">
        <v>64</v>
      </c>
      <c r="B65" s="2" t="inlineStr">
        <is>
          <t>true_cost.what_changed.depreciation</t>
        </is>
      </c>
      <c r="C65" s="2" t="inlineStr">
        <is>
          <t>alex</t>
        </is>
      </c>
      <c r="D65" s="2" t="inlineStr">
        <is>
          <t>golf</t>
        </is>
      </c>
      <c r="E65" s="2" t="inlineStr">
        <is>
          <t>2024 vs 2023</t>
        </is>
      </c>
      <c r="F65" s="2" t="inlineStr">
        <is>
          <t>GBP</t>
        </is>
      </c>
      <c r="G65" s="2" t="inlineStr">
        <is>
          <t>money/mi</t>
        </is>
      </c>
      <c r="H65" s="13" t="n"/>
      <c r="I65" s="2" t="inlineStr">
        <is>
          <t>spreadsheet+script</t>
        </is>
      </c>
      <c r="J65" s="2" t="n"/>
      <c r="K65" s="14" t="inlineStr">
        <is>
          <t>yours</t>
        </is>
      </c>
    </row>
    <row r="66">
      <c r="A66" s="2" t="n">
        <v>65</v>
      </c>
      <c r="B66" s="2" t="inlineStr">
        <is>
          <t>true_cost.what_changed.total</t>
        </is>
      </c>
      <c r="C66" s="2" t="inlineStr">
        <is>
          <t>alex</t>
        </is>
      </c>
      <c r="D66" s="2" t="inlineStr">
        <is>
          <t>golf</t>
        </is>
      </c>
      <c r="E66" s="2" t="inlineStr">
        <is>
          <t>2024 vs 2023</t>
        </is>
      </c>
      <c r="F66" s="2" t="inlineStr">
        <is>
          <t>GBP</t>
        </is>
      </c>
      <c r="G66" s="2" t="inlineStr">
        <is>
          <t>money/mi</t>
        </is>
      </c>
      <c r="H66" s="13" t="n"/>
      <c r="I66" s="2" t="inlineStr">
        <is>
          <t>spreadsheet+script</t>
        </is>
      </c>
      <c r="J66" s="2" t="n"/>
      <c r="K66" s="14" t="inlineStr">
        <is>
          <t>yours</t>
        </is>
      </c>
    </row>
    <row r="67">
      <c r="A67" s="2" t="n">
        <v>66</v>
      </c>
      <c r="B67" s="2" t="inlineStr">
        <is>
          <t>true_cost.what_changed.fuel</t>
        </is>
      </c>
      <c r="C67" s="2" t="inlineStr">
        <is>
          <t>alex</t>
        </is>
      </c>
      <c r="D67" s="2" t="inlineStr">
        <is>
          <t>golf</t>
        </is>
      </c>
      <c r="E67" s="2" t="inlineStr">
        <is>
          <t>2025 vs 2024</t>
        </is>
      </c>
      <c r="F67" s="2" t="inlineStr">
        <is>
          <t>GBP</t>
        </is>
      </c>
      <c r="G67" s="2" t="inlineStr">
        <is>
          <t>money/mi</t>
        </is>
      </c>
      <c r="H67" s="13" t="n"/>
      <c r="I67" s="2" t="inlineStr">
        <is>
          <t>spreadsheet</t>
        </is>
      </c>
      <c r="J67" s="2" t="n"/>
      <c r="K67" s="14" t="inlineStr">
        <is>
          <t>yours</t>
        </is>
      </c>
    </row>
    <row r="68">
      <c r="A68" s="2" t="n">
        <v>67</v>
      </c>
      <c r="B68" s="2" t="inlineStr">
        <is>
          <t>true_cost.what_changed.maintenance</t>
        </is>
      </c>
      <c r="C68" s="2" t="inlineStr">
        <is>
          <t>alex</t>
        </is>
      </c>
      <c r="D68" s="2" t="inlineStr">
        <is>
          <t>golf</t>
        </is>
      </c>
      <c r="E68" s="2" t="inlineStr">
        <is>
          <t>2025 vs 2024</t>
        </is>
      </c>
      <c r="F68" s="2" t="inlineStr">
        <is>
          <t>GBP</t>
        </is>
      </c>
      <c r="G68" s="2" t="inlineStr">
        <is>
          <t>money/mi</t>
        </is>
      </c>
      <c r="H68" s="13" t="n"/>
      <c r="I68" s="2" t="inlineStr">
        <is>
          <t>spreadsheet</t>
        </is>
      </c>
      <c r="J68" s="2" t="n"/>
      <c r="K68" s="14" t="inlineStr">
        <is>
          <t>yours</t>
        </is>
      </c>
    </row>
    <row r="69">
      <c r="A69" s="2" t="n">
        <v>68</v>
      </c>
      <c r="B69" s="2" t="inlineStr">
        <is>
          <t>true_cost.what_changed.compliance</t>
        </is>
      </c>
      <c r="C69" s="2" t="inlineStr">
        <is>
          <t>alex</t>
        </is>
      </c>
      <c r="D69" s="2" t="inlineStr">
        <is>
          <t>golf</t>
        </is>
      </c>
      <c r="E69" s="2" t="inlineStr">
        <is>
          <t>2025 vs 2024</t>
        </is>
      </c>
      <c r="F69" s="2" t="inlineStr">
        <is>
          <t>GBP</t>
        </is>
      </c>
      <c r="G69" s="2" t="inlineStr">
        <is>
          <t>money/mi</t>
        </is>
      </c>
      <c r="H69" s="13" t="n"/>
      <c r="I69" s="2" t="inlineStr">
        <is>
          <t>spreadsheet</t>
        </is>
      </c>
      <c r="J69" s="2" t="n"/>
      <c r="K69" s="14" t="inlineStr">
        <is>
          <t>yours</t>
        </is>
      </c>
    </row>
    <row r="70">
      <c r="A70" s="2" t="n">
        <v>69</v>
      </c>
      <c r="B70" s="2" t="inlineStr">
        <is>
          <t>true_cost.what_changed.other</t>
        </is>
      </c>
      <c r="C70" s="2" t="inlineStr">
        <is>
          <t>alex</t>
        </is>
      </c>
      <c r="D70" s="2" t="inlineStr">
        <is>
          <t>golf</t>
        </is>
      </c>
      <c r="E70" s="2" t="inlineStr">
        <is>
          <t>2025 vs 2024</t>
        </is>
      </c>
      <c r="F70" s="2" t="inlineStr">
        <is>
          <t>GBP</t>
        </is>
      </c>
      <c r="G70" s="2" t="inlineStr">
        <is>
          <t>money/mi</t>
        </is>
      </c>
      <c r="H70" s="13" t="n"/>
      <c r="I70" s="2" t="inlineStr">
        <is>
          <t>spreadsheet</t>
        </is>
      </c>
      <c r="J70" s="2" t="n"/>
      <c r="K70" s="14" t="inlineStr">
        <is>
          <t>yours</t>
        </is>
      </c>
    </row>
    <row r="71">
      <c r="A71" s="2" t="n">
        <v>70</v>
      </c>
      <c r="B71" s="2" t="inlineStr">
        <is>
          <t>true_cost.what_changed.depreciation</t>
        </is>
      </c>
      <c r="C71" s="2" t="inlineStr">
        <is>
          <t>alex</t>
        </is>
      </c>
      <c r="D71" s="2" t="inlineStr">
        <is>
          <t>golf</t>
        </is>
      </c>
      <c r="E71" s="2" t="inlineStr">
        <is>
          <t>2025 vs 2024</t>
        </is>
      </c>
      <c r="F71" s="2" t="inlineStr">
        <is>
          <t>GBP</t>
        </is>
      </c>
      <c r="G71" s="2" t="inlineStr">
        <is>
          <t>money/mi</t>
        </is>
      </c>
      <c r="H71" s="13" t="n"/>
      <c r="I71" s="2" t="inlineStr">
        <is>
          <t>spreadsheet+script</t>
        </is>
      </c>
      <c r="J71" s="2" t="n"/>
      <c r="K71" s="14" t="inlineStr">
        <is>
          <t>yours</t>
        </is>
      </c>
    </row>
    <row r="72">
      <c r="A72" s="2" t="n">
        <v>71</v>
      </c>
      <c r="B72" s="2" t="inlineStr">
        <is>
          <t>true_cost.what_changed.total</t>
        </is>
      </c>
      <c r="C72" s="2" t="inlineStr">
        <is>
          <t>alex</t>
        </is>
      </c>
      <c r="D72" s="2" t="inlineStr">
        <is>
          <t>golf</t>
        </is>
      </c>
      <c r="E72" s="2" t="inlineStr">
        <is>
          <t>2025 vs 2024</t>
        </is>
      </c>
      <c r="F72" s="2" t="inlineStr">
        <is>
          <t>GBP</t>
        </is>
      </c>
      <c r="G72" s="2" t="inlineStr">
        <is>
          <t>money/mi</t>
        </is>
      </c>
      <c r="H72" s="13" t="n"/>
      <c r="I72" s="2" t="inlineStr">
        <is>
          <t>spreadsheet+script</t>
        </is>
      </c>
      <c r="J72" s="2" t="n"/>
      <c r="K72" s="14" t="inlineStr">
        <is>
          <t>yours</t>
        </is>
      </c>
    </row>
    <row r="73">
      <c r="A73" s="2" t="n">
        <v>72</v>
      </c>
      <c r="B73" s="2" t="inlineStr">
        <is>
          <t>true_cost.what_changed.fuel</t>
        </is>
      </c>
      <c r="C73" s="2" t="inlineStr">
        <is>
          <t>alex</t>
        </is>
      </c>
      <c r="D73" s="2" t="inlineStr">
        <is>
          <t>golf</t>
        </is>
      </c>
      <c r="E73" s="2" t="inlineStr">
        <is>
          <t>2026 vs 2025</t>
        </is>
      </c>
      <c r="F73" s="2" t="inlineStr">
        <is>
          <t>GBP</t>
        </is>
      </c>
      <c r="G73" s="2" t="inlineStr">
        <is>
          <t>money/mi</t>
        </is>
      </c>
      <c r="H73" s="13" t="n"/>
      <c r="I73" s="2" t="inlineStr">
        <is>
          <t>spreadsheet</t>
        </is>
      </c>
      <c r="J73" s="2" t="n"/>
      <c r="K73" s="14" t="inlineStr">
        <is>
          <t>yours</t>
        </is>
      </c>
    </row>
    <row r="74">
      <c r="A74" s="2" t="n">
        <v>73</v>
      </c>
      <c r="B74" s="2" t="inlineStr">
        <is>
          <t>true_cost.what_changed.maintenance</t>
        </is>
      </c>
      <c r="C74" s="2" t="inlineStr">
        <is>
          <t>alex</t>
        </is>
      </c>
      <c r="D74" s="2" t="inlineStr">
        <is>
          <t>golf</t>
        </is>
      </c>
      <c r="E74" s="2" t="inlineStr">
        <is>
          <t>2026 vs 2025</t>
        </is>
      </c>
      <c r="F74" s="2" t="inlineStr">
        <is>
          <t>GBP</t>
        </is>
      </c>
      <c r="G74" s="2" t="inlineStr">
        <is>
          <t>money/mi</t>
        </is>
      </c>
      <c r="H74" s="13" t="n"/>
      <c r="I74" s="2" t="inlineStr">
        <is>
          <t>spreadsheet</t>
        </is>
      </c>
      <c r="J74" s="2" t="n"/>
      <c r="K74" s="14" t="inlineStr">
        <is>
          <t>yours</t>
        </is>
      </c>
    </row>
    <row r="75">
      <c r="A75" s="2" t="n">
        <v>74</v>
      </c>
      <c r="B75" s="2" t="inlineStr">
        <is>
          <t>true_cost.what_changed.compliance</t>
        </is>
      </c>
      <c r="C75" s="2" t="inlineStr">
        <is>
          <t>alex</t>
        </is>
      </c>
      <c r="D75" s="2" t="inlineStr">
        <is>
          <t>golf</t>
        </is>
      </c>
      <c r="E75" s="2" t="inlineStr">
        <is>
          <t>2026 vs 2025</t>
        </is>
      </c>
      <c r="F75" s="2" t="inlineStr">
        <is>
          <t>GBP</t>
        </is>
      </c>
      <c r="G75" s="2" t="inlineStr">
        <is>
          <t>money/mi</t>
        </is>
      </c>
      <c r="H75" s="13" t="n"/>
      <c r="I75" s="2" t="inlineStr">
        <is>
          <t>spreadsheet</t>
        </is>
      </c>
      <c r="J75" s="2" t="n"/>
      <c r="K75" s="14" t="inlineStr">
        <is>
          <t>yours</t>
        </is>
      </c>
    </row>
    <row r="76">
      <c r="A76" s="2" t="n">
        <v>75</v>
      </c>
      <c r="B76" s="2" t="inlineStr">
        <is>
          <t>true_cost.what_changed.other</t>
        </is>
      </c>
      <c r="C76" s="2" t="inlineStr">
        <is>
          <t>alex</t>
        </is>
      </c>
      <c r="D76" s="2" t="inlineStr">
        <is>
          <t>golf</t>
        </is>
      </c>
      <c r="E76" s="2" t="inlineStr">
        <is>
          <t>2026 vs 2025</t>
        </is>
      </c>
      <c r="F76" s="2" t="inlineStr">
        <is>
          <t>GBP</t>
        </is>
      </c>
      <c r="G76" s="2" t="inlineStr">
        <is>
          <t>money/mi</t>
        </is>
      </c>
      <c r="H76" s="13" t="n"/>
      <c r="I76" s="2" t="inlineStr">
        <is>
          <t>spreadsheet</t>
        </is>
      </c>
      <c r="J76" s="2" t="n"/>
      <c r="K76" s="14" t="inlineStr">
        <is>
          <t>yours</t>
        </is>
      </c>
    </row>
    <row r="77">
      <c r="A77" s="2" t="n">
        <v>76</v>
      </c>
      <c r="B77" s="2" t="inlineStr">
        <is>
          <t>true_cost.what_changed.depreciation</t>
        </is>
      </c>
      <c r="C77" s="2" t="inlineStr">
        <is>
          <t>alex</t>
        </is>
      </c>
      <c r="D77" s="2" t="inlineStr">
        <is>
          <t>golf</t>
        </is>
      </c>
      <c r="E77" s="2" t="inlineStr">
        <is>
          <t>2026 vs 2025</t>
        </is>
      </c>
      <c r="F77" s="2" t="inlineStr">
        <is>
          <t>GBP</t>
        </is>
      </c>
      <c r="G77" s="2" t="inlineStr">
        <is>
          <t>money/mi</t>
        </is>
      </c>
      <c r="H77" s="13" t="n"/>
      <c r="I77" s="2" t="inlineStr">
        <is>
          <t>spreadsheet+script</t>
        </is>
      </c>
      <c r="J77" s="2" t="n"/>
      <c r="K77" s="14" t="inlineStr">
        <is>
          <t>yours</t>
        </is>
      </c>
    </row>
    <row r="78">
      <c r="A78" s="2" t="n">
        <v>77</v>
      </c>
      <c r="B78" s="2" t="inlineStr">
        <is>
          <t>true_cost.what_changed.total</t>
        </is>
      </c>
      <c r="C78" s="2" t="inlineStr">
        <is>
          <t>alex</t>
        </is>
      </c>
      <c r="D78" s="2" t="inlineStr">
        <is>
          <t>golf</t>
        </is>
      </c>
      <c r="E78" s="2" t="inlineStr">
        <is>
          <t>2026 vs 2025</t>
        </is>
      </c>
      <c r="F78" s="2" t="inlineStr">
        <is>
          <t>GBP</t>
        </is>
      </c>
      <c r="G78" s="2" t="inlineStr">
        <is>
          <t>money/mi</t>
        </is>
      </c>
      <c r="H78" s="13" t="n"/>
      <c r="I78" s="2" t="inlineStr">
        <is>
          <t>spreadsheet+script</t>
        </is>
      </c>
      <c r="J78" s="2" t="n"/>
      <c r="K78" s="14" t="inlineStr">
        <is>
          <t>yours</t>
        </is>
      </c>
    </row>
    <row r="79">
      <c r="A79" s="2" t="n">
        <v>78</v>
      </c>
      <c r="B79" s="2" t="inlineStr">
        <is>
          <t>true_cost.what_changed.total</t>
        </is>
      </c>
      <c r="C79" s="2" t="inlineStr">
        <is>
          <t>alex</t>
        </is>
      </c>
      <c r="D79" s="2" t="inlineStr">
        <is>
          <t>golf</t>
        </is>
      </c>
      <c r="E79" s="2" t="inlineStr">
        <is>
          <t>last_12_months_vs_previous</t>
        </is>
      </c>
      <c r="F79" s="2" t="inlineStr">
        <is>
          <t>GBP</t>
        </is>
      </c>
      <c r="G79" s="2" t="inlineStr">
        <is>
          <t>money/mi</t>
        </is>
      </c>
      <c r="H79" s="13" t="n"/>
      <c r="I79" s="2" t="inlineStr">
        <is>
          <t>spreadsheet+script</t>
        </is>
      </c>
      <c r="J79" s="2" t="n"/>
      <c r="K79" s="14" t="inlineStr">
        <is>
          <t>yours</t>
        </is>
      </c>
    </row>
    <row r="80">
      <c r="A80" s="2" t="n">
        <v>79</v>
      </c>
      <c r="B80" s="2" t="inlineStr">
        <is>
          <t>true_cost.fuel</t>
        </is>
      </c>
      <c r="C80" s="2" t="inlineStr">
        <is>
          <t>alex</t>
        </is>
      </c>
      <c r="D80" s="2" t="inlineStr">
        <is>
          <t>ev</t>
        </is>
      </c>
      <c r="E80" s="2" t="inlineStr">
        <is>
          <t>last_12_months</t>
        </is>
      </c>
      <c r="F80" s="2" t="inlineStr">
        <is>
          <t>GBP</t>
        </is>
      </c>
      <c r="G80" s="2" t="inlineStr">
        <is>
          <t>money</t>
        </is>
      </c>
      <c r="H80" s="13" t="n"/>
      <c r="I80" s="2" t="inlineStr">
        <is>
          <t>spreadsheet</t>
        </is>
      </c>
      <c r="J80" s="2" t="n"/>
      <c r="K80" s="14" t="inlineStr">
        <is>
          <t>yours</t>
        </is>
      </c>
    </row>
    <row r="81">
      <c r="A81" s="2" t="n">
        <v>80</v>
      </c>
      <c r="B81" s="2" t="inlineStr">
        <is>
          <t>true_cost.maintenance</t>
        </is>
      </c>
      <c r="C81" s="2" t="inlineStr">
        <is>
          <t>alex</t>
        </is>
      </c>
      <c r="D81" s="2" t="inlineStr">
        <is>
          <t>ev</t>
        </is>
      </c>
      <c r="E81" s="2" t="inlineStr">
        <is>
          <t>last_12_months</t>
        </is>
      </c>
      <c r="F81" s="2" t="inlineStr">
        <is>
          <t>GBP</t>
        </is>
      </c>
      <c r="G81" s="2" t="inlineStr">
        <is>
          <t>money</t>
        </is>
      </c>
      <c r="H81" s="13" t="n"/>
      <c r="I81" s="2" t="inlineStr">
        <is>
          <t>spreadsheet</t>
        </is>
      </c>
      <c r="J81" s="2" t="n"/>
      <c r="K81" s="14" t="inlineStr">
        <is>
          <t>yours</t>
        </is>
      </c>
    </row>
    <row r="82">
      <c r="A82" s="2" t="n">
        <v>81</v>
      </c>
      <c r="B82" s="2" t="inlineStr">
        <is>
          <t>true_cost.compliance</t>
        </is>
      </c>
      <c r="C82" s="2" t="inlineStr">
        <is>
          <t>alex</t>
        </is>
      </c>
      <c r="D82" s="2" t="inlineStr">
        <is>
          <t>ev</t>
        </is>
      </c>
      <c r="E82" s="2" t="inlineStr">
        <is>
          <t>last_12_months</t>
        </is>
      </c>
      <c r="F82" s="2" t="inlineStr">
        <is>
          <t>GBP</t>
        </is>
      </c>
      <c r="G82" s="2" t="inlineStr">
        <is>
          <t>money</t>
        </is>
      </c>
      <c r="H82" s="13" t="n"/>
      <c r="I82" s="2" t="inlineStr">
        <is>
          <t>spreadsheet</t>
        </is>
      </c>
      <c r="J82" s="2" t="n"/>
      <c r="K82" s="14" t="inlineStr">
        <is>
          <t>yours</t>
        </is>
      </c>
    </row>
    <row r="83">
      <c r="A83" s="2" t="n">
        <v>82</v>
      </c>
      <c r="B83" s="2" t="inlineStr">
        <is>
          <t>true_cost.other</t>
        </is>
      </c>
      <c r="C83" s="2" t="inlineStr">
        <is>
          <t>alex</t>
        </is>
      </c>
      <c r="D83" s="2" t="inlineStr">
        <is>
          <t>ev</t>
        </is>
      </c>
      <c r="E83" s="2" t="inlineStr">
        <is>
          <t>last_12_months</t>
        </is>
      </c>
      <c r="F83" s="2" t="inlineStr">
        <is>
          <t>GBP</t>
        </is>
      </c>
      <c r="G83" s="2" t="inlineStr">
        <is>
          <t>money</t>
        </is>
      </c>
      <c r="H83" s="13" t="n"/>
      <c r="I83" s="2" t="inlineStr">
        <is>
          <t>spreadsheet</t>
        </is>
      </c>
      <c r="J83" s="2" t="n"/>
      <c r="K83" s="14" t="inlineStr">
        <is>
          <t>yours</t>
        </is>
      </c>
    </row>
    <row r="84">
      <c r="A84" s="2" t="n">
        <v>83</v>
      </c>
      <c r="B84" s="2" t="inlineStr">
        <is>
          <t>true_cost.depreciation</t>
        </is>
      </c>
      <c r="C84" s="2" t="inlineStr">
        <is>
          <t>alex</t>
        </is>
      </c>
      <c r="D84" s="2" t="inlineStr">
        <is>
          <t>ev</t>
        </is>
      </c>
      <c r="E84" s="2" t="inlineStr">
        <is>
          <t>last_12_months</t>
        </is>
      </c>
      <c r="F84" s="2" t="inlineStr">
        <is>
          <t>GBP</t>
        </is>
      </c>
      <c r="G84" s="2" t="inlineStr">
        <is>
          <t>money</t>
        </is>
      </c>
      <c r="H84" s="13" t="n"/>
      <c r="I84" s="2" t="inlineStr">
        <is>
          <t>spreadsheet+script</t>
        </is>
      </c>
      <c r="J84" s="2" t="n"/>
      <c r="K84" s="14" t="inlineStr">
        <is>
          <t>yours</t>
        </is>
      </c>
    </row>
    <row r="85">
      <c r="A85" s="2" t="n">
        <v>84</v>
      </c>
      <c r="B85" s="2" t="inlineStr">
        <is>
          <t>true_cost.total</t>
        </is>
      </c>
      <c r="C85" s="2" t="inlineStr">
        <is>
          <t>alex</t>
        </is>
      </c>
      <c r="D85" s="2" t="inlineStr">
        <is>
          <t>ev</t>
        </is>
      </c>
      <c r="E85" s="2" t="inlineStr">
        <is>
          <t>last_12_months</t>
        </is>
      </c>
      <c r="F85" s="2" t="inlineStr">
        <is>
          <t>GBP</t>
        </is>
      </c>
      <c r="G85" s="2" t="inlineStr">
        <is>
          <t>money</t>
        </is>
      </c>
      <c r="H85" s="13" t="n"/>
      <c r="I85" s="2" t="inlineStr">
        <is>
          <t>spreadsheet+script</t>
        </is>
      </c>
      <c r="J85" s="2" t="n"/>
      <c r="K85" s="14" t="inlineStr">
        <is>
          <t>yours</t>
        </is>
      </c>
    </row>
    <row r="86">
      <c r="A86" s="2" t="n">
        <v>85</v>
      </c>
      <c r="B86" s="2" t="inlineStr">
        <is>
          <t>true_cost.per_distance</t>
        </is>
      </c>
      <c r="C86" s="2" t="inlineStr">
        <is>
          <t>alex</t>
        </is>
      </c>
      <c r="D86" s="2" t="inlineStr">
        <is>
          <t>ev</t>
        </is>
      </c>
      <c r="E86" s="2" t="inlineStr">
        <is>
          <t>last_12_months</t>
        </is>
      </c>
      <c r="F86" s="2" t="inlineStr">
        <is>
          <t>GBP</t>
        </is>
      </c>
      <c r="G86" s="2" t="inlineStr">
        <is>
          <t>money/mi</t>
        </is>
      </c>
      <c r="H86" s="23" t="n"/>
      <c r="I86" s="2" t="inlineStr">
        <is>
          <t>spreadsheet+script</t>
        </is>
      </c>
      <c r="J86" s="2" t="n"/>
      <c r="K86" s="14" t="inlineStr">
        <is>
          <t>yours</t>
        </is>
      </c>
    </row>
    <row r="87">
      <c r="A87" s="2" t="n">
        <v>86</v>
      </c>
      <c r="B87" s="2" t="inlineStr">
        <is>
          <t>true_cost.fuel</t>
        </is>
      </c>
      <c r="C87" s="2" t="inlineStr">
        <is>
          <t>alex</t>
        </is>
      </c>
      <c r="D87" s="2" t="inlineStr">
        <is>
          <t>ev</t>
        </is>
      </c>
      <c r="E87" s="2" t="inlineStr">
        <is>
          <t>2024</t>
        </is>
      </c>
      <c r="F87" s="2" t="inlineStr">
        <is>
          <t>GBP</t>
        </is>
      </c>
      <c r="G87" s="2" t="inlineStr">
        <is>
          <t>money</t>
        </is>
      </c>
      <c r="H87" s="13" t="n"/>
      <c r="I87" s="2" t="inlineStr">
        <is>
          <t>spreadsheet</t>
        </is>
      </c>
      <c r="J87" s="2" t="n"/>
      <c r="K87" s="14" t="inlineStr">
        <is>
          <t>yours</t>
        </is>
      </c>
    </row>
    <row r="88">
      <c r="A88" s="2" t="n">
        <v>87</v>
      </c>
      <c r="B88" s="2" t="inlineStr">
        <is>
          <t>true_cost.maintenance</t>
        </is>
      </c>
      <c r="C88" s="2" t="inlineStr">
        <is>
          <t>alex</t>
        </is>
      </c>
      <c r="D88" s="2" t="inlineStr">
        <is>
          <t>ev</t>
        </is>
      </c>
      <c r="E88" s="2" t="inlineStr">
        <is>
          <t>2024</t>
        </is>
      </c>
      <c r="F88" s="2" t="inlineStr">
        <is>
          <t>GBP</t>
        </is>
      </c>
      <c r="G88" s="2" t="inlineStr">
        <is>
          <t>money</t>
        </is>
      </c>
      <c r="H88" s="13" t="n"/>
      <c r="I88" s="2" t="inlineStr">
        <is>
          <t>spreadsheet</t>
        </is>
      </c>
      <c r="J88" s="2" t="n"/>
      <c r="K88" s="14" t="inlineStr">
        <is>
          <t>yours</t>
        </is>
      </c>
    </row>
    <row r="89">
      <c r="A89" s="2" t="n">
        <v>88</v>
      </c>
      <c r="B89" s="2" t="inlineStr">
        <is>
          <t>true_cost.compliance</t>
        </is>
      </c>
      <c r="C89" s="2" t="inlineStr">
        <is>
          <t>alex</t>
        </is>
      </c>
      <c r="D89" s="2" t="inlineStr">
        <is>
          <t>ev</t>
        </is>
      </c>
      <c r="E89" s="2" t="inlineStr">
        <is>
          <t>2024</t>
        </is>
      </c>
      <c r="F89" s="2" t="inlineStr">
        <is>
          <t>GBP</t>
        </is>
      </c>
      <c r="G89" s="2" t="inlineStr">
        <is>
          <t>money</t>
        </is>
      </c>
      <c r="H89" s="13" t="n"/>
      <c r="I89" s="2" t="inlineStr">
        <is>
          <t>spreadsheet</t>
        </is>
      </c>
      <c r="J89" s="2" t="n"/>
      <c r="K89" s="14" t="inlineStr">
        <is>
          <t>yours</t>
        </is>
      </c>
    </row>
    <row r="90">
      <c r="A90" s="2" t="n">
        <v>89</v>
      </c>
      <c r="B90" s="2" t="inlineStr">
        <is>
          <t>true_cost.other</t>
        </is>
      </c>
      <c r="C90" s="2" t="inlineStr">
        <is>
          <t>alex</t>
        </is>
      </c>
      <c r="D90" s="2" t="inlineStr">
        <is>
          <t>ev</t>
        </is>
      </c>
      <c r="E90" s="2" t="inlineStr">
        <is>
          <t>2024</t>
        </is>
      </c>
      <c r="F90" s="2" t="inlineStr">
        <is>
          <t>GBP</t>
        </is>
      </c>
      <c r="G90" s="2" t="inlineStr">
        <is>
          <t>money</t>
        </is>
      </c>
      <c r="H90" s="13" t="n"/>
      <c r="I90" s="2" t="inlineStr">
        <is>
          <t>spreadsheet</t>
        </is>
      </c>
      <c r="J90" s="2" t="n"/>
      <c r="K90" s="14" t="inlineStr">
        <is>
          <t>yours</t>
        </is>
      </c>
    </row>
    <row r="91">
      <c r="A91" s="2" t="n">
        <v>90</v>
      </c>
      <c r="B91" s="2" t="inlineStr">
        <is>
          <t>true_cost.depreciation</t>
        </is>
      </c>
      <c r="C91" s="2" t="inlineStr">
        <is>
          <t>alex</t>
        </is>
      </c>
      <c r="D91" s="2" t="inlineStr">
        <is>
          <t>ev</t>
        </is>
      </c>
      <c r="E91" s="2" t="inlineStr">
        <is>
          <t>2024</t>
        </is>
      </c>
      <c r="F91" s="2" t="inlineStr">
        <is>
          <t>GBP</t>
        </is>
      </c>
      <c r="G91" s="2" t="inlineStr">
        <is>
          <t>money</t>
        </is>
      </c>
      <c r="H91" s="13" t="n"/>
      <c r="I91" s="2" t="inlineStr">
        <is>
          <t>spreadsheet+script</t>
        </is>
      </c>
      <c r="J91" s="2" t="n"/>
      <c r="K91" s="14" t="inlineStr">
        <is>
          <t>yours</t>
        </is>
      </c>
    </row>
    <row r="92">
      <c r="A92" s="2" t="n">
        <v>91</v>
      </c>
      <c r="B92" s="2" t="inlineStr">
        <is>
          <t>true_cost.total</t>
        </is>
      </c>
      <c r="C92" s="2" t="inlineStr">
        <is>
          <t>alex</t>
        </is>
      </c>
      <c r="D92" s="2" t="inlineStr">
        <is>
          <t>ev</t>
        </is>
      </c>
      <c r="E92" s="2" t="inlineStr">
        <is>
          <t>2024</t>
        </is>
      </c>
      <c r="F92" s="2" t="inlineStr">
        <is>
          <t>GBP</t>
        </is>
      </c>
      <c r="G92" s="2" t="inlineStr">
        <is>
          <t>money</t>
        </is>
      </c>
      <c r="H92" s="13" t="n"/>
      <c r="I92" s="2" t="inlineStr">
        <is>
          <t>spreadsheet+script</t>
        </is>
      </c>
      <c r="J92" s="2" t="n"/>
      <c r="K92" s="14" t="inlineStr">
        <is>
          <t>yours</t>
        </is>
      </c>
    </row>
    <row r="93">
      <c r="A93" s="2" t="n">
        <v>92</v>
      </c>
      <c r="B93" s="2" t="inlineStr">
        <is>
          <t>true_cost.per_distance</t>
        </is>
      </c>
      <c r="C93" s="2" t="inlineStr">
        <is>
          <t>alex</t>
        </is>
      </c>
      <c r="D93" s="2" t="inlineStr">
        <is>
          <t>ev</t>
        </is>
      </c>
      <c r="E93" s="2" t="inlineStr">
        <is>
          <t>2024</t>
        </is>
      </c>
      <c r="F93" s="2" t="inlineStr">
        <is>
          <t>GBP</t>
        </is>
      </c>
      <c r="G93" s="2" t="inlineStr">
        <is>
          <t>money/mi</t>
        </is>
      </c>
      <c r="H93" s="23" t="n"/>
      <c r="I93" s="2" t="inlineStr">
        <is>
          <t>spreadsheet+script</t>
        </is>
      </c>
      <c r="J93" s="2" t="n"/>
      <c r="K93" s="14" t="inlineStr">
        <is>
          <t>yours</t>
        </is>
      </c>
    </row>
    <row r="94">
      <c r="A94" s="2" t="n">
        <v>93</v>
      </c>
      <c r="B94" s="2" t="inlineStr">
        <is>
          <t>true_cost.fuel</t>
        </is>
      </c>
      <c r="C94" s="2" t="inlineStr">
        <is>
          <t>alex</t>
        </is>
      </c>
      <c r="D94" s="2" t="inlineStr">
        <is>
          <t>ev</t>
        </is>
      </c>
      <c r="E94" s="2" t="inlineStr">
        <is>
          <t>2025</t>
        </is>
      </c>
      <c r="F94" s="2" t="inlineStr">
        <is>
          <t>GBP</t>
        </is>
      </c>
      <c r="G94" s="2" t="inlineStr">
        <is>
          <t>money</t>
        </is>
      </c>
      <c r="H94" s="13" t="n"/>
      <c r="I94" s="2" t="inlineStr">
        <is>
          <t>spreadsheet</t>
        </is>
      </c>
      <c r="J94" s="2" t="n"/>
      <c r="K94" s="14" t="inlineStr">
        <is>
          <t>yours</t>
        </is>
      </c>
    </row>
    <row r="95">
      <c r="A95" s="2" t="n">
        <v>94</v>
      </c>
      <c r="B95" s="2" t="inlineStr">
        <is>
          <t>true_cost.maintenance</t>
        </is>
      </c>
      <c r="C95" s="2" t="inlineStr">
        <is>
          <t>alex</t>
        </is>
      </c>
      <c r="D95" s="2" t="inlineStr">
        <is>
          <t>ev</t>
        </is>
      </c>
      <c r="E95" s="2" t="inlineStr">
        <is>
          <t>2025</t>
        </is>
      </c>
      <c r="F95" s="2" t="inlineStr">
        <is>
          <t>GBP</t>
        </is>
      </c>
      <c r="G95" s="2" t="inlineStr">
        <is>
          <t>money</t>
        </is>
      </c>
      <c r="H95" s="13" t="n"/>
      <c r="I95" s="2" t="inlineStr">
        <is>
          <t>spreadsheet</t>
        </is>
      </c>
      <c r="J95" s="2" t="n"/>
      <c r="K95" s="14" t="inlineStr">
        <is>
          <t>yours</t>
        </is>
      </c>
    </row>
    <row r="96">
      <c r="A96" s="2" t="n">
        <v>95</v>
      </c>
      <c r="B96" s="2" t="inlineStr">
        <is>
          <t>true_cost.compliance</t>
        </is>
      </c>
      <c r="C96" s="2" t="inlineStr">
        <is>
          <t>alex</t>
        </is>
      </c>
      <c r="D96" s="2" t="inlineStr">
        <is>
          <t>ev</t>
        </is>
      </c>
      <c r="E96" s="2" t="inlineStr">
        <is>
          <t>2025</t>
        </is>
      </c>
      <c r="F96" s="2" t="inlineStr">
        <is>
          <t>GBP</t>
        </is>
      </c>
      <c r="G96" s="2" t="inlineStr">
        <is>
          <t>money</t>
        </is>
      </c>
      <c r="H96" s="13" t="n"/>
      <c r="I96" s="2" t="inlineStr">
        <is>
          <t>spreadsheet</t>
        </is>
      </c>
      <c r="J96" s="2" t="n"/>
      <c r="K96" s="14" t="inlineStr">
        <is>
          <t>yours</t>
        </is>
      </c>
    </row>
    <row r="97">
      <c r="A97" s="2" t="n">
        <v>96</v>
      </c>
      <c r="B97" s="2" t="inlineStr">
        <is>
          <t>true_cost.other</t>
        </is>
      </c>
      <c r="C97" s="2" t="inlineStr">
        <is>
          <t>alex</t>
        </is>
      </c>
      <c r="D97" s="2" t="inlineStr">
        <is>
          <t>ev</t>
        </is>
      </c>
      <c r="E97" s="2" t="inlineStr">
        <is>
          <t>2025</t>
        </is>
      </c>
      <c r="F97" s="2" t="inlineStr">
        <is>
          <t>GBP</t>
        </is>
      </c>
      <c r="G97" s="2" t="inlineStr">
        <is>
          <t>money</t>
        </is>
      </c>
      <c r="H97" s="13" t="n"/>
      <c r="I97" s="2" t="inlineStr">
        <is>
          <t>spreadsheet</t>
        </is>
      </c>
      <c r="J97" s="2" t="n"/>
      <c r="K97" s="14" t="inlineStr">
        <is>
          <t>yours</t>
        </is>
      </c>
    </row>
    <row r="98">
      <c r="A98" s="2" t="n">
        <v>97</v>
      </c>
      <c r="B98" s="2" t="inlineStr">
        <is>
          <t>true_cost.depreciation</t>
        </is>
      </c>
      <c r="C98" s="2" t="inlineStr">
        <is>
          <t>alex</t>
        </is>
      </c>
      <c r="D98" s="2" t="inlineStr">
        <is>
          <t>ev</t>
        </is>
      </c>
      <c r="E98" s="2" t="inlineStr">
        <is>
          <t>2025</t>
        </is>
      </c>
      <c r="F98" s="2" t="inlineStr">
        <is>
          <t>GBP</t>
        </is>
      </c>
      <c r="G98" s="2" t="inlineStr">
        <is>
          <t>money</t>
        </is>
      </c>
      <c r="H98" s="13" t="n"/>
      <c r="I98" s="2" t="inlineStr">
        <is>
          <t>spreadsheet+script</t>
        </is>
      </c>
      <c r="J98" s="2" t="n"/>
      <c r="K98" s="14" t="inlineStr">
        <is>
          <t>yours</t>
        </is>
      </c>
    </row>
    <row r="99">
      <c r="A99" s="2" t="n">
        <v>98</v>
      </c>
      <c r="B99" s="2" t="inlineStr">
        <is>
          <t>true_cost.total</t>
        </is>
      </c>
      <c r="C99" s="2" t="inlineStr">
        <is>
          <t>alex</t>
        </is>
      </c>
      <c r="D99" s="2" t="inlineStr">
        <is>
          <t>ev</t>
        </is>
      </c>
      <c r="E99" s="2" t="inlineStr">
        <is>
          <t>2025</t>
        </is>
      </c>
      <c r="F99" s="2" t="inlineStr">
        <is>
          <t>GBP</t>
        </is>
      </c>
      <c r="G99" s="2" t="inlineStr">
        <is>
          <t>money</t>
        </is>
      </c>
      <c r="H99" s="13" t="n"/>
      <c r="I99" s="2" t="inlineStr">
        <is>
          <t>spreadsheet+script</t>
        </is>
      </c>
      <c r="J99" s="2" t="n"/>
      <c r="K99" s="14" t="inlineStr">
        <is>
          <t>yours</t>
        </is>
      </c>
    </row>
    <row r="100">
      <c r="A100" s="2" t="n">
        <v>99</v>
      </c>
      <c r="B100" s="2" t="inlineStr">
        <is>
          <t>true_cost.per_distance</t>
        </is>
      </c>
      <c r="C100" s="2" t="inlineStr">
        <is>
          <t>alex</t>
        </is>
      </c>
      <c r="D100" s="2" t="inlineStr">
        <is>
          <t>ev</t>
        </is>
      </c>
      <c r="E100" s="2" t="inlineStr">
        <is>
          <t>2025</t>
        </is>
      </c>
      <c r="F100" s="2" t="inlineStr">
        <is>
          <t>GBP</t>
        </is>
      </c>
      <c r="G100" s="2" t="inlineStr">
        <is>
          <t>money/mi</t>
        </is>
      </c>
      <c r="H100" s="23" t="n"/>
      <c r="I100" s="2" t="inlineStr">
        <is>
          <t>spreadsheet+script</t>
        </is>
      </c>
      <c r="J100" s="2" t="n"/>
      <c r="K100" s="14" t="inlineStr">
        <is>
          <t>yours</t>
        </is>
      </c>
    </row>
    <row r="101">
      <c r="A101" s="2" t="n">
        <v>100</v>
      </c>
      <c r="B101" s="2" t="inlineStr">
        <is>
          <t>true_cost.fuel</t>
        </is>
      </c>
      <c r="C101" s="2" t="inlineStr">
        <is>
          <t>alex</t>
        </is>
      </c>
      <c r="D101" s="2" t="inlineStr">
        <is>
          <t>ev</t>
        </is>
      </c>
      <c r="E101" s="2" t="inlineStr">
        <is>
          <t>2026</t>
        </is>
      </c>
      <c r="F101" s="2" t="inlineStr">
        <is>
          <t>GBP</t>
        </is>
      </c>
      <c r="G101" s="2" t="inlineStr">
        <is>
          <t>money</t>
        </is>
      </c>
      <c r="H101" s="13" t="n"/>
      <c r="I101" s="2" t="inlineStr">
        <is>
          <t>spreadsheet</t>
        </is>
      </c>
      <c r="J101" s="2" t="n"/>
      <c r="K101" s="14" t="inlineStr">
        <is>
          <t>yours</t>
        </is>
      </c>
    </row>
    <row r="102">
      <c r="A102" s="2" t="n">
        <v>101</v>
      </c>
      <c r="B102" s="2" t="inlineStr">
        <is>
          <t>true_cost.maintenance</t>
        </is>
      </c>
      <c r="C102" s="2" t="inlineStr">
        <is>
          <t>alex</t>
        </is>
      </c>
      <c r="D102" s="2" t="inlineStr">
        <is>
          <t>ev</t>
        </is>
      </c>
      <c r="E102" s="2" t="inlineStr">
        <is>
          <t>2026</t>
        </is>
      </c>
      <c r="F102" s="2" t="inlineStr">
        <is>
          <t>GBP</t>
        </is>
      </c>
      <c r="G102" s="2" t="inlineStr">
        <is>
          <t>money</t>
        </is>
      </c>
      <c r="H102" s="13" t="n"/>
      <c r="I102" s="2" t="inlineStr">
        <is>
          <t>spreadsheet</t>
        </is>
      </c>
      <c r="J102" s="2" t="n"/>
      <c r="K102" s="14" t="inlineStr">
        <is>
          <t>yours</t>
        </is>
      </c>
    </row>
    <row r="103">
      <c r="A103" s="2" t="n">
        <v>102</v>
      </c>
      <c r="B103" s="2" t="inlineStr">
        <is>
          <t>true_cost.compliance</t>
        </is>
      </c>
      <c r="C103" s="2" t="inlineStr">
        <is>
          <t>alex</t>
        </is>
      </c>
      <c r="D103" s="2" t="inlineStr">
        <is>
          <t>ev</t>
        </is>
      </c>
      <c r="E103" s="2" t="inlineStr">
        <is>
          <t>2026</t>
        </is>
      </c>
      <c r="F103" s="2" t="inlineStr">
        <is>
          <t>GBP</t>
        </is>
      </c>
      <c r="G103" s="2" t="inlineStr">
        <is>
          <t>money</t>
        </is>
      </c>
      <c r="H103" s="13" t="n"/>
      <c r="I103" s="2" t="inlineStr">
        <is>
          <t>spreadsheet</t>
        </is>
      </c>
      <c r="J103" s="2" t="n"/>
      <c r="K103" s="14" t="inlineStr">
        <is>
          <t>yours</t>
        </is>
      </c>
    </row>
    <row r="104">
      <c r="A104" s="2" t="n">
        <v>103</v>
      </c>
      <c r="B104" s="2" t="inlineStr">
        <is>
          <t>true_cost.other</t>
        </is>
      </c>
      <c r="C104" s="2" t="inlineStr">
        <is>
          <t>alex</t>
        </is>
      </c>
      <c r="D104" s="2" t="inlineStr">
        <is>
          <t>ev</t>
        </is>
      </c>
      <c r="E104" s="2" t="inlineStr">
        <is>
          <t>2026</t>
        </is>
      </c>
      <c r="F104" s="2" t="inlineStr">
        <is>
          <t>GBP</t>
        </is>
      </c>
      <c r="G104" s="2" t="inlineStr">
        <is>
          <t>money</t>
        </is>
      </c>
      <c r="H104" s="13" t="n"/>
      <c r="I104" s="2" t="inlineStr">
        <is>
          <t>spreadsheet</t>
        </is>
      </c>
      <c r="J104" s="2" t="n"/>
      <c r="K104" s="14" t="inlineStr">
        <is>
          <t>yours</t>
        </is>
      </c>
    </row>
    <row r="105">
      <c r="A105" s="2" t="n">
        <v>104</v>
      </c>
      <c r="B105" s="2" t="inlineStr">
        <is>
          <t>true_cost.depreciation</t>
        </is>
      </c>
      <c r="C105" s="2" t="inlineStr">
        <is>
          <t>alex</t>
        </is>
      </c>
      <c r="D105" s="2" t="inlineStr">
        <is>
          <t>ev</t>
        </is>
      </c>
      <c r="E105" s="2" t="inlineStr">
        <is>
          <t>2026</t>
        </is>
      </c>
      <c r="F105" s="2" t="inlineStr">
        <is>
          <t>GBP</t>
        </is>
      </c>
      <c r="G105" s="2" t="inlineStr">
        <is>
          <t>money</t>
        </is>
      </c>
      <c r="H105" s="13" t="n"/>
      <c r="I105" s="2" t="inlineStr">
        <is>
          <t>spreadsheet+script</t>
        </is>
      </c>
      <c r="J105" s="2" t="n"/>
      <c r="K105" s="14" t="inlineStr">
        <is>
          <t>yours</t>
        </is>
      </c>
    </row>
    <row r="106">
      <c r="A106" s="2" t="n">
        <v>105</v>
      </c>
      <c r="B106" s="2" t="inlineStr">
        <is>
          <t>true_cost.total</t>
        </is>
      </c>
      <c r="C106" s="2" t="inlineStr">
        <is>
          <t>alex</t>
        </is>
      </c>
      <c r="D106" s="2" t="inlineStr">
        <is>
          <t>ev</t>
        </is>
      </c>
      <c r="E106" s="2" t="inlineStr">
        <is>
          <t>2026</t>
        </is>
      </c>
      <c r="F106" s="2" t="inlineStr">
        <is>
          <t>GBP</t>
        </is>
      </c>
      <c r="G106" s="2" t="inlineStr">
        <is>
          <t>money</t>
        </is>
      </c>
      <c r="H106" s="13" t="n"/>
      <c r="I106" s="2" t="inlineStr">
        <is>
          <t>spreadsheet+script</t>
        </is>
      </c>
      <c r="J106" s="2" t="n"/>
      <c r="K106" s="14" t="inlineStr">
        <is>
          <t>yours</t>
        </is>
      </c>
    </row>
    <row r="107">
      <c r="A107" s="2" t="n">
        <v>106</v>
      </c>
      <c r="B107" s="2" t="inlineStr">
        <is>
          <t>true_cost.per_distance</t>
        </is>
      </c>
      <c r="C107" s="2" t="inlineStr">
        <is>
          <t>alex</t>
        </is>
      </c>
      <c r="D107" s="2" t="inlineStr">
        <is>
          <t>ev</t>
        </is>
      </c>
      <c r="E107" s="2" t="inlineStr">
        <is>
          <t>2026</t>
        </is>
      </c>
      <c r="F107" s="2" t="inlineStr">
        <is>
          <t>GBP</t>
        </is>
      </c>
      <c r="G107" s="2" t="inlineStr">
        <is>
          <t>money/mi</t>
        </is>
      </c>
      <c r="H107" s="23" t="n"/>
      <c r="I107" s="2" t="inlineStr">
        <is>
          <t>spreadsheet+script</t>
        </is>
      </c>
      <c r="J107" s="2" t="n"/>
      <c r="K107" s="14" t="inlineStr">
        <is>
          <t>yours</t>
        </is>
      </c>
    </row>
    <row r="108">
      <c r="A108" s="2" t="n">
        <v>107</v>
      </c>
      <c r="B108" s="2" t="inlineStr">
        <is>
          <t>true_cost.what_changed.fuel</t>
        </is>
      </c>
      <c r="C108" s="2" t="inlineStr">
        <is>
          <t>alex</t>
        </is>
      </c>
      <c r="D108" s="2" t="inlineStr">
        <is>
          <t>ev</t>
        </is>
      </c>
      <c r="E108" s="2" t="inlineStr">
        <is>
          <t>2025 vs 2024</t>
        </is>
      </c>
      <c r="F108" s="2" t="inlineStr">
        <is>
          <t>GBP</t>
        </is>
      </c>
      <c r="G108" s="2" t="inlineStr">
        <is>
          <t>money/mi</t>
        </is>
      </c>
      <c r="H108" s="13" t="n"/>
      <c r="I108" s="2" t="inlineStr">
        <is>
          <t>spreadsheet</t>
        </is>
      </c>
      <c r="J108" s="2" t="n"/>
      <c r="K108" s="14" t="inlineStr">
        <is>
          <t>yours</t>
        </is>
      </c>
    </row>
    <row r="109">
      <c r="A109" s="2" t="n">
        <v>108</v>
      </c>
      <c r="B109" s="2" t="inlineStr">
        <is>
          <t>true_cost.what_changed.maintenance</t>
        </is>
      </c>
      <c r="C109" s="2" t="inlineStr">
        <is>
          <t>alex</t>
        </is>
      </c>
      <c r="D109" s="2" t="inlineStr">
        <is>
          <t>ev</t>
        </is>
      </c>
      <c r="E109" s="2" t="inlineStr">
        <is>
          <t>2025 vs 2024</t>
        </is>
      </c>
      <c r="F109" s="2" t="inlineStr">
        <is>
          <t>GBP</t>
        </is>
      </c>
      <c r="G109" s="2" t="inlineStr">
        <is>
          <t>money/mi</t>
        </is>
      </c>
      <c r="H109" s="13" t="n"/>
      <c r="I109" s="2" t="inlineStr">
        <is>
          <t>spreadsheet</t>
        </is>
      </c>
      <c r="J109" s="2" t="n"/>
      <c r="K109" s="14" t="inlineStr">
        <is>
          <t>yours</t>
        </is>
      </c>
    </row>
    <row r="110">
      <c r="A110" s="2" t="n">
        <v>109</v>
      </c>
      <c r="B110" s="2" t="inlineStr">
        <is>
          <t>true_cost.what_changed.compliance</t>
        </is>
      </c>
      <c r="C110" s="2" t="inlineStr">
        <is>
          <t>alex</t>
        </is>
      </c>
      <c r="D110" s="2" t="inlineStr">
        <is>
          <t>ev</t>
        </is>
      </c>
      <c r="E110" s="2" t="inlineStr">
        <is>
          <t>2025 vs 2024</t>
        </is>
      </c>
      <c r="F110" s="2" t="inlineStr">
        <is>
          <t>GBP</t>
        </is>
      </c>
      <c r="G110" s="2" t="inlineStr">
        <is>
          <t>money/mi</t>
        </is>
      </c>
      <c r="H110" s="13" t="n"/>
      <c r="I110" s="2" t="inlineStr">
        <is>
          <t>spreadsheet</t>
        </is>
      </c>
      <c r="J110" s="2" t="n"/>
      <c r="K110" s="14" t="inlineStr">
        <is>
          <t>yours</t>
        </is>
      </c>
    </row>
    <row r="111">
      <c r="A111" s="2" t="n">
        <v>110</v>
      </c>
      <c r="B111" s="2" t="inlineStr">
        <is>
          <t>true_cost.what_changed.other</t>
        </is>
      </c>
      <c r="C111" s="2" t="inlineStr">
        <is>
          <t>alex</t>
        </is>
      </c>
      <c r="D111" s="2" t="inlineStr">
        <is>
          <t>ev</t>
        </is>
      </c>
      <c r="E111" s="2" t="inlineStr">
        <is>
          <t>2025 vs 2024</t>
        </is>
      </c>
      <c r="F111" s="2" t="inlineStr">
        <is>
          <t>GBP</t>
        </is>
      </c>
      <c r="G111" s="2" t="inlineStr">
        <is>
          <t>money/mi</t>
        </is>
      </c>
      <c r="H111" s="13" t="n"/>
      <c r="I111" s="2" t="inlineStr">
        <is>
          <t>spreadsheet</t>
        </is>
      </c>
      <c r="J111" s="2" t="n"/>
      <c r="K111" s="14" t="inlineStr">
        <is>
          <t>yours</t>
        </is>
      </c>
    </row>
    <row r="112">
      <c r="A112" s="2" t="n">
        <v>111</v>
      </c>
      <c r="B112" s="2" t="inlineStr">
        <is>
          <t>true_cost.what_changed.depreciation</t>
        </is>
      </c>
      <c r="C112" s="2" t="inlineStr">
        <is>
          <t>alex</t>
        </is>
      </c>
      <c r="D112" s="2" t="inlineStr">
        <is>
          <t>ev</t>
        </is>
      </c>
      <c r="E112" s="2" t="inlineStr">
        <is>
          <t>2025 vs 2024</t>
        </is>
      </c>
      <c r="F112" s="2" t="inlineStr">
        <is>
          <t>GBP</t>
        </is>
      </c>
      <c r="G112" s="2" t="inlineStr">
        <is>
          <t>money/mi</t>
        </is>
      </c>
      <c r="H112" s="13" t="n"/>
      <c r="I112" s="2" t="inlineStr">
        <is>
          <t>spreadsheet+script</t>
        </is>
      </c>
      <c r="J112" s="2" t="n"/>
      <c r="K112" s="14" t="inlineStr">
        <is>
          <t>yours</t>
        </is>
      </c>
    </row>
    <row r="113">
      <c r="A113" s="2" t="n">
        <v>112</v>
      </c>
      <c r="B113" s="2" t="inlineStr">
        <is>
          <t>true_cost.what_changed.total</t>
        </is>
      </c>
      <c r="C113" s="2" t="inlineStr">
        <is>
          <t>alex</t>
        </is>
      </c>
      <c r="D113" s="2" t="inlineStr">
        <is>
          <t>ev</t>
        </is>
      </c>
      <c r="E113" s="2" t="inlineStr">
        <is>
          <t>2025 vs 2024</t>
        </is>
      </c>
      <c r="F113" s="2" t="inlineStr">
        <is>
          <t>GBP</t>
        </is>
      </c>
      <c r="G113" s="2" t="inlineStr">
        <is>
          <t>money/mi</t>
        </is>
      </c>
      <c r="H113" s="13" t="n"/>
      <c r="I113" s="2" t="inlineStr">
        <is>
          <t>spreadsheet+script</t>
        </is>
      </c>
      <c r="J113" s="2" t="n"/>
      <c r="K113" s="14" t="inlineStr">
        <is>
          <t>yours</t>
        </is>
      </c>
    </row>
    <row r="114">
      <c r="A114" s="2" t="n">
        <v>113</v>
      </c>
      <c r="B114" s="2" t="inlineStr">
        <is>
          <t>true_cost.what_changed.fuel</t>
        </is>
      </c>
      <c r="C114" s="2" t="inlineStr">
        <is>
          <t>alex</t>
        </is>
      </c>
      <c r="D114" s="2" t="inlineStr">
        <is>
          <t>ev</t>
        </is>
      </c>
      <c r="E114" s="2" t="inlineStr">
        <is>
          <t>2026 vs 2025</t>
        </is>
      </c>
      <c r="F114" s="2" t="inlineStr">
        <is>
          <t>GBP</t>
        </is>
      </c>
      <c r="G114" s="2" t="inlineStr">
        <is>
          <t>money/mi</t>
        </is>
      </c>
      <c r="H114" s="13" t="n"/>
      <c r="I114" s="2" t="inlineStr">
        <is>
          <t>spreadsheet</t>
        </is>
      </c>
      <c r="J114" s="2" t="n"/>
      <c r="K114" s="14" t="inlineStr">
        <is>
          <t>yours</t>
        </is>
      </c>
    </row>
    <row r="115">
      <c r="A115" s="2" t="n">
        <v>114</v>
      </c>
      <c r="B115" s="2" t="inlineStr">
        <is>
          <t>true_cost.what_changed.maintenance</t>
        </is>
      </c>
      <c r="C115" s="2" t="inlineStr">
        <is>
          <t>alex</t>
        </is>
      </c>
      <c r="D115" s="2" t="inlineStr">
        <is>
          <t>ev</t>
        </is>
      </c>
      <c r="E115" s="2" t="inlineStr">
        <is>
          <t>2026 vs 2025</t>
        </is>
      </c>
      <c r="F115" s="2" t="inlineStr">
        <is>
          <t>GBP</t>
        </is>
      </c>
      <c r="G115" s="2" t="inlineStr">
        <is>
          <t>money/mi</t>
        </is>
      </c>
      <c r="H115" s="13" t="n"/>
      <c r="I115" s="2" t="inlineStr">
        <is>
          <t>spreadsheet</t>
        </is>
      </c>
      <c r="J115" s="2" t="n"/>
      <c r="K115" s="14" t="inlineStr">
        <is>
          <t>yours</t>
        </is>
      </c>
    </row>
    <row r="116">
      <c r="A116" s="2" t="n">
        <v>115</v>
      </c>
      <c r="B116" s="2" t="inlineStr">
        <is>
          <t>true_cost.what_changed.compliance</t>
        </is>
      </c>
      <c r="C116" s="2" t="inlineStr">
        <is>
          <t>alex</t>
        </is>
      </c>
      <c r="D116" s="2" t="inlineStr">
        <is>
          <t>ev</t>
        </is>
      </c>
      <c r="E116" s="2" t="inlineStr">
        <is>
          <t>2026 vs 2025</t>
        </is>
      </c>
      <c r="F116" s="2" t="inlineStr">
        <is>
          <t>GBP</t>
        </is>
      </c>
      <c r="G116" s="2" t="inlineStr">
        <is>
          <t>money/mi</t>
        </is>
      </c>
      <c r="H116" s="13" t="n"/>
      <c r="I116" s="2" t="inlineStr">
        <is>
          <t>spreadsheet</t>
        </is>
      </c>
      <c r="J116" s="2" t="n"/>
      <c r="K116" s="14" t="inlineStr">
        <is>
          <t>yours</t>
        </is>
      </c>
    </row>
    <row r="117">
      <c r="A117" s="2" t="n">
        <v>116</v>
      </c>
      <c r="B117" s="2" t="inlineStr">
        <is>
          <t>true_cost.what_changed.other</t>
        </is>
      </c>
      <c r="C117" s="2" t="inlineStr">
        <is>
          <t>alex</t>
        </is>
      </c>
      <c r="D117" s="2" t="inlineStr">
        <is>
          <t>ev</t>
        </is>
      </c>
      <c r="E117" s="2" t="inlineStr">
        <is>
          <t>2026 vs 2025</t>
        </is>
      </c>
      <c r="F117" s="2" t="inlineStr">
        <is>
          <t>GBP</t>
        </is>
      </c>
      <c r="G117" s="2" t="inlineStr">
        <is>
          <t>money/mi</t>
        </is>
      </c>
      <c r="H117" s="13" t="n"/>
      <c r="I117" s="2" t="inlineStr">
        <is>
          <t>spreadsheet</t>
        </is>
      </c>
      <c r="J117" s="2" t="n"/>
      <c r="K117" s="14" t="inlineStr">
        <is>
          <t>yours</t>
        </is>
      </c>
    </row>
    <row r="118">
      <c r="A118" s="2" t="n">
        <v>117</v>
      </c>
      <c r="B118" s="2" t="inlineStr">
        <is>
          <t>true_cost.what_changed.depreciation</t>
        </is>
      </c>
      <c r="C118" s="2" t="inlineStr">
        <is>
          <t>alex</t>
        </is>
      </c>
      <c r="D118" s="2" t="inlineStr">
        <is>
          <t>ev</t>
        </is>
      </c>
      <c r="E118" s="2" t="inlineStr">
        <is>
          <t>2026 vs 2025</t>
        </is>
      </c>
      <c r="F118" s="2" t="inlineStr">
        <is>
          <t>GBP</t>
        </is>
      </c>
      <c r="G118" s="2" t="inlineStr">
        <is>
          <t>money/mi</t>
        </is>
      </c>
      <c r="H118" s="13" t="n"/>
      <c r="I118" s="2" t="inlineStr">
        <is>
          <t>spreadsheet+script</t>
        </is>
      </c>
      <c r="J118" s="2" t="n"/>
      <c r="K118" s="14" t="inlineStr">
        <is>
          <t>yours</t>
        </is>
      </c>
    </row>
    <row r="119">
      <c r="A119" s="2" t="n">
        <v>118</v>
      </c>
      <c r="B119" s="2" t="inlineStr">
        <is>
          <t>true_cost.what_changed.total</t>
        </is>
      </c>
      <c r="C119" s="2" t="inlineStr">
        <is>
          <t>alex</t>
        </is>
      </c>
      <c r="D119" s="2" t="inlineStr">
        <is>
          <t>ev</t>
        </is>
      </c>
      <c r="E119" s="2" t="inlineStr">
        <is>
          <t>2026 vs 2025</t>
        </is>
      </c>
      <c r="F119" s="2" t="inlineStr">
        <is>
          <t>GBP</t>
        </is>
      </c>
      <c r="G119" s="2" t="inlineStr">
        <is>
          <t>money/mi</t>
        </is>
      </c>
      <c r="H119" s="13" t="n"/>
      <c r="I119" s="2" t="inlineStr">
        <is>
          <t>spreadsheet+script</t>
        </is>
      </c>
      <c r="J119" s="2" t="n"/>
      <c r="K119" s="14" t="inlineStr">
        <is>
          <t>yours</t>
        </is>
      </c>
    </row>
    <row r="120">
      <c r="A120" s="2" t="n">
        <v>119</v>
      </c>
      <c r="B120" s="2" t="inlineStr">
        <is>
          <t>true_cost.what_changed.total</t>
        </is>
      </c>
      <c r="C120" s="2" t="inlineStr">
        <is>
          <t>alex</t>
        </is>
      </c>
      <c r="D120" s="2" t="inlineStr">
        <is>
          <t>ev</t>
        </is>
      </c>
      <c r="E120" s="2" t="inlineStr">
        <is>
          <t>last_12_months_vs_previous</t>
        </is>
      </c>
      <c r="F120" s="2" t="inlineStr">
        <is>
          <t>GBP</t>
        </is>
      </c>
      <c r="G120" s="2" t="inlineStr">
        <is>
          <t>money/mi</t>
        </is>
      </c>
      <c r="H120" s="13" t="n"/>
      <c r="I120" s="2" t="inlineStr">
        <is>
          <t>spreadsheet+script</t>
        </is>
      </c>
      <c r="J120" s="2" t="n"/>
      <c r="K120" s="14" t="inlineStr">
        <is>
          <t>yours</t>
        </is>
      </c>
    </row>
    <row r="121">
      <c r="A121" s="2" t="n">
        <v>120</v>
      </c>
      <c r="B121" s="2" t="inlineStr">
        <is>
          <t>true_cost.fuel</t>
        </is>
      </c>
      <c r="C121" s="2" t="inlineStr">
        <is>
          <t>alex</t>
        </is>
      </c>
      <c r="D121" s="2" t="inlineStr">
        <is>
          <t>focus</t>
        </is>
      </c>
      <c r="E121" s="2" t="inlineStr">
        <is>
          <t>last_12_months</t>
        </is>
      </c>
      <c r="F121" s="2" t="inlineStr">
        <is>
          <t>GBP</t>
        </is>
      </c>
      <c r="G121" s="2" t="inlineStr">
        <is>
          <t>money</t>
        </is>
      </c>
      <c r="H121" s="13" t="n"/>
      <c r="I121" s="2" t="inlineStr">
        <is>
          <t>spreadsheet</t>
        </is>
      </c>
      <c r="J121" s="2" t="n"/>
      <c r="K121" s="14" t="inlineStr">
        <is>
          <t>yours</t>
        </is>
      </c>
    </row>
    <row r="122">
      <c r="A122" s="2" t="n">
        <v>121</v>
      </c>
      <c r="B122" s="2" t="inlineStr">
        <is>
          <t>true_cost.maintenance</t>
        </is>
      </c>
      <c r="C122" s="2" t="inlineStr">
        <is>
          <t>alex</t>
        </is>
      </c>
      <c r="D122" s="2" t="inlineStr">
        <is>
          <t>focus</t>
        </is>
      </c>
      <c r="E122" s="2" t="inlineStr">
        <is>
          <t>last_12_months</t>
        </is>
      </c>
      <c r="F122" s="2" t="inlineStr">
        <is>
          <t>GBP</t>
        </is>
      </c>
      <c r="G122" s="2" t="inlineStr">
        <is>
          <t>money</t>
        </is>
      </c>
      <c r="H122" s="13" t="n"/>
      <c r="I122" s="2" t="inlineStr">
        <is>
          <t>spreadsheet</t>
        </is>
      </c>
      <c r="J122" s="2" t="n"/>
      <c r="K122" s="14" t="inlineStr">
        <is>
          <t>yours</t>
        </is>
      </c>
    </row>
    <row r="123">
      <c r="A123" s="2" t="n">
        <v>122</v>
      </c>
      <c r="B123" s="2" t="inlineStr">
        <is>
          <t>true_cost.compliance</t>
        </is>
      </c>
      <c r="C123" s="2" t="inlineStr">
        <is>
          <t>alex</t>
        </is>
      </c>
      <c r="D123" s="2" t="inlineStr">
        <is>
          <t>focus</t>
        </is>
      </c>
      <c r="E123" s="2" t="inlineStr">
        <is>
          <t>last_12_months</t>
        </is>
      </c>
      <c r="F123" s="2" t="inlineStr">
        <is>
          <t>GBP</t>
        </is>
      </c>
      <c r="G123" s="2" t="inlineStr">
        <is>
          <t>money</t>
        </is>
      </c>
      <c r="H123" s="13" t="n"/>
      <c r="I123" s="2" t="inlineStr">
        <is>
          <t>spreadsheet</t>
        </is>
      </c>
      <c r="J123" s="2" t="n"/>
      <c r="K123" s="14" t="inlineStr">
        <is>
          <t>yours</t>
        </is>
      </c>
    </row>
    <row r="124">
      <c r="A124" s="2" t="n">
        <v>123</v>
      </c>
      <c r="B124" s="2" t="inlineStr">
        <is>
          <t>true_cost.other</t>
        </is>
      </c>
      <c r="C124" s="2" t="inlineStr">
        <is>
          <t>alex</t>
        </is>
      </c>
      <c r="D124" s="2" t="inlineStr">
        <is>
          <t>focus</t>
        </is>
      </c>
      <c r="E124" s="2" t="inlineStr">
        <is>
          <t>last_12_months</t>
        </is>
      </c>
      <c r="F124" s="2" t="inlineStr">
        <is>
          <t>GBP</t>
        </is>
      </c>
      <c r="G124" s="2" t="inlineStr">
        <is>
          <t>money</t>
        </is>
      </c>
      <c r="H124" s="13" t="n"/>
      <c r="I124" s="2" t="inlineStr">
        <is>
          <t>spreadsheet</t>
        </is>
      </c>
      <c r="J124" s="2" t="n"/>
      <c r="K124" s="14" t="inlineStr">
        <is>
          <t>yours</t>
        </is>
      </c>
    </row>
    <row r="125">
      <c r="A125" s="2" t="n">
        <v>124</v>
      </c>
      <c r="B125" s="2" t="inlineStr">
        <is>
          <t>true_cost.depreciation</t>
        </is>
      </c>
      <c r="C125" s="2" t="inlineStr">
        <is>
          <t>alex</t>
        </is>
      </c>
      <c r="D125" s="2" t="inlineStr">
        <is>
          <t>focus</t>
        </is>
      </c>
      <c r="E125" s="2" t="inlineStr">
        <is>
          <t>last_12_months</t>
        </is>
      </c>
      <c r="F125" s="2" t="inlineStr">
        <is>
          <t>GBP</t>
        </is>
      </c>
      <c r="G125" s="2" t="inlineStr">
        <is>
          <t>money</t>
        </is>
      </c>
      <c r="H125" s="13" t="n"/>
      <c r="I125" s="2" t="inlineStr">
        <is>
          <t>spreadsheet+script</t>
        </is>
      </c>
      <c r="J125" s="2" t="n"/>
      <c r="K125" s="14" t="inlineStr">
        <is>
          <t>yours</t>
        </is>
      </c>
    </row>
    <row r="126">
      <c r="A126" s="2" t="n">
        <v>125</v>
      </c>
      <c r="B126" s="2" t="inlineStr">
        <is>
          <t>true_cost.total</t>
        </is>
      </c>
      <c r="C126" s="2" t="inlineStr">
        <is>
          <t>alex</t>
        </is>
      </c>
      <c r="D126" s="2" t="inlineStr">
        <is>
          <t>focus</t>
        </is>
      </c>
      <c r="E126" s="2" t="inlineStr">
        <is>
          <t>last_12_months</t>
        </is>
      </c>
      <c r="F126" s="2" t="inlineStr">
        <is>
          <t>GBP</t>
        </is>
      </c>
      <c r="G126" s="2" t="inlineStr">
        <is>
          <t>money</t>
        </is>
      </c>
      <c r="H126" s="13" t="n"/>
      <c r="I126" s="2" t="inlineStr">
        <is>
          <t>spreadsheet+script</t>
        </is>
      </c>
      <c r="J126" s="2" t="n"/>
      <c r="K126" s="14" t="inlineStr">
        <is>
          <t>yours</t>
        </is>
      </c>
    </row>
    <row r="127">
      <c r="A127" s="2" t="n">
        <v>126</v>
      </c>
      <c r="B127" s="2" t="inlineStr">
        <is>
          <t>true_cost.payouts</t>
        </is>
      </c>
      <c r="C127" s="2" t="inlineStr">
        <is>
          <t>alex</t>
        </is>
      </c>
      <c r="D127" s="2" t="inlineStr">
        <is>
          <t>focus</t>
        </is>
      </c>
      <c r="E127" s="2" t="inlineStr">
        <is>
          <t>last_12_months</t>
        </is>
      </c>
      <c r="F127" s="2" t="inlineStr">
        <is>
          <t>GBP</t>
        </is>
      </c>
      <c r="G127" s="2" t="inlineStr">
        <is>
          <t>money</t>
        </is>
      </c>
      <c r="H127" s="13" t="n"/>
      <c r="I127" s="2" t="inlineStr">
        <is>
          <t>spreadsheet</t>
        </is>
      </c>
      <c r="J127" s="2" t="n"/>
      <c r="K127" s="14" t="inlineStr">
        <is>
          <t>yours</t>
        </is>
      </c>
    </row>
    <row r="128">
      <c r="A128" s="2" t="n">
        <v>127</v>
      </c>
      <c r="B128" s="2" t="inlineStr">
        <is>
          <t>true_cost.per_distance</t>
        </is>
      </c>
      <c r="C128" s="2" t="inlineStr">
        <is>
          <t>alex</t>
        </is>
      </c>
      <c r="D128" s="2" t="inlineStr">
        <is>
          <t>focus</t>
        </is>
      </c>
      <c r="E128" s="2" t="inlineStr">
        <is>
          <t>last_12_months</t>
        </is>
      </c>
      <c r="F128" s="2" t="inlineStr">
        <is>
          <t>GBP</t>
        </is>
      </c>
      <c r="G128" s="2" t="inlineStr">
        <is>
          <t>money/mi</t>
        </is>
      </c>
      <c r="H128" s="23" t="n"/>
      <c r="I128" s="2" t="inlineStr">
        <is>
          <t>spreadsheet+script</t>
        </is>
      </c>
      <c r="J128" s="2" t="n"/>
      <c r="K128" s="14" t="inlineStr">
        <is>
          <t>yours</t>
        </is>
      </c>
    </row>
    <row r="129">
      <c r="A129" s="2" t="n">
        <v>128</v>
      </c>
      <c r="B129" s="2" t="inlineStr">
        <is>
          <t>true_cost.fuel</t>
        </is>
      </c>
      <c r="C129" s="2" t="inlineStr">
        <is>
          <t>alex</t>
        </is>
      </c>
      <c r="D129" s="2" t="inlineStr">
        <is>
          <t>focus</t>
        </is>
      </c>
      <c r="E129" s="2" t="inlineStr">
        <is>
          <t>2023</t>
        </is>
      </c>
      <c r="F129" s="2" t="inlineStr">
        <is>
          <t>GBP</t>
        </is>
      </c>
      <c r="G129" s="2" t="inlineStr">
        <is>
          <t>money</t>
        </is>
      </c>
      <c r="H129" s="13" t="n"/>
      <c r="I129" s="2" t="inlineStr">
        <is>
          <t>spreadsheet</t>
        </is>
      </c>
      <c r="J129" s="2" t="n"/>
      <c r="K129" s="14" t="inlineStr">
        <is>
          <t>yours</t>
        </is>
      </c>
    </row>
    <row r="130">
      <c r="A130" s="2" t="n">
        <v>129</v>
      </c>
      <c r="B130" s="2" t="inlineStr">
        <is>
          <t>true_cost.maintenance</t>
        </is>
      </c>
      <c r="C130" s="2" t="inlineStr">
        <is>
          <t>alex</t>
        </is>
      </c>
      <c r="D130" s="2" t="inlineStr">
        <is>
          <t>focus</t>
        </is>
      </c>
      <c r="E130" s="2" t="inlineStr">
        <is>
          <t>2023</t>
        </is>
      </c>
      <c r="F130" s="2" t="inlineStr">
        <is>
          <t>GBP</t>
        </is>
      </c>
      <c r="G130" s="2" t="inlineStr">
        <is>
          <t>money</t>
        </is>
      </c>
      <c r="H130" s="13" t="n"/>
      <c r="I130" s="2" t="inlineStr">
        <is>
          <t>spreadsheet</t>
        </is>
      </c>
      <c r="J130" s="2" t="n"/>
      <c r="K130" s="14" t="inlineStr">
        <is>
          <t>yours</t>
        </is>
      </c>
    </row>
    <row r="131">
      <c r="A131" s="2" t="n">
        <v>130</v>
      </c>
      <c r="B131" s="2" t="inlineStr">
        <is>
          <t>true_cost.compliance</t>
        </is>
      </c>
      <c r="C131" s="2" t="inlineStr">
        <is>
          <t>alex</t>
        </is>
      </c>
      <c r="D131" s="2" t="inlineStr">
        <is>
          <t>focus</t>
        </is>
      </c>
      <c r="E131" s="2" t="inlineStr">
        <is>
          <t>2023</t>
        </is>
      </c>
      <c r="F131" s="2" t="inlineStr">
        <is>
          <t>GBP</t>
        </is>
      </c>
      <c r="G131" s="2" t="inlineStr">
        <is>
          <t>money</t>
        </is>
      </c>
      <c r="H131" s="13" t="n"/>
      <c r="I131" s="2" t="inlineStr">
        <is>
          <t>spreadsheet</t>
        </is>
      </c>
      <c r="J131" s="2" t="n"/>
      <c r="K131" s="14" t="inlineStr">
        <is>
          <t>yours</t>
        </is>
      </c>
    </row>
    <row r="132">
      <c r="A132" s="2" t="n">
        <v>131</v>
      </c>
      <c r="B132" s="2" t="inlineStr">
        <is>
          <t>true_cost.other</t>
        </is>
      </c>
      <c r="C132" s="2" t="inlineStr">
        <is>
          <t>alex</t>
        </is>
      </c>
      <c r="D132" s="2" t="inlineStr">
        <is>
          <t>focus</t>
        </is>
      </c>
      <c r="E132" s="2" t="inlineStr">
        <is>
          <t>2023</t>
        </is>
      </c>
      <c r="F132" s="2" t="inlineStr">
        <is>
          <t>GBP</t>
        </is>
      </c>
      <c r="G132" s="2" t="inlineStr">
        <is>
          <t>money</t>
        </is>
      </c>
      <c r="H132" s="13" t="n"/>
      <c r="I132" s="2" t="inlineStr">
        <is>
          <t>spreadsheet</t>
        </is>
      </c>
      <c r="J132" s="2" t="n"/>
      <c r="K132" s="14" t="inlineStr">
        <is>
          <t>yours</t>
        </is>
      </c>
    </row>
    <row r="133">
      <c r="A133" s="2" t="n">
        <v>132</v>
      </c>
      <c r="B133" s="2" t="inlineStr">
        <is>
          <t>true_cost.depreciation</t>
        </is>
      </c>
      <c r="C133" s="2" t="inlineStr">
        <is>
          <t>alex</t>
        </is>
      </c>
      <c r="D133" s="2" t="inlineStr">
        <is>
          <t>focus</t>
        </is>
      </c>
      <c r="E133" s="2" t="inlineStr">
        <is>
          <t>2023</t>
        </is>
      </c>
      <c r="F133" s="2" t="inlineStr">
        <is>
          <t>GBP</t>
        </is>
      </c>
      <c r="G133" s="2" t="inlineStr">
        <is>
          <t>money</t>
        </is>
      </c>
      <c r="H133" s="13" t="n"/>
      <c r="I133" s="2" t="inlineStr">
        <is>
          <t>spreadsheet+script</t>
        </is>
      </c>
      <c r="J133" s="2" t="n"/>
      <c r="K133" s="14" t="inlineStr">
        <is>
          <t>yours</t>
        </is>
      </c>
    </row>
    <row r="134">
      <c r="A134" s="2" t="n">
        <v>133</v>
      </c>
      <c r="B134" s="2" t="inlineStr">
        <is>
          <t>true_cost.total</t>
        </is>
      </c>
      <c r="C134" s="2" t="inlineStr">
        <is>
          <t>alex</t>
        </is>
      </c>
      <c r="D134" s="2" t="inlineStr">
        <is>
          <t>focus</t>
        </is>
      </c>
      <c r="E134" s="2" t="inlineStr">
        <is>
          <t>2023</t>
        </is>
      </c>
      <c r="F134" s="2" t="inlineStr">
        <is>
          <t>GBP</t>
        </is>
      </c>
      <c r="G134" s="2" t="inlineStr">
        <is>
          <t>money</t>
        </is>
      </c>
      <c r="H134" s="13" t="n"/>
      <c r="I134" s="2" t="inlineStr">
        <is>
          <t>spreadsheet+script</t>
        </is>
      </c>
      <c r="J134" s="2" t="n"/>
      <c r="K134" s="14" t="inlineStr">
        <is>
          <t>yours</t>
        </is>
      </c>
    </row>
    <row r="135">
      <c r="A135" s="2" t="n">
        <v>134</v>
      </c>
      <c r="B135" s="2" t="inlineStr">
        <is>
          <t>true_cost.payouts</t>
        </is>
      </c>
      <c r="C135" s="2" t="inlineStr">
        <is>
          <t>alex</t>
        </is>
      </c>
      <c r="D135" s="2" t="inlineStr">
        <is>
          <t>focus</t>
        </is>
      </c>
      <c r="E135" s="2" t="inlineStr">
        <is>
          <t>2023</t>
        </is>
      </c>
      <c r="F135" s="2" t="inlineStr">
        <is>
          <t>GBP</t>
        </is>
      </c>
      <c r="G135" s="2" t="inlineStr">
        <is>
          <t>money</t>
        </is>
      </c>
      <c r="H135" s="13" t="n"/>
      <c r="I135" s="2" t="inlineStr">
        <is>
          <t>spreadsheet</t>
        </is>
      </c>
      <c r="J135" s="2" t="n"/>
      <c r="K135" s="14" t="inlineStr">
        <is>
          <t>yours</t>
        </is>
      </c>
    </row>
    <row r="136">
      <c r="A136" s="2" t="n">
        <v>135</v>
      </c>
      <c r="B136" s="2" t="inlineStr">
        <is>
          <t>true_cost.per_distance</t>
        </is>
      </c>
      <c r="C136" s="2" t="inlineStr">
        <is>
          <t>alex</t>
        </is>
      </c>
      <c r="D136" s="2" t="inlineStr">
        <is>
          <t>focus</t>
        </is>
      </c>
      <c r="E136" s="2" t="inlineStr">
        <is>
          <t>2023</t>
        </is>
      </c>
      <c r="F136" s="2" t="inlineStr">
        <is>
          <t>GBP</t>
        </is>
      </c>
      <c r="G136" s="2" t="inlineStr">
        <is>
          <t>money/mi</t>
        </is>
      </c>
      <c r="H136" s="23" t="n"/>
      <c r="I136" s="2" t="inlineStr">
        <is>
          <t>spreadsheet+script</t>
        </is>
      </c>
      <c r="J136" s="2" t="n"/>
      <c r="K136" s="14" t="inlineStr">
        <is>
          <t>yours</t>
        </is>
      </c>
    </row>
    <row r="137">
      <c r="A137" s="2" t="n">
        <v>136</v>
      </c>
      <c r="B137" s="2" t="inlineStr">
        <is>
          <t>true_cost.fuel</t>
        </is>
      </c>
      <c r="C137" s="2" t="inlineStr">
        <is>
          <t>alex</t>
        </is>
      </c>
      <c r="D137" s="2" t="inlineStr">
        <is>
          <t>focus</t>
        </is>
      </c>
      <c r="E137" s="2" t="inlineStr">
        <is>
          <t>2024</t>
        </is>
      </c>
      <c r="F137" s="2" t="inlineStr">
        <is>
          <t>GBP</t>
        </is>
      </c>
      <c r="G137" s="2" t="inlineStr">
        <is>
          <t>money</t>
        </is>
      </c>
      <c r="H137" s="13" t="n"/>
      <c r="I137" s="2" t="inlineStr">
        <is>
          <t>spreadsheet</t>
        </is>
      </c>
      <c r="J137" s="2" t="n"/>
      <c r="K137" s="14" t="inlineStr">
        <is>
          <t>yours</t>
        </is>
      </c>
    </row>
    <row r="138">
      <c r="A138" s="2" t="n">
        <v>137</v>
      </c>
      <c r="B138" s="2" t="inlineStr">
        <is>
          <t>true_cost.maintenance</t>
        </is>
      </c>
      <c r="C138" s="2" t="inlineStr">
        <is>
          <t>alex</t>
        </is>
      </c>
      <c r="D138" s="2" t="inlineStr">
        <is>
          <t>focus</t>
        </is>
      </c>
      <c r="E138" s="2" t="inlineStr">
        <is>
          <t>2024</t>
        </is>
      </c>
      <c r="F138" s="2" t="inlineStr">
        <is>
          <t>GBP</t>
        </is>
      </c>
      <c r="G138" s="2" t="inlineStr">
        <is>
          <t>money</t>
        </is>
      </c>
      <c r="H138" s="13" t="n"/>
      <c r="I138" s="2" t="inlineStr">
        <is>
          <t>spreadsheet</t>
        </is>
      </c>
      <c r="J138" s="2" t="n"/>
      <c r="K138" s="14" t="inlineStr">
        <is>
          <t>yours</t>
        </is>
      </c>
    </row>
    <row r="139">
      <c r="A139" s="2" t="n">
        <v>138</v>
      </c>
      <c r="B139" s="2" t="inlineStr">
        <is>
          <t>true_cost.compliance</t>
        </is>
      </c>
      <c r="C139" s="2" t="inlineStr">
        <is>
          <t>alex</t>
        </is>
      </c>
      <c r="D139" s="2" t="inlineStr">
        <is>
          <t>focus</t>
        </is>
      </c>
      <c r="E139" s="2" t="inlineStr">
        <is>
          <t>2024</t>
        </is>
      </c>
      <c r="F139" s="2" t="inlineStr">
        <is>
          <t>GBP</t>
        </is>
      </c>
      <c r="G139" s="2" t="inlineStr">
        <is>
          <t>money</t>
        </is>
      </c>
      <c r="H139" s="13" t="n"/>
      <c r="I139" s="2" t="inlineStr">
        <is>
          <t>spreadsheet</t>
        </is>
      </c>
      <c r="J139" s="2" t="n"/>
      <c r="K139" s="14" t="inlineStr">
        <is>
          <t>yours</t>
        </is>
      </c>
    </row>
    <row r="140">
      <c r="A140" s="2" t="n">
        <v>139</v>
      </c>
      <c r="B140" s="2" t="inlineStr">
        <is>
          <t>true_cost.other</t>
        </is>
      </c>
      <c r="C140" s="2" t="inlineStr">
        <is>
          <t>alex</t>
        </is>
      </c>
      <c r="D140" s="2" t="inlineStr">
        <is>
          <t>focus</t>
        </is>
      </c>
      <c r="E140" s="2" t="inlineStr">
        <is>
          <t>2024</t>
        </is>
      </c>
      <c r="F140" s="2" t="inlineStr">
        <is>
          <t>GBP</t>
        </is>
      </c>
      <c r="G140" s="2" t="inlineStr">
        <is>
          <t>money</t>
        </is>
      </c>
      <c r="H140" s="13" t="n"/>
      <c r="I140" s="2" t="inlineStr">
        <is>
          <t>spreadsheet</t>
        </is>
      </c>
      <c r="J140" s="2" t="n"/>
      <c r="K140" s="14" t="inlineStr">
        <is>
          <t>yours</t>
        </is>
      </c>
    </row>
    <row r="141">
      <c r="A141" s="2" t="n">
        <v>140</v>
      </c>
      <c r="B141" s="2" t="inlineStr">
        <is>
          <t>true_cost.depreciation</t>
        </is>
      </c>
      <c r="C141" s="2" t="inlineStr">
        <is>
          <t>alex</t>
        </is>
      </c>
      <c r="D141" s="2" t="inlineStr">
        <is>
          <t>focus</t>
        </is>
      </c>
      <c r="E141" s="2" t="inlineStr">
        <is>
          <t>2024</t>
        </is>
      </c>
      <c r="F141" s="2" t="inlineStr">
        <is>
          <t>GBP</t>
        </is>
      </c>
      <c r="G141" s="2" t="inlineStr">
        <is>
          <t>money</t>
        </is>
      </c>
      <c r="H141" s="13" t="n"/>
      <c r="I141" s="2" t="inlineStr">
        <is>
          <t>spreadsheet+script</t>
        </is>
      </c>
      <c r="J141" s="2" t="n"/>
      <c r="K141" s="14" t="inlineStr">
        <is>
          <t>yours</t>
        </is>
      </c>
    </row>
    <row r="142">
      <c r="A142" s="2" t="n">
        <v>141</v>
      </c>
      <c r="B142" s="2" t="inlineStr">
        <is>
          <t>true_cost.total</t>
        </is>
      </c>
      <c r="C142" s="2" t="inlineStr">
        <is>
          <t>alex</t>
        </is>
      </c>
      <c r="D142" s="2" t="inlineStr">
        <is>
          <t>focus</t>
        </is>
      </c>
      <c r="E142" s="2" t="inlineStr">
        <is>
          <t>2024</t>
        </is>
      </c>
      <c r="F142" s="2" t="inlineStr">
        <is>
          <t>GBP</t>
        </is>
      </c>
      <c r="G142" s="2" t="inlineStr">
        <is>
          <t>money</t>
        </is>
      </c>
      <c r="H142" s="13" t="n"/>
      <c r="I142" s="2" t="inlineStr">
        <is>
          <t>spreadsheet+script</t>
        </is>
      </c>
      <c r="J142" s="2" t="n"/>
      <c r="K142" s="14" t="inlineStr">
        <is>
          <t>yours</t>
        </is>
      </c>
    </row>
    <row r="143">
      <c r="A143" s="2" t="n">
        <v>142</v>
      </c>
      <c r="B143" s="2" t="inlineStr">
        <is>
          <t>true_cost.payouts</t>
        </is>
      </c>
      <c r="C143" s="2" t="inlineStr">
        <is>
          <t>alex</t>
        </is>
      </c>
      <c r="D143" s="2" t="inlineStr">
        <is>
          <t>focus</t>
        </is>
      </c>
      <c r="E143" s="2" t="inlineStr">
        <is>
          <t>2024</t>
        </is>
      </c>
      <c r="F143" s="2" t="inlineStr">
        <is>
          <t>GBP</t>
        </is>
      </c>
      <c r="G143" s="2" t="inlineStr">
        <is>
          <t>money</t>
        </is>
      </c>
      <c r="H143" s="13" t="n"/>
      <c r="I143" s="2" t="inlineStr">
        <is>
          <t>spreadsheet</t>
        </is>
      </c>
      <c r="J143" s="2" t="n"/>
      <c r="K143" s="14" t="inlineStr">
        <is>
          <t>yours</t>
        </is>
      </c>
    </row>
    <row r="144">
      <c r="A144" s="2" t="n">
        <v>143</v>
      </c>
      <c r="B144" s="2" t="inlineStr">
        <is>
          <t>true_cost.per_distance</t>
        </is>
      </c>
      <c r="C144" s="2" t="inlineStr">
        <is>
          <t>alex</t>
        </is>
      </c>
      <c r="D144" s="2" t="inlineStr">
        <is>
          <t>focus</t>
        </is>
      </c>
      <c r="E144" s="2" t="inlineStr">
        <is>
          <t>2024</t>
        </is>
      </c>
      <c r="F144" s="2" t="inlineStr">
        <is>
          <t>GBP</t>
        </is>
      </c>
      <c r="G144" s="2" t="inlineStr">
        <is>
          <t>money/mi</t>
        </is>
      </c>
      <c r="H144" s="23" t="n"/>
      <c r="I144" s="2" t="inlineStr">
        <is>
          <t>spreadsheet+script</t>
        </is>
      </c>
      <c r="J144" s="2" t="n"/>
      <c r="K144" s="14" t="inlineStr">
        <is>
          <t>yours</t>
        </is>
      </c>
    </row>
    <row r="145">
      <c r="A145" s="2" t="n">
        <v>144</v>
      </c>
      <c r="B145" s="2" t="inlineStr">
        <is>
          <t>true_cost.fuel</t>
        </is>
      </c>
      <c r="C145" s="2" t="inlineStr">
        <is>
          <t>alex</t>
        </is>
      </c>
      <c r="D145" s="2" t="inlineStr">
        <is>
          <t>focus</t>
        </is>
      </c>
      <c r="E145" s="2" t="inlineStr">
        <is>
          <t>2025</t>
        </is>
      </c>
      <c r="F145" s="2" t="inlineStr">
        <is>
          <t>GBP</t>
        </is>
      </c>
      <c r="G145" s="2" t="inlineStr">
        <is>
          <t>money</t>
        </is>
      </c>
      <c r="H145" s="13" t="n"/>
      <c r="I145" s="2" t="inlineStr">
        <is>
          <t>spreadsheet</t>
        </is>
      </c>
      <c r="J145" s="2" t="n"/>
      <c r="K145" s="14" t="inlineStr">
        <is>
          <t>yours</t>
        </is>
      </c>
    </row>
    <row r="146">
      <c r="A146" s="2" t="n">
        <v>145</v>
      </c>
      <c r="B146" s="2" t="inlineStr">
        <is>
          <t>true_cost.maintenance</t>
        </is>
      </c>
      <c r="C146" s="2" t="inlineStr">
        <is>
          <t>alex</t>
        </is>
      </c>
      <c r="D146" s="2" t="inlineStr">
        <is>
          <t>focus</t>
        </is>
      </c>
      <c r="E146" s="2" t="inlineStr">
        <is>
          <t>2025</t>
        </is>
      </c>
      <c r="F146" s="2" t="inlineStr">
        <is>
          <t>GBP</t>
        </is>
      </c>
      <c r="G146" s="2" t="inlineStr">
        <is>
          <t>money</t>
        </is>
      </c>
      <c r="H146" s="13" t="n"/>
      <c r="I146" s="2" t="inlineStr">
        <is>
          <t>spreadsheet</t>
        </is>
      </c>
      <c r="J146" s="2" t="n"/>
      <c r="K146" s="14" t="inlineStr">
        <is>
          <t>yours</t>
        </is>
      </c>
    </row>
    <row r="147">
      <c r="A147" s="2" t="n">
        <v>146</v>
      </c>
      <c r="B147" s="2" t="inlineStr">
        <is>
          <t>true_cost.compliance</t>
        </is>
      </c>
      <c r="C147" s="2" t="inlineStr">
        <is>
          <t>alex</t>
        </is>
      </c>
      <c r="D147" s="2" t="inlineStr">
        <is>
          <t>focus</t>
        </is>
      </c>
      <c r="E147" s="2" t="inlineStr">
        <is>
          <t>2025</t>
        </is>
      </c>
      <c r="F147" s="2" t="inlineStr">
        <is>
          <t>GBP</t>
        </is>
      </c>
      <c r="G147" s="2" t="inlineStr">
        <is>
          <t>money</t>
        </is>
      </c>
      <c r="H147" s="13" t="n"/>
      <c r="I147" s="2" t="inlineStr">
        <is>
          <t>spreadsheet</t>
        </is>
      </c>
      <c r="J147" s="2" t="n"/>
      <c r="K147" s="14" t="inlineStr">
        <is>
          <t>yours</t>
        </is>
      </c>
    </row>
    <row r="148">
      <c r="A148" s="2" t="n">
        <v>147</v>
      </c>
      <c r="B148" s="2" t="inlineStr">
        <is>
          <t>true_cost.other</t>
        </is>
      </c>
      <c r="C148" s="2" t="inlineStr">
        <is>
          <t>alex</t>
        </is>
      </c>
      <c r="D148" s="2" t="inlineStr">
        <is>
          <t>focus</t>
        </is>
      </c>
      <c r="E148" s="2" t="inlineStr">
        <is>
          <t>2025</t>
        </is>
      </c>
      <c r="F148" s="2" t="inlineStr">
        <is>
          <t>GBP</t>
        </is>
      </c>
      <c r="G148" s="2" t="inlineStr">
        <is>
          <t>money</t>
        </is>
      </c>
      <c r="H148" s="13" t="n"/>
      <c r="I148" s="2" t="inlineStr">
        <is>
          <t>spreadsheet</t>
        </is>
      </c>
      <c r="J148" s="2" t="n"/>
      <c r="K148" s="14" t="inlineStr">
        <is>
          <t>yours</t>
        </is>
      </c>
    </row>
    <row r="149">
      <c r="A149" s="2" t="n">
        <v>148</v>
      </c>
      <c r="B149" s="2" t="inlineStr">
        <is>
          <t>true_cost.depreciation</t>
        </is>
      </c>
      <c r="C149" s="2" t="inlineStr">
        <is>
          <t>alex</t>
        </is>
      </c>
      <c r="D149" s="2" t="inlineStr">
        <is>
          <t>focus</t>
        </is>
      </c>
      <c r="E149" s="2" t="inlineStr">
        <is>
          <t>2025</t>
        </is>
      </c>
      <c r="F149" s="2" t="inlineStr">
        <is>
          <t>GBP</t>
        </is>
      </c>
      <c r="G149" s="2" t="inlineStr">
        <is>
          <t>money</t>
        </is>
      </c>
      <c r="H149" s="13" t="n"/>
      <c r="I149" s="2" t="inlineStr">
        <is>
          <t>spreadsheet+script</t>
        </is>
      </c>
      <c r="J149" s="2" t="n"/>
      <c r="K149" s="14" t="inlineStr">
        <is>
          <t>yours</t>
        </is>
      </c>
    </row>
    <row r="150">
      <c r="A150" s="2" t="n">
        <v>149</v>
      </c>
      <c r="B150" s="2" t="inlineStr">
        <is>
          <t>true_cost.total</t>
        </is>
      </c>
      <c r="C150" s="2" t="inlineStr">
        <is>
          <t>alex</t>
        </is>
      </c>
      <c r="D150" s="2" t="inlineStr">
        <is>
          <t>focus</t>
        </is>
      </c>
      <c r="E150" s="2" t="inlineStr">
        <is>
          <t>2025</t>
        </is>
      </c>
      <c r="F150" s="2" t="inlineStr">
        <is>
          <t>GBP</t>
        </is>
      </c>
      <c r="G150" s="2" t="inlineStr">
        <is>
          <t>money</t>
        </is>
      </c>
      <c r="H150" s="13" t="n"/>
      <c r="I150" s="2" t="inlineStr">
        <is>
          <t>spreadsheet+script</t>
        </is>
      </c>
      <c r="J150" s="2" t="n"/>
      <c r="K150" s="14" t="inlineStr">
        <is>
          <t>yours</t>
        </is>
      </c>
    </row>
    <row r="151">
      <c r="A151" s="2" t="n">
        <v>150</v>
      </c>
      <c r="B151" s="2" t="inlineStr">
        <is>
          <t>true_cost.payouts</t>
        </is>
      </c>
      <c r="C151" s="2" t="inlineStr">
        <is>
          <t>alex</t>
        </is>
      </c>
      <c r="D151" s="2" t="inlineStr">
        <is>
          <t>focus</t>
        </is>
      </c>
      <c r="E151" s="2" t="inlineStr">
        <is>
          <t>2025</t>
        </is>
      </c>
      <c r="F151" s="2" t="inlineStr">
        <is>
          <t>GBP</t>
        </is>
      </c>
      <c r="G151" s="2" t="inlineStr">
        <is>
          <t>money</t>
        </is>
      </c>
      <c r="H151" s="13" t="n"/>
      <c r="I151" s="2" t="inlineStr">
        <is>
          <t>spreadsheet</t>
        </is>
      </c>
      <c r="J151" s="2" t="n"/>
      <c r="K151" s="14" t="inlineStr">
        <is>
          <t>yours</t>
        </is>
      </c>
    </row>
    <row r="152">
      <c r="A152" s="2" t="n">
        <v>151</v>
      </c>
      <c r="B152" s="2" t="inlineStr">
        <is>
          <t>true_cost.per_distance</t>
        </is>
      </c>
      <c r="C152" s="2" t="inlineStr">
        <is>
          <t>alex</t>
        </is>
      </c>
      <c r="D152" s="2" t="inlineStr">
        <is>
          <t>focus</t>
        </is>
      </c>
      <c r="E152" s="2" t="inlineStr">
        <is>
          <t>2025</t>
        </is>
      </c>
      <c r="F152" s="2" t="inlineStr">
        <is>
          <t>GBP</t>
        </is>
      </c>
      <c r="G152" s="2" t="inlineStr">
        <is>
          <t>money/mi</t>
        </is>
      </c>
      <c r="H152" s="23" t="n"/>
      <c r="I152" s="2" t="inlineStr">
        <is>
          <t>spreadsheet+script</t>
        </is>
      </c>
      <c r="J152" s="2" t="n"/>
      <c r="K152" s="14" t="inlineStr">
        <is>
          <t>yours</t>
        </is>
      </c>
    </row>
    <row r="153">
      <c r="A153" s="2" t="n">
        <v>152</v>
      </c>
      <c r="B153" s="2" t="inlineStr">
        <is>
          <t>true_cost.fuel</t>
        </is>
      </c>
      <c r="C153" s="2" t="inlineStr">
        <is>
          <t>alex</t>
        </is>
      </c>
      <c r="D153" s="2" t="inlineStr">
        <is>
          <t>focus</t>
        </is>
      </c>
      <c r="E153" s="2" t="inlineStr">
        <is>
          <t>2026</t>
        </is>
      </c>
      <c r="F153" s="2" t="inlineStr">
        <is>
          <t>GBP</t>
        </is>
      </c>
      <c r="G153" s="2" t="inlineStr">
        <is>
          <t>money</t>
        </is>
      </c>
      <c r="H153" s="13" t="n"/>
      <c r="I153" s="2" t="inlineStr">
        <is>
          <t>spreadsheet</t>
        </is>
      </c>
      <c r="J153" s="2" t="n"/>
      <c r="K153" s="14" t="inlineStr">
        <is>
          <t>yours</t>
        </is>
      </c>
    </row>
    <row r="154">
      <c r="A154" s="2" t="n">
        <v>153</v>
      </c>
      <c r="B154" s="2" t="inlineStr">
        <is>
          <t>true_cost.maintenance</t>
        </is>
      </c>
      <c r="C154" s="2" t="inlineStr">
        <is>
          <t>alex</t>
        </is>
      </c>
      <c r="D154" s="2" t="inlineStr">
        <is>
          <t>focus</t>
        </is>
      </c>
      <c r="E154" s="2" t="inlineStr">
        <is>
          <t>2026</t>
        </is>
      </c>
      <c r="F154" s="2" t="inlineStr">
        <is>
          <t>GBP</t>
        </is>
      </c>
      <c r="G154" s="2" t="inlineStr">
        <is>
          <t>money</t>
        </is>
      </c>
      <c r="H154" s="13" t="n"/>
      <c r="I154" s="2" t="inlineStr">
        <is>
          <t>spreadsheet</t>
        </is>
      </c>
      <c r="J154" s="2" t="n"/>
      <c r="K154" s="14" t="inlineStr">
        <is>
          <t>yours</t>
        </is>
      </c>
    </row>
    <row r="155">
      <c r="A155" s="2" t="n">
        <v>154</v>
      </c>
      <c r="B155" s="2" t="inlineStr">
        <is>
          <t>true_cost.compliance</t>
        </is>
      </c>
      <c r="C155" s="2" t="inlineStr">
        <is>
          <t>alex</t>
        </is>
      </c>
      <c r="D155" s="2" t="inlineStr">
        <is>
          <t>focus</t>
        </is>
      </c>
      <c r="E155" s="2" t="inlineStr">
        <is>
          <t>2026</t>
        </is>
      </c>
      <c r="F155" s="2" t="inlineStr">
        <is>
          <t>GBP</t>
        </is>
      </c>
      <c r="G155" s="2" t="inlineStr">
        <is>
          <t>money</t>
        </is>
      </c>
      <c r="H155" s="13" t="n"/>
      <c r="I155" s="2" t="inlineStr">
        <is>
          <t>spreadsheet</t>
        </is>
      </c>
      <c r="J155" s="2" t="n"/>
      <c r="K155" s="14" t="inlineStr">
        <is>
          <t>yours</t>
        </is>
      </c>
    </row>
    <row r="156">
      <c r="A156" s="2" t="n">
        <v>155</v>
      </c>
      <c r="B156" s="2" t="inlineStr">
        <is>
          <t>true_cost.other</t>
        </is>
      </c>
      <c r="C156" s="2" t="inlineStr">
        <is>
          <t>alex</t>
        </is>
      </c>
      <c r="D156" s="2" t="inlineStr">
        <is>
          <t>focus</t>
        </is>
      </c>
      <c r="E156" s="2" t="inlineStr">
        <is>
          <t>2026</t>
        </is>
      </c>
      <c r="F156" s="2" t="inlineStr">
        <is>
          <t>GBP</t>
        </is>
      </c>
      <c r="G156" s="2" t="inlineStr">
        <is>
          <t>money</t>
        </is>
      </c>
      <c r="H156" s="13" t="n"/>
      <c r="I156" s="2" t="inlineStr">
        <is>
          <t>spreadsheet</t>
        </is>
      </c>
      <c r="J156" s="2" t="n"/>
      <c r="K156" s="14" t="inlineStr">
        <is>
          <t>yours</t>
        </is>
      </c>
    </row>
    <row r="157">
      <c r="A157" s="2" t="n">
        <v>156</v>
      </c>
      <c r="B157" s="2" t="inlineStr">
        <is>
          <t>true_cost.depreciation</t>
        </is>
      </c>
      <c r="C157" s="2" t="inlineStr">
        <is>
          <t>alex</t>
        </is>
      </c>
      <c r="D157" s="2" t="inlineStr">
        <is>
          <t>focus</t>
        </is>
      </c>
      <c r="E157" s="2" t="inlineStr">
        <is>
          <t>2026</t>
        </is>
      </c>
      <c r="F157" s="2" t="inlineStr">
        <is>
          <t>GBP</t>
        </is>
      </c>
      <c r="G157" s="2" t="inlineStr">
        <is>
          <t>money</t>
        </is>
      </c>
      <c r="H157" s="13" t="n"/>
      <c r="I157" s="2" t="inlineStr">
        <is>
          <t>spreadsheet+script</t>
        </is>
      </c>
      <c r="J157" s="2" t="n"/>
      <c r="K157" s="14" t="inlineStr">
        <is>
          <t>yours</t>
        </is>
      </c>
    </row>
    <row r="158">
      <c r="A158" s="2" t="n">
        <v>157</v>
      </c>
      <c r="B158" s="2" t="inlineStr">
        <is>
          <t>true_cost.total</t>
        </is>
      </c>
      <c r="C158" s="2" t="inlineStr">
        <is>
          <t>alex</t>
        </is>
      </c>
      <c r="D158" s="2" t="inlineStr">
        <is>
          <t>focus</t>
        </is>
      </c>
      <c r="E158" s="2" t="inlineStr">
        <is>
          <t>2026</t>
        </is>
      </c>
      <c r="F158" s="2" t="inlineStr">
        <is>
          <t>GBP</t>
        </is>
      </c>
      <c r="G158" s="2" t="inlineStr">
        <is>
          <t>money</t>
        </is>
      </c>
      <c r="H158" s="13" t="n"/>
      <c r="I158" s="2" t="inlineStr">
        <is>
          <t>spreadsheet+script</t>
        </is>
      </c>
      <c r="J158" s="2" t="n"/>
      <c r="K158" s="14" t="inlineStr">
        <is>
          <t>yours</t>
        </is>
      </c>
    </row>
    <row r="159">
      <c r="A159" s="2" t="n">
        <v>158</v>
      </c>
      <c r="B159" s="2" t="inlineStr">
        <is>
          <t>true_cost.payouts</t>
        </is>
      </c>
      <c r="C159" s="2" t="inlineStr">
        <is>
          <t>alex</t>
        </is>
      </c>
      <c r="D159" s="2" t="inlineStr">
        <is>
          <t>focus</t>
        </is>
      </c>
      <c r="E159" s="2" t="inlineStr">
        <is>
          <t>2026</t>
        </is>
      </c>
      <c r="F159" s="2" t="inlineStr">
        <is>
          <t>GBP</t>
        </is>
      </c>
      <c r="G159" s="2" t="inlineStr">
        <is>
          <t>money</t>
        </is>
      </c>
      <c r="H159" s="13" t="n"/>
      <c r="I159" s="2" t="inlineStr">
        <is>
          <t>spreadsheet</t>
        </is>
      </c>
      <c r="J159" s="2" t="n"/>
      <c r="K159" s="14" t="inlineStr">
        <is>
          <t>yours</t>
        </is>
      </c>
    </row>
    <row r="160">
      <c r="A160" s="2" t="n">
        <v>159</v>
      </c>
      <c r="B160" s="2" t="inlineStr">
        <is>
          <t>true_cost.per_distance</t>
        </is>
      </c>
      <c r="C160" s="2" t="inlineStr">
        <is>
          <t>alex</t>
        </is>
      </c>
      <c r="D160" s="2" t="inlineStr">
        <is>
          <t>focus</t>
        </is>
      </c>
      <c r="E160" s="2" t="inlineStr">
        <is>
          <t>2026</t>
        </is>
      </c>
      <c r="F160" s="2" t="inlineStr">
        <is>
          <t>GBP</t>
        </is>
      </c>
      <c r="G160" s="2" t="inlineStr">
        <is>
          <t>money/mi</t>
        </is>
      </c>
      <c r="H160" s="23" t="n"/>
      <c r="I160" s="2" t="inlineStr">
        <is>
          <t>spreadsheet+script</t>
        </is>
      </c>
      <c r="J160" s="2" t="n"/>
      <c r="K160" s="14" t="inlineStr">
        <is>
          <t>yours</t>
        </is>
      </c>
    </row>
    <row r="161">
      <c r="A161" s="2" t="n">
        <v>160</v>
      </c>
      <c r="B161" s="2" t="inlineStr">
        <is>
          <t>true_cost.what_changed.fuel</t>
        </is>
      </c>
      <c r="C161" s="2" t="inlineStr">
        <is>
          <t>alex</t>
        </is>
      </c>
      <c r="D161" s="2" t="inlineStr">
        <is>
          <t>focus</t>
        </is>
      </c>
      <c r="E161" s="2" t="inlineStr">
        <is>
          <t>2024 vs 2023</t>
        </is>
      </c>
      <c r="F161" s="2" t="inlineStr">
        <is>
          <t>GBP</t>
        </is>
      </c>
      <c r="G161" s="2" t="inlineStr">
        <is>
          <t>money/mi</t>
        </is>
      </c>
      <c r="H161" s="13" t="n"/>
      <c r="I161" s="2" t="inlineStr">
        <is>
          <t>spreadsheet</t>
        </is>
      </c>
      <c r="J161" s="2" t="n"/>
      <c r="K161" s="14" t="inlineStr">
        <is>
          <t>yours</t>
        </is>
      </c>
    </row>
    <row r="162">
      <c r="A162" s="2" t="n">
        <v>161</v>
      </c>
      <c r="B162" s="2" t="inlineStr">
        <is>
          <t>true_cost.what_changed.maintenance</t>
        </is>
      </c>
      <c r="C162" s="2" t="inlineStr">
        <is>
          <t>alex</t>
        </is>
      </c>
      <c r="D162" s="2" t="inlineStr">
        <is>
          <t>focus</t>
        </is>
      </c>
      <c r="E162" s="2" t="inlineStr">
        <is>
          <t>2024 vs 2023</t>
        </is>
      </c>
      <c r="F162" s="2" t="inlineStr">
        <is>
          <t>GBP</t>
        </is>
      </c>
      <c r="G162" s="2" t="inlineStr">
        <is>
          <t>money/mi</t>
        </is>
      </c>
      <c r="H162" s="13" t="n"/>
      <c r="I162" s="2" t="inlineStr">
        <is>
          <t>spreadsheet</t>
        </is>
      </c>
      <c r="J162" s="2" t="n"/>
      <c r="K162" s="14" t="inlineStr">
        <is>
          <t>yours</t>
        </is>
      </c>
    </row>
    <row r="163">
      <c r="A163" s="2" t="n">
        <v>162</v>
      </c>
      <c r="B163" s="2" t="inlineStr">
        <is>
          <t>true_cost.what_changed.compliance</t>
        </is>
      </c>
      <c r="C163" s="2" t="inlineStr">
        <is>
          <t>alex</t>
        </is>
      </c>
      <c r="D163" s="2" t="inlineStr">
        <is>
          <t>focus</t>
        </is>
      </c>
      <c r="E163" s="2" t="inlineStr">
        <is>
          <t>2024 vs 2023</t>
        </is>
      </c>
      <c r="F163" s="2" t="inlineStr">
        <is>
          <t>GBP</t>
        </is>
      </c>
      <c r="G163" s="2" t="inlineStr">
        <is>
          <t>money/mi</t>
        </is>
      </c>
      <c r="H163" s="13" t="n"/>
      <c r="I163" s="2" t="inlineStr">
        <is>
          <t>spreadsheet</t>
        </is>
      </c>
      <c r="J163" s="2" t="n"/>
      <c r="K163" s="14" t="inlineStr">
        <is>
          <t>yours</t>
        </is>
      </c>
    </row>
    <row r="164">
      <c r="A164" s="2" t="n">
        <v>163</v>
      </c>
      <c r="B164" s="2" t="inlineStr">
        <is>
          <t>true_cost.what_changed.other</t>
        </is>
      </c>
      <c r="C164" s="2" t="inlineStr">
        <is>
          <t>alex</t>
        </is>
      </c>
      <c r="D164" s="2" t="inlineStr">
        <is>
          <t>focus</t>
        </is>
      </c>
      <c r="E164" s="2" t="inlineStr">
        <is>
          <t>2024 vs 2023</t>
        </is>
      </c>
      <c r="F164" s="2" t="inlineStr">
        <is>
          <t>GBP</t>
        </is>
      </c>
      <c r="G164" s="2" t="inlineStr">
        <is>
          <t>money/mi</t>
        </is>
      </c>
      <c r="H164" s="13" t="n"/>
      <c r="I164" s="2" t="inlineStr">
        <is>
          <t>spreadsheet</t>
        </is>
      </c>
      <c r="J164" s="2" t="n"/>
      <c r="K164" s="14" t="inlineStr">
        <is>
          <t>yours</t>
        </is>
      </c>
    </row>
    <row r="165">
      <c r="A165" s="2" t="n">
        <v>164</v>
      </c>
      <c r="B165" s="2" t="inlineStr">
        <is>
          <t>true_cost.what_changed.depreciation</t>
        </is>
      </c>
      <c r="C165" s="2" t="inlineStr">
        <is>
          <t>alex</t>
        </is>
      </c>
      <c r="D165" s="2" t="inlineStr">
        <is>
          <t>focus</t>
        </is>
      </c>
      <c r="E165" s="2" t="inlineStr">
        <is>
          <t>2024 vs 2023</t>
        </is>
      </c>
      <c r="F165" s="2" t="inlineStr">
        <is>
          <t>GBP</t>
        </is>
      </c>
      <c r="G165" s="2" t="inlineStr">
        <is>
          <t>money/mi</t>
        </is>
      </c>
      <c r="H165" s="13" t="n"/>
      <c r="I165" s="2" t="inlineStr">
        <is>
          <t>spreadsheet+script</t>
        </is>
      </c>
      <c r="J165" s="2" t="n"/>
      <c r="K165" s="14" t="inlineStr">
        <is>
          <t>yours</t>
        </is>
      </c>
    </row>
    <row r="166">
      <c r="A166" s="2" t="n">
        <v>165</v>
      </c>
      <c r="B166" s="2" t="inlineStr">
        <is>
          <t>true_cost.what_changed.total</t>
        </is>
      </c>
      <c r="C166" s="2" t="inlineStr">
        <is>
          <t>alex</t>
        </is>
      </c>
      <c r="D166" s="2" t="inlineStr">
        <is>
          <t>focus</t>
        </is>
      </c>
      <c r="E166" s="2" t="inlineStr">
        <is>
          <t>2024 vs 2023</t>
        </is>
      </c>
      <c r="F166" s="2" t="inlineStr">
        <is>
          <t>GBP</t>
        </is>
      </c>
      <c r="G166" s="2" t="inlineStr">
        <is>
          <t>money/mi</t>
        </is>
      </c>
      <c r="H166" s="13" t="n"/>
      <c r="I166" s="2" t="inlineStr">
        <is>
          <t>spreadsheet+script</t>
        </is>
      </c>
      <c r="J166" s="2" t="n"/>
      <c r="K166" s="14" t="inlineStr">
        <is>
          <t>yours</t>
        </is>
      </c>
    </row>
    <row r="167">
      <c r="A167" s="2" t="n">
        <v>166</v>
      </c>
      <c r="B167" s="2" t="inlineStr">
        <is>
          <t>true_cost.what_changed.fuel</t>
        </is>
      </c>
      <c r="C167" s="2" t="inlineStr">
        <is>
          <t>alex</t>
        </is>
      </c>
      <c r="D167" s="2" t="inlineStr">
        <is>
          <t>focus</t>
        </is>
      </c>
      <c r="E167" s="2" t="inlineStr">
        <is>
          <t>2025 vs 2024</t>
        </is>
      </c>
      <c r="F167" s="2" t="inlineStr">
        <is>
          <t>GBP</t>
        </is>
      </c>
      <c r="G167" s="2" t="inlineStr">
        <is>
          <t>money/mi</t>
        </is>
      </c>
      <c r="H167" s="13" t="n"/>
      <c r="I167" s="2" t="inlineStr">
        <is>
          <t>spreadsheet</t>
        </is>
      </c>
      <c r="J167" s="2" t="n"/>
      <c r="K167" s="14" t="inlineStr">
        <is>
          <t>yours</t>
        </is>
      </c>
    </row>
    <row r="168">
      <c r="A168" s="2" t="n">
        <v>167</v>
      </c>
      <c r="B168" s="2" t="inlineStr">
        <is>
          <t>true_cost.what_changed.maintenance</t>
        </is>
      </c>
      <c r="C168" s="2" t="inlineStr">
        <is>
          <t>alex</t>
        </is>
      </c>
      <c r="D168" s="2" t="inlineStr">
        <is>
          <t>focus</t>
        </is>
      </c>
      <c r="E168" s="2" t="inlineStr">
        <is>
          <t>2025 vs 2024</t>
        </is>
      </c>
      <c r="F168" s="2" t="inlineStr">
        <is>
          <t>GBP</t>
        </is>
      </c>
      <c r="G168" s="2" t="inlineStr">
        <is>
          <t>money/mi</t>
        </is>
      </c>
      <c r="H168" s="13" t="n"/>
      <c r="I168" s="2" t="inlineStr">
        <is>
          <t>spreadsheet</t>
        </is>
      </c>
      <c r="J168" s="2" t="n"/>
      <c r="K168" s="14" t="inlineStr">
        <is>
          <t>yours</t>
        </is>
      </c>
    </row>
    <row r="169">
      <c r="A169" s="2" t="n">
        <v>168</v>
      </c>
      <c r="B169" s="2" t="inlineStr">
        <is>
          <t>true_cost.what_changed.compliance</t>
        </is>
      </c>
      <c r="C169" s="2" t="inlineStr">
        <is>
          <t>alex</t>
        </is>
      </c>
      <c r="D169" s="2" t="inlineStr">
        <is>
          <t>focus</t>
        </is>
      </c>
      <c r="E169" s="2" t="inlineStr">
        <is>
          <t>2025 vs 2024</t>
        </is>
      </c>
      <c r="F169" s="2" t="inlineStr">
        <is>
          <t>GBP</t>
        </is>
      </c>
      <c r="G169" s="2" t="inlineStr">
        <is>
          <t>money/mi</t>
        </is>
      </c>
      <c r="H169" s="13" t="n"/>
      <c r="I169" s="2" t="inlineStr">
        <is>
          <t>spreadsheet</t>
        </is>
      </c>
      <c r="J169" s="2" t="n"/>
      <c r="K169" s="14" t="inlineStr">
        <is>
          <t>yours</t>
        </is>
      </c>
    </row>
    <row r="170">
      <c r="A170" s="2" t="n">
        <v>169</v>
      </c>
      <c r="B170" s="2" t="inlineStr">
        <is>
          <t>true_cost.what_changed.other</t>
        </is>
      </c>
      <c r="C170" s="2" t="inlineStr">
        <is>
          <t>alex</t>
        </is>
      </c>
      <c r="D170" s="2" t="inlineStr">
        <is>
          <t>focus</t>
        </is>
      </c>
      <c r="E170" s="2" t="inlineStr">
        <is>
          <t>2025 vs 2024</t>
        </is>
      </c>
      <c r="F170" s="2" t="inlineStr">
        <is>
          <t>GBP</t>
        </is>
      </c>
      <c r="G170" s="2" t="inlineStr">
        <is>
          <t>money/mi</t>
        </is>
      </c>
      <c r="H170" s="13" t="n"/>
      <c r="I170" s="2" t="inlineStr">
        <is>
          <t>spreadsheet</t>
        </is>
      </c>
      <c r="J170" s="2" t="n"/>
      <c r="K170" s="14" t="inlineStr">
        <is>
          <t>yours</t>
        </is>
      </c>
    </row>
    <row r="171">
      <c r="A171" s="2" t="n">
        <v>170</v>
      </c>
      <c r="B171" s="2" t="inlineStr">
        <is>
          <t>true_cost.what_changed.depreciation</t>
        </is>
      </c>
      <c r="C171" s="2" t="inlineStr">
        <is>
          <t>alex</t>
        </is>
      </c>
      <c r="D171" s="2" t="inlineStr">
        <is>
          <t>focus</t>
        </is>
      </c>
      <c r="E171" s="2" t="inlineStr">
        <is>
          <t>2025 vs 2024</t>
        </is>
      </c>
      <c r="F171" s="2" t="inlineStr">
        <is>
          <t>GBP</t>
        </is>
      </c>
      <c r="G171" s="2" t="inlineStr">
        <is>
          <t>money/mi</t>
        </is>
      </c>
      <c r="H171" s="13" t="n"/>
      <c r="I171" s="2" t="inlineStr">
        <is>
          <t>spreadsheet+script</t>
        </is>
      </c>
      <c r="J171" s="2" t="n"/>
      <c r="K171" s="14" t="inlineStr">
        <is>
          <t>yours</t>
        </is>
      </c>
    </row>
    <row r="172">
      <c r="A172" s="2" t="n">
        <v>171</v>
      </c>
      <c r="B172" s="2" t="inlineStr">
        <is>
          <t>true_cost.what_changed.total</t>
        </is>
      </c>
      <c r="C172" s="2" t="inlineStr">
        <is>
          <t>alex</t>
        </is>
      </c>
      <c r="D172" s="2" t="inlineStr">
        <is>
          <t>focus</t>
        </is>
      </c>
      <c r="E172" s="2" t="inlineStr">
        <is>
          <t>2025 vs 2024</t>
        </is>
      </c>
      <c r="F172" s="2" t="inlineStr">
        <is>
          <t>GBP</t>
        </is>
      </c>
      <c r="G172" s="2" t="inlineStr">
        <is>
          <t>money/mi</t>
        </is>
      </c>
      <c r="H172" s="13" t="n"/>
      <c r="I172" s="2" t="inlineStr">
        <is>
          <t>spreadsheet+script</t>
        </is>
      </c>
      <c r="J172" s="2" t="n"/>
      <c r="K172" s="14" t="inlineStr">
        <is>
          <t>yours</t>
        </is>
      </c>
    </row>
    <row r="173">
      <c r="A173" s="2" t="n">
        <v>172</v>
      </c>
      <c r="B173" s="2" t="inlineStr">
        <is>
          <t>true_cost.what_changed.fuel</t>
        </is>
      </c>
      <c r="C173" s="2" t="inlineStr">
        <is>
          <t>alex</t>
        </is>
      </c>
      <c r="D173" s="2" t="inlineStr">
        <is>
          <t>focus</t>
        </is>
      </c>
      <c r="E173" s="2" t="inlineStr">
        <is>
          <t>2026 vs 2025</t>
        </is>
      </c>
      <c r="F173" s="2" t="inlineStr">
        <is>
          <t>GBP</t>
        </is>
      </c>
      <c r="G173" s="2" t="inlineStr">
        <is>
          <t>money/mi</t>
        </is>
      </c>
      <c r="H173" s="13" t="n"/>
      <c r="I173" s="2" t="inlineStr">
        <is>
          <t>spreadsheet</t>
        </is>
      </c>
      <c r="J173" s="2" t="n"/>
      <c r="K173" s="14" t="inlineStr">
        <is>
          <t>yours</t>
        </is>
      </c>
    </row>
    <row r="174">
      <c r="A174" s="2" t="n">
        <v>173</v>
      </c>
      <c r="B174" s="2" t="inlineStr">
        <is>
          <t>true_cost.what_changed.maintenance</t>
        </is>
      </c>
      <c r="C174" s="2" t="inlineStr">
        <is>
          <t>alex</t>
        </is>
      </c>
      <c r="D174" s="2" t="inlineStr">
        <is>
          <t>focus</t>
        </is>
      </c>
      <c r="E174" s="2" t="inlineStr">
        <is>
          <t>2026 vs 2025</t>
        </is>
      </c>
      <c r="F174" s="2" t="inlineStr">
        <is>
          <t>GBP</t>
        </is>
      </c>
      <c r="G174" s="2" t="inlineStr">
        <is>
          <t>money/mi</t>
        </is>
      </c>
      <c r="H174" s="13" t="n"/>
      <c r="I174" s="2" t="inlineStr">
        <is>
          <t>spreadsheet</t>
        </is>
      </c>
      <c r="J174" s="2" t="n"/>
      <c r="K174" s="14" t="inlineStr">
        <is>
          <t>yours</t>
        </is>
      </c>
    </row>
    <row r="175">
      <c r="A175" s="2" t="n">
        <v>174</v>
      </c>
      <c r="B175" s="2" t="inlineStr">
        <is>
          <t>true_cost.what_changed.compliance</t>
        </is>
      </c>
      <c r="C175" s="2" t="inlineStr">
        <is>
          <t>alex</t>
        </is>
      </c>
      <c r="D175" s="2" t="inlineStr">
        <is>
          <t>focus</t>
        </is>
      </c>
      <c r="E175" s="2" t="inlineStr">
        <is>
          <t>2026 vs 2025</t>
        </is>
      </c>
      <c r="F175" s="2" t="inlineStr">
        <is>
          <t>GBP</t>
        </is>
      </c>
      <c r="G175" s="2" t="inlineStr">
        <is>
          <t>money/mi</t>
        </is>
      </c>
      <c r="H175" s="13" t="n"/>
      <c r="I175" s="2" t="inlineStr">
        <is>
          <t>spreadsheet</t>
        </is>
      </c>
      <c r="J175" s="2" t="n"/>
      <c r="K175" s="14" t="inlineStr">
        <is>
          <t>yours</t>
        </is>
      </c>
    </row>
    <row r="176">
      <c r="A176" s="2" t="n">
        <v>175</v>
      </c>
      <c r="B176" s="2" t="inlineStr">
        <is>
          <t>true_cost.what_changed.other</t>
        </is>
      </c>
      <c r="C176" s="2" t="inlineStr">
        <is>
          <t>alex</t>
        </is>
      </c>
      <c r="D176" s="2" t="inlineStr">
        <is>
          <t>focus</t>
        </is>
      </c>
      <c r="E176" s="2" t="inlineStr">
        <is>
          <t>2026 vs 2025</t>
        </is>
      </c>
      <c r="F176" s="2" t="inlineStr">
        <is>
          <t>GBP</t>
        </is>
      </c>
      <c r="G176" s="2" t="inlineStr">
        <is>
          <t>money/mi</t>
        </is>
      </c>
      <c r="H176" s="13" t="n"/>
      <c r="I176" s="2" t="inlineStr">
        <is>
          <t>spreadsheet</t>
        </is>
      </c>
      <c r="J176" s="2" t="n"/>
      <c r="K176" s="14" t="inlineStr">
        <is>
          <t>yours</t>
        </is>
      </c>
    </row>
    <row r="177">
      <c r="A177" s="2" t="n">
        <v>176</v>
      </c>
      <c r="B177" s="2" t="inlineStr">
        <is>
          <t>true_cost.what_changed.depreciation</t>
        </is>
      </c>
      <c r="C177" s="2" t="inlineStr">
        <is>
          <t>alex</t>
        </is>
      </c>
      <c r="D177" s="2" t="inlineStr">
        <is>
          <t>focus</t>
        </is>
      </c>
      <c r="E177" s="2" t="inlineStr">
        <is>
          <t>2026 vs 2025</t>
        </is>
      </c>
      <c r="F177" s="2" t="inlineStr">
        <is>
          <t>GBP</t>
        </is>
      </c>
      <c r="G177" s="2" t="inlineStr">
        <is>
          <t>money/mi</t>
        </is>
      </c>
      <c r="H177" s="13" t="n"/>
      <c r="I177" s="2" t="inlineStr">
        <is>
          <t>spreadsheet+script</t>
        </is>
      </c>
      <c r="J177" s="2" t="n"/>
      <c r="K177" s="14" t="inlineStr">
        <is>
          <t>yours</t>
        </is>
      </c>
    </row>
    <row r="178">
      <c r="A178" s="2" t="n">
        <v>177</v>
      </c>
      <c r="B178" s="2" t="inlineStr">
        <is>
          <t>true_cost.what_changed.total</t>
        </is>
      </c>
      <c r="C178" s="2" t="inlineStr">
        <is>
          <t>alex</t>
        </is>
      </c>
      <c r="D178" s="2" t="inlineStr">
        <is>
          <t>focus</t>
        </is>
      </c>
      <c r="E178" s="2" t="inlineStr">
        <is>
          <t>2026 vs 2025</t>
        </is>
      </c>
      <c r="F178" s="2" t="inlineStr">
        <is>
          <t>GBP</t>
        </is>
      </c>
      <c r="G178" s="2" t="inlineStr">
        <is>
          <t>money/mi</t>
        </is>
      </c>
      <c r="H178" s="13" t="n"/>
      <c r="I178" s="2" t="inlineStr">
        <is>
          <t>spreadsheet+script</t>
        </is>
      </c>
      <c r="J178" s="2" t="n"/>
      <c r="K178" s="14" t="inlineStr">
        <is>
          <t>yours</t>
        </is>
      </c>
    </row>
    <row r="179">
      <c r="A179" s="2" t="n">
        <v>178</v>
      </c>
      <c r="B179" s="2" t="inlineStr">
        <is>
          <t>true_cost.what_changed.total</t>
        </is>
      </c>
      <c r="C179" s="2" t="inlineStr">
        <is>
          <t>alex</t>
        </is>
      </c>
      <c r="D179" s="2" t="inlineStr">
        <is>
          <t>focus</t>
        </is>
      </c>
      <c r="E179" s="2" t="inlineStr">
        <is>
          <t>last_12_months_vs_previous</t>
        </is>
      </c>
      <c r="F179" s="2" t="inlineStr">
        <is>
          <t>GBP</t>
        </is>
      </c>
      <c r="G179" s="2" t="inlineStr">
        <is>
          <t>money/mi</t>
        </is>
      </c>
      <c r="H179" s="13" t="n"/>
      <c r="I179" s="2" t="inlineStr">
        <is>
          <t>spreadsheet+script</t>
        </is>
      </c>
      <c r="J179" s="2" t="n"/>
      <c r="K179" s="14" t="inlineStr">
        <is>
          <t>yours</t>
        </is>
      </c>
    </row>
    <row r="180">
      <c r="A180" s="2" t="n">
        <v>179</v>
      </c>
      <c r="B180" s="2" t="inlineStr">
        <is>
          <t>true_cost.fuel</t>
        </is>
      </c>
      <c r="C180" s="2" t="inlineStr">
        <is>
          <t>alex</t>
        </is>
      </c>
      <c r="D180" s="2" t="inlineStr">
        <is>
          <t>corolla</t>
        </is>
      </c>
      <c r="E180" s="2" t="inlineStr">
        <is>
          <t>last_12_months</t>
        </is>
      </c>
      <c r="F180" s="2" t="inlineStr">
        <is>
          <t>EUR</t>
        </is>
      </c>
      <c r="G180" s="2" t="inlineStr">
        <is>
          <t>money</t>
        </is>
      </c>
      <c r="H180" s="13" t="n"/>
      <c r="I180" s="2" t="inlineStr">
        <is>
          <t>spreadsheet</t>
        </is>
      </c>
      <c r="J180" s="2" t="n"/>
      <c r="K180" s="14" t="inlineStr">
        <is>
          <t>yours</t>
        </is>
      </c>
    </row>
    <row r="181">
      <c r="A181" s="2" t="n">
        <v>180</v>
      </c>
      <c r="B181" s="2" t="inlineStr">
        <is>
          <t>true_cost.maintenance</t>
        </is>
      </c>
      <c r="C181" s="2" t="inlineStr">
        <is>
          <t>alex</t>
        </is>
      </c>
      <c r="D181" s="2" t="inlineStr">
        <is>
          <t>corolla</t>
        </is>
      </c>
      <c r="E181" s="2" t="inlineStr">
        <is>
          <t>last_12_months</t>
        </is>
      </c>
      <c r="F181" s="2" t="inlineStr">
        <is>
          <t>EUR</t>
        </is>
      </c>
      <c r="G181" s="2" t="inlineStr">
        <is>
          <t>money</t>
        </is>
      </c>
      <c r="H181" s="13" t="n"/>
      <c r="I181" s="2" t="inlineStr">
        <is>
          <t>spreadsheet</t>
        </is>
      </c>
      <c r="J181" s="2" t="n"/>
      <c r="K181" s="14" t="inlineStr">
        <is>
          <t>yours</t>
        </is>
      </c>
    </row>
    <row r="182">
      <c r="A182" s="2" t="n">
        <v>181</v>
      </c>
      <c r="B182" s="2" t="inlineStr">
        <is>
          <t>true_cost.compliance</t>
        </is>
      </c>
      <c r="C182" s="2" t="inlineStr">
        <is>
          <t>alex</t>
        </is>
      </c>
      <c r="D182" s="2" t="inlineStr">
        <is>
          <t>corolla</t>
        </is>
      </c>
      <c r="E182" s="2" t="inlineStr">
        <is>
          <t>last_12_months</t>
        </is>
      </c>
      <c r="F182" s="2" t="inlineStr">
        <is>
          <t>EUR</t>
        </is>
      </c>
      <c r="G182" s="2" t="inlineStr">
        <is>
          <t>money</t>
        </is>
      </c>
      <c r="H182" s="13" t="n"/>
      <c r="I182" s="2" t="inlineStr">
        <is>
          <t>spreadsheet</t>
        </is>
      </c>
      <c r="J182" s="2" t="n"/>
      <c r="K182" s="14" t="inlineStr">
        <is>
          <t>yours</t>
        </is>
      </c>
    </row>
    <row r="183">
      <c r="A183" s="2" t="n">
        <v>182</v>
      </c>
      <c r="B183" s="2" t="inlineStr">
        <is>
          <t>true_cost.other</t>
        </is>
      </c>
      <c r="C183" s="2" t="inlineStr">
        <is>
          <t>alex</t>
        </is>
      </c>
      <c r="D183" s="2" t="inlineStr">
        <is>
          <t>corolla</t>
        </is>
      </c>
      <c r="E183" s="2" t="inlineStr">
        <is>
          <t>last_12_months</t>
        </is>
      </c>
      <c r="F183" s="2" t="inlineStr">
        <is>
          <t>EUR</t>
        </is>
      </c>
      <c r="G183" s="2" t="inlineStr">
        <is>
          <t>money</t>
        </is>
      </c>
      <c r="H183" s="13" t="n"/>
      <c r="I183" s="2" t="inlineStr">
        <is>
          <t>spreadsheet</t>
        </is>
      </c>
      <c r="J183" s="2" t="n"/>
      <c r="K183" s="14" t="inlineStr">
        <is>
          <t>yours</t>
        </is>
      </c>
    </row>
    <row r="184">
      <c r="A184" s="2" t="n">
        <v>183</v>
      </c>
      <c r="B184" s="2" t="inlineStr">
        <is>
          <t>true_cost.depreciation</t>
        </is>
      </c>
      <c r="C184" s="2" t="inlineStr">
        <is>
          <t>alex</t>
        </is>
      </c>
      <c r="D184" s="2" t="inlineStr">
        <is>
          <t>corolla</t>
        </is>
      </c>
      <c r="E184" s="2" t="inlineStr">
        <is>
          <t>last_12_months</t>
        </is>
      </c>
      <c r="F184" s="2" t="inlineStr">
        <is>
          <t>EUR</t>
        </is>
      </c>
      <c r="G184" s="2" t="inlineStr">
        <is>
          <t>money</t>
        </is>
      </c>
      <c r="H184" s="13" t="n"/>
      <c r="I184" s="2" t="inlineStr">
        <is>
          <t>spreadsheet+script</t>
        </is>
      </c>
      <c r="J184" s="2" t="n"/>
      <c r="K184" s="14" t="inlineStr">
        <is>
          <t>yours</t>
        </is>
      </c>
    </row>
    <row r="185">
      <c r="A185" s="2" t="n">
        <v>184</v>
      </c>
      <c r="B185" s="2" t="inlineStr">
        <is>
          <t>true_cost.total</t>
        </is>
      </c>
      <c r="C185" s="2" t="inlineStr">
        <is>
          <t>alex</t>
        </is>
      </c>
      <c r="D185" s="2" t="inlineStr">
        <is>
          <t>corolla</t>
        </is>
      </c>
      <c r="E185" s="2" t="inlineStr">
        <is>
          <t>last_12_months</t>
        </is>
      </c>
      <c r="F185" s="2" t="inlineStr">
        <is>
          <t>EUR</t>
        </is>
      </c>
      <c r="G185" s="2" t="inlineStr">
        <is>
          <t>money</t>
        </is>
      </c>
      <c r="H185" s="13" t="n"/>
      <c r="I185" s="2" t="inlineStr">
        <is>
          <t>spreadsheet+script</t>
        </is>
      </c>
      <c r="J185" s="2" t="n"/>
      <c r="K185" s="14" t="inlineStr">
        <is>
          <t>yours</t>
        </is>
      </c>
    </row>
    <row r="186">
      <c r="A186" s="2" t="n">
        <v>185</v>
      </c>
      <c r="B186" s="2" t="inlineStr">
        <is>
          <t>true_cost.per_distance</t>
        </is>
      </c>
      <c r="C186" s="2" t="inlineStr">
        <is>
          <t>alex</t>
        </is>
      </c>
      <c r="D186" s="2" t="inlineStr">
        <is>
          <t>corolla</t>
        </is>
      </c>
      <c r="E186" s="2" t="inlineStr">
        <is>
          <t>last_12_months</t>
        </is>
      </c>
      <c r="F186" s="2" t="inlineStr">
        <is>
          <t>EUR</t>
        </is>
      </c>
      <c r="G186" s="2" t="inlineStr">
        <is>
          <t>money/mi</t>
        </is>
      </c>
      <c r="H186" s="23" t="n"/>
      <c r="I186" s="2" t="inlineStr">
        <is>
          <t>spreadsheet+script</t>
        </is>
      </c>
      <c r="J186" s="2" t="n"/>
      <c r="K186" s="14" t="inlineStr">
        <is>
          <t>yours</t>
        </is>
      </c>
    </row>
    <row r="187">
      <c r="A187" s="2" t="n">
        <v>186</v>
      </c>
      <c r="B187" s="2" t="inlineStr">
        <is>
          <t>true_cost.fuel</t>
        </is>
      </c>
      <c r="C187" s="2" t="inlineStr">
        <is>
          <t>alex</t>
        </is>
      </c>
      <c r="D187" s="2" t="inlineStr">
        <is>
          <t>corolla</t>
        </is>
      </c>
      <c r="E187" s="2" t="inlineStr">
        <is>
          <t>2023</t>
        </is>
      </c>
      <c r="F187" s="2" t="inlineStr">
        <is>
          <t>EUR</t>
        </is>
      </c>
      <c r="G187" s="2" t="inlineStr">
        <is>
          <t>money</t>
        </is>
      </c>
      <c r="H187" s="13" t="n"/>
      <c r="I187" s="2" t="inlineStr">
        <is>
          <t>spreadsheet</t>
        </is>
      </c>
      <c r="J187" s="2" t="n"/>
      <c r="K187" s="14" t="inlineStr">
        <is>
          <t>yours</t>
        </is>
      </c>
    </row>
    <row r="188">
      <c r="A188" s="2" t="n">
        <v>187</v>
      </c>
      <c r="B188" s="2" t="inlineStr">
        <is>
          <t>true_cost.maintenance</t>
        </is>
      </c>
      <c r="C188" s="2" t="inlineStr">
        <is>
          <t>alex</t>
        </is>
      </c>
      <c r="D188" s="2" t="inlineStr">
        <is>
          <t>corolla</t>
        </is>
      </c>
      <c r="E188" s="2" t="inlineStr">
        <is>
          <t>2023</t>
        </is>
      </c>
      <c r="F188" s="2" t="inlineStr">
        <is>
          <t>EUR</t>
        </is>
      </c>
      <c r="G188" s="2" t="inlineStr">
        <is>
          <t>money</t>
        </is>
      </c>
      <c r="H188" s="13" t="n"/>
      <c r="I188" s="2" t="inlineStr">
        <is>
          <t>spreadsheet</t>
        </is>
      </c>
      <c r="J188" s="2" t="n"/>
      <c r="K188" s="14" t="inlineStr">
        <is>
          <t>yours</t>
        </is>
      </c>
    </row>
    <row r="189">
      <c r="A189" s="2" t="n">
        <v>188</v>
      </c>
      <c r="B189" s="2" t="inlineStr">
        <is>
          <t>true_cost.compliance</t>
        </is>
      </c>
      <c r="C189" s="2" t="inlineStr">
        <is>
          <t>alex</t>
        </is>
      </c>
      <c r="D189" s="2" t="inlineStr">
        <is>
          <t>corolla</t>
        </is>
      </c>
      <c r="E189" s="2" t="inlineStr">
        <is>
          <t>2023</t>
        </is>
      </c>
      <c r="F189" s="2" t="inlineStr">
        <is>
          <t>EUR</t>
        </is>
      </c>
      <c r="G189" s="2" t="inlineStr">
        <is>
          <t>money</t>
        </is>
      </c>
      <c r="H189" s="13" t="n"/>
      <c r="I189" s="2" t="inlineStr">
        <is>
          <t>spreadsheet</t>
        </is>
      </c>
      <c r="J189" s="2" t="n"/>
      <c r="K189" s="14" t="inlineStr">
        <is>
          <t>yours</t>
        </is>
      </c>
    </row>
    <row r="190">
      <c r="A190" s="2" t="n">
        <v>189</v>
      </c>
      <c r="B190" s="2" t="inlineStr">
        <is>
          <t>true_cost.other</t>
        </is>
      </c>
      <c r="C190" s="2" t="inlineStr">
        <is>
          <t>alex</t>
        </is>
      </c>
      <c r="D190" s="2" t="inlineStr">
        <is>
          <t>corolla</t>
        </is>
      </c>
      <c r="E190" s="2" t="inlineStr">
        <is>
          <t>2023</t>
        </is>
      </c>
      <c r="F190" s="2" t="inlineStr">
        <is>
          <t>EUR</t>
        </is>
      </c>
      <c r="G190" s="2" t="inlineStr">
        <is>
          <t>money</t>
        </is>
      </c>
      <c r="H190" s="13" t="n"/>
      <c r="I190" s="2" t="inlineStr">
        <is>
          <t>spreadsheet</t>
        </is>
      </c>
      <c r="J190" s="2" t="n"/>
      <c r="K190" s="14" t="inlineStr">
        <is>
          <t>yours</t>
        </is>
      </c>
    </row>
    <row r="191">
      <c r="A191" s="2" t="n">
        <v>190</v>
      </c>
      <c r="B191" s="2" t="inlineStr">
        <is>
          <t>true_cost.depreciation</t>
        </is>
      </c>
      <c r="C191" s="2" t="inlineStr">
        <is>
          <t>alex</t>
        </is>
      </c>
      <c r="D191" s="2" t="inlineStr">
        <is>
          <t>corolla</t>
        </is>
      </c>
      <c r="E191" s="2" t="inlineStr">
        <is>
          <t>2023</t>
        </is>
      </c>
      <c r="F191" s="2" t="inlineStr">
        <is>
          <t>EUR</t>
        </is>
      </c>
      <c r="G191" s="2" t="inlineStr">
        <is>
          <t>money</t>
        </is>
      </c>
      <c r="H191" s="13" t="n"/>
      <c r="I191" s="2" t="inlineStr">
        <is>
          <t>spreadsheet+script</t>
        </is>
      </c>
      <c r="J191" s="2" t="n"/>
      <c r="K191" s="14" t="inlineStr">
        <is>
          <t>yours</t>
        </is>
      </c>
    </row>
    <row r="192">
      <c r="A192" s="2" t="n">
        <v>191</v>
      </c>
      <c r="B192" s="2" t="inlineStr">
        <is>
          <t>true_cost.total</t>
        </is>
      </c>
      <c r="C192" s="2" t="inlineStr">
        <is>
          <t>alex</t>
        </is>
      </c>
      <c r="D192" s="2" t="inlineStr">
        <is>
          <t>corolla</t>
        </is>
      </c>
      <c r="E192" s="2" t="inlineStr">
        <is>
          <t>2023</t>
        </is>
      </c>
      <c r="F192" s="2" t="inlineStr">
        <is>
          <t>EUR</t>
        </is>
      </c>
      <c r="G192" s="2" t="inlineStr">
        <is>
          <t>money</t>
        </is>
      </c>
      <c r="H192" s="13" t="n"/>
      <c r="I192" s="2" t="inlineStr">
        <is>
          <t>spreadsheet+script</t>
        </is>
      </c>
      <c r="J192" s="2" t="n"/>
      <c r="K192" s="14" t="inlineStr">
        <is>
          <t>yours</t>
        </is>
      </c>
    </row>
    <row r="193">
      <c r="A193" s="2" t="n">
        <v>192</v>
      </c>
      <c r="B193" s="2" t="inlineStr">
        <is>
          <t>true_cost.per_distance</t>
        </is>
      </c>
      <c r="C193" s="2" t="inlineStr">
        <is>
          <t>alex</t>
        </is>
      </c>
      <c r="D193" s="2" t="inlineStr">
        <is>
          <t>corolla</t>
        </is>
      </c>
      <c r="E193" s="2" t="inlineStr">
        <is>
          <t>2023</t>
        </is>
      </c>
      <c r="F193" s="2" t="inlineStr">
        <is>
          <t>EUR</t>
        </is>
      </c>
      <c r="G193" s="2" t="inlineStr">
        <is>
          <t>money/mi</t>
        </is>
      </c>
      <c r="H193" s="23" t="n"/>
      <c r="I193" s="2" t="inlineStr">
        <is>
          <t>spreadsheet+script</t>
        </is>
      </c>
      <c r="J193" s="2" t="n"/>
      <c r="K193" s="14" t="inlineStr">
        <is>
          <t>yours</t>
        </is>
      </c>
    </row>
    <row r="194">
      <c r="A194" s="2" t="n">
        <v>193</v>
      </c>
      <c r="B194" s="2" t="inlineStr">
        <is>
          <t>true_cost.fuel</t>
        </is>
      </c>
      <c r="C194" s="2" t="inlineStr">
        <is>
          <t>alex</t>
        </is>
      </c>
      <c r="D194" s="2" t="inlineStr">
        <is>
          <t>corolla</t>
        </is>
      </c>
      <c r="E194" s="2" t="inlineStr">
        <is>
          <t>2024</t>
        </is>
      </c>
      <c r="F194" s="2" t="inlineStr">
        <is>
          <t>EUR</t>
        </is>
      </c>
      <c r="G194" s="2" t="inlineStr">
        <is>
          <t>money</t>
        </is>
      </c>
      <c r="H194" s="13" t="n"/>
      <c r="I194" s="2" t="inlineStr">
        <is>
          <t>spreadsheet</t>
        </is>
      </c>
      <c r="J194" s="2" t="n"/>
      <c r="K194" s="14" t="inlineStr">
        <is>
          <t>yours</t>
        </is>
      </c>
    </row>
    <row r="195">
      <c r="A195" s="2" t="n">
        <v>194</v>
      </c>
      <c r="B195" s="2" t="inlineStr">
        <is>
          <t>true_cost.maintenance</t>
        </is>
      </c>
      <c r="C195" s="2" t="inlineStr">
        <is>
          <t>alex</t>
        </is>
      </c>
      <c r="D195" s="2" t="inlineStr">
        <is>
          <t>corolla</t>
        </is>
      </c>
      <c r="E195" s="2" t="inlineStr">
        <is>
          <t>2024</t>
        </is>
      </c>
      <c r="F195" s="2" t="inlineStr">
        <is>
          <t>EUR</t>
        </is>
      </c>
      <c r="G195" s="2" t="inlineStr">
        <is>
          <t>money</t>
        </is>
      </c>
      <c r="H195" s="13" t="n"/>
      <c r="I195" s="2" t="inlineStr">
        <is>
          <t>spreadsheet</t>
        </is>
      </c>
      <c r="J195" s="2" t="n"/>
      <c r="K195" s="14" t="inlineStr">
        <is>
          <t>yours</t>
        </is>
      </c>
    </row>
    <row r="196">
      <c r="A196" s="2" t="n">
        <v>195</v>
      </c>
      <c r="B196" s="2" t="inlineStr">
        <is>
          <t>true_cost.compliance</t>
        </is>
      </c>
      <c r="C196" s="2" t="inlineStr">
        <is>
          <t>alex</t>
        </is>
      </c>
      <c r="D196" s="2" t="inlineStr">
        <is>
          <t>corolla</t>
        </is>
      </c>
      <c r="E196" s="2" t="inlineStr">
        <is>
          <t>2024</t>
        </is>
      </c>
      <c r="F196" s="2" t="inlineStr">
        <is>
          <t>EUR</t>
        </is>
      </c>
      <c r="G196" s="2" t="inlineStr">
        <is>
          <t>money</t>
        </is>
      </c>
      <c r="H196" s="13" t="n"/>
      <c r="I196" s="2" t="inlineStr">
        <is>
          <t>spreadsheet</t>
        </is>
      </c>
      <c r="J196" s="2" t="n"/>
      <c r="K196" s="14" t="inlineStr">
        <is>
          <t>yours</t>
        </is>
      </c>
    </row>
    <row r="197">
      <c r="A197" s="2" t="n">
        <v>196</v>
      </c>
      <c r="B197" s="2" t="inlineStr">
        <is>
          <t>true_cost.other</t>
        </is>
      </c>
      <c r="C197" s="2" t="inlineStr">
        <is>
          <t>alex</t>
        </is>
      </c>
      <c r="D197" s="2" t="inlineStr">
        <is>
          <t>corolla</t>
        </is>
      </c>
      <c r="E197" s="2" t="inlineStr">
        <is>
          <t>2024</t>
        </is>
      </c>
      <c r="F197" s="2" t="inlineStr">
        <is>
          <t>EUR</t>
        </is>
      </c>
      <c r="G197" s="2" t="inlineStr">
        <is>
          <t>money</t>
        </is>
      </c>
      <c r="H197" s="13" t="n"/>
      <c r="I197" s="2" t="inlineStr">
        <is>
          <t>spreadsheet</t>
        </is>
      </c>
      <c r="J197" s="2" t="n"/>
      <c r="K197" s="14" t="inlineStr">
        <is>
          <t>yours</t>
        </is>
      </c>
    </row>
    <row r="198">
      <c r="A198" s="2" t="n">
        <v>197</v>
      </c>
      <c r="B198" s="2" t="inlineStr">
        <is>
          <t>true_cost.depreciation</t>
        </is>
      </c>
      <c r="C198" s="2" t="inlineStr">
        <is>
          <t>alex</t>
        </is>
      </c>
      <c r="D198" s="2" t="inlineStr">
        <is>
          <t>corolla</t>
        </is>
      </c>
      <c r="E198" s="2" t="inlineStr">
        <is>
          <t>2024</t>
        </is>
      </c>
      <c r="F198" s="2" t="inlineStr">
        <is>
          <t>EUR</t>
        </is>
      </c>
      <c r="G198" s="2" t="inlineStr">
        <is>
          <t>money</t>
        </is>
      </c>
      <c r="H198" s="13" t="n"/>
      <c r="I198" s="2" t="inlineStr">
        <is>
          <t>spreadsheet+script</t>
        </is>
      </c>
      <c r="J198" s="2" t="n"/>
      <c r="K198" s="14" t="inlineStr">
        <is>
          <t>yours</t>
        </is>
      </c>
    </row>
    <row r="199">
      <c r="A199" s="2" t="n">
        <v>198</v>
      </c>
      <c r="B199" s="2" t="inlineStr">
        <is>
          <t>true_cost.total</t>
        </is>
      </c>
      <c r="C199" s="2" t="inlineStr">
        <is>
          <t>alex</t>
        </is>
      </c>
      <c r="D199" s="2" t="inlineStr">
        <is>
          <t>corolla</t>
        </is>
      </c>
      <c r="E199" s="2" t="inlineStr">
        <is>
          <t>2024</t>
        </is>
      </c>
      <c r="F199" s="2" t="inlineStr">
        <is>
          <t>EUR</t>
        </is>
      </c>
      <c r="G199" s="2" t="inlineStr">
        <is>
          <t>money</t>
        </is>
      </c>
      <c r="H199" s="13" t="n"/>
      <c r="I199" s="2" t="inlineStr">
        <is>
          <t>spreadsheet+script</t>
        </is>
      </c>
      <c r="J199" s="2" t="n"/>
      <c r="K199" s="14" t="inlineStr">
        <is>
          <t>yours</t>
        </is>
      </c>
    </row>
    <row r="200">
      <c r="A200" s="2" t="n">
        <v>199</v>
      </c>
      <c r="B200" s="2" t="inlineStr">
        <is>
          <t>true_cost.per_distance</t>
        </is>
      </c>
      <c r="C200" s="2" t="inlineStr">
        <is>
          <t>alex</t>
        </is>
      </c>
      <c r="D200" s="2" t="inlineStr">
        <is>
          <t>corolla</t>
        </is>
      </c>
      <c r="E200" s="2" t="inlineStr">
        <is>
          <t>2024</t>
        </is>
      </c>
      <c r="F200" s="2" t="inlineStr">
        <is>
          <t>EUR</t>
        </is>
      </c>
      <c r="G200" s="2" t="inlineStr">
        <is>
          <t>money/mi</t>
        </is>
      </c>
      <c r="H200" s="23" t="n"/>
      <c r="I200" s="2" t="inlineStr">
        <is>
          <t>spreadsheet+script</t>
        </is>
      </c>
      <c r="J200" s="2" t="n"/>
      <c r="K200" s="14" t="inlineStr">
        <is>
          <t>yours</t>
        </is>
      </c>
    </row>
    <row r="201">
      <c r="A201" s="2" t="n">
        <v>200</v>
      </c>
      <c r="B201" s="2" t="inlineStr">
        <is>
          <t>true_cost.fuel</t>
        </is>
      </c>
      <c r="C201" s="2" t="inlineStr">
        <is>
          <t>alex</t>
        </is>
      </c>
      <c r="D201" s="2" t="inlineStr">
        <is>
          <t>corolla</t>
        </is>
      </c>
      <c r="E201" s="2" t="inlineStr">
        <is>
          <t>2025</t>
        </is>
      </c>
      <c r="F201" s="2" t="inlineStr">
        <is>
          <t>EUR</t>
        </is>
      </c>
      <c r="G201" s="2" t="inlineStr">
        <is>
          <t>money</t>
        </is>
      </c>
      <c r="H201" s="13" t="n"/>
      <c r="I201" s="2" t="inlineStr">
        <is>
          <t>spreadsheet</t>
        </is>
      </c>
      <c r="J201" s="2" t="n"/>
      <c r="K201" s="14" t="inlineStr">
        <is>
          <t>yours</t>
        </is>
      </c>
    </row>
    <row r="202">
      <c r="A202" s="2" t="n">
        <v>201</v>
      </c>
      <c r="B202" s="2" t="inlineStr">
        <is>
          <t>true_cost.maintenance</t>
        </is>
      </c>
      <c r="C202" s="2" t="inlineStr">
        <is>
          <t>alex</t>
        </is>
      </c>
      <c r="D202" s="2" t="inlineStr">
        <is>
          <t>corolla</t>
        </is>
      </c>
      <c r="E202" s="2" t="inlineStr">
        <is>
          <t>2025</t>
        </is>
      </c>
      <c r="F202" s="2" t="inlineStr">
        <is>
          <t>EUR</t>
        </is>
      </c>
      <c r="G202" s="2" t="inlineStr">
        <is>
          <t>money</t>
        </is>
      </c>
      <c r="H202" s="13" t="n"/>
      <c r="I202" s="2" t="inlineStr">
        <is>
          <t>spreadsheet</t>
        </is>
      </c>
      <c r="J202" s="2" t="n"/>
      <c r="K202" s="14" t="inlineStr">
        <is>
          <t>yours</t>
        </is>
      </c>
    </row>
    <row r="203">
      <c r="A203" s="2" t="n">
        <v>202</v>
      </c>
      <c r="B203" s="2" t="inlineStr">
        <is>
          <t>true_cost.compliance</t>
        </is>
      </c>
      <c r="C203" s="2" t="inlineStr">
        <is>
          <t>alex</t>
        </is>
      </c>
      <c r="D203" s="2" t="inlineStr">
        <is>
          <t>corolla</t>
        </is>
      </c>
      <c r="E203" s="2" t="inlineStr">
        <is>
          <t>2025</t>
        </is>
      </c>
      <c r="F203" s="2" t="inlineStr">
        <is>
          <t>EUR</t>
        </is>
      </c>
      <c r="G203" s="2" t="inlineStr">
        <is>
          <t>money</t>
        </is>
      </c>
      <c r="H203" s="13" t="n"/>
      <c r="I203" s="2" t="inlineStr">
        <is>
          <t>spreadsheet</t>
        </is>
      </c>
      <c r="J203" s="2" t="n"/>
      <c r="K203" s="14" t="inlineStr">
        <is>
          <t>yours</t>
        </is>
      </c>
    </row>
    <row r="204">
      <c r="A204" s="2" t="n">
        <v>203</v>
      </c>
      <c r="B204" s="2" t="inlineStr">
        <is>
          <t>true_cost.other</t>
        </is>
      </c>
      <c r="C204" s="2" t="inlineStr">
        <is>
          <t>alex</t>
        </is>
      </c>
      <c r="D204" s="2" t="inlineStr">
        <is>
          <t>corolla</t>
        </is>
      </c>
      <c r="E204" s="2" t="inlineStr">
        <is>
          <t>2025</t>
        </is>
      </c>
      <c r="F204" s="2" t="inlineStr">
        <is>
          <t>EUR</t>
        </is>
      </c>
      <c r="G204" s="2" t="inlineStr">
        <is>
          <t>money</t>
        </is>
      </c>
      <c r="H204" s="13" t="n"/>
      <c r="I204" s="2" t="inlineStr">
        <is>
          <t>spreadsheet</t>
        </is>
      </c>
      <c r="J204" s="2" t="n"/>
      <c r="K204" s="14" t="inlineStr">
        <is>
          <t>yours</t>
        </is>
      </c>
    </row>
    <row r="205">
      <c r="A205" s="2" t="n">
        <v>204</v>
      </c>
      <c r="B205" s="2" t="inlineStr">
        <is>
          <t>true_cost.depreciation</t>
        </is>
      </c>
      <c r="C205" s="2" t="inlineStr">
        <is>
          <t>alex</t>
        </is>
      </c>
      <c r="D205" s="2" t="inlineStr">
        <is>
          <t>corolla</t>
        </is>
      </c>
      <c r="E205" s="2" t="inlineStr">
        <is>
          <t>2025</t>
        </is>
      </c>
      <c r="F205" s="2" t="inlineStr">
        <is>
          <t>EUR</t>
        </is>
      </c>
      <c r="G205" s="2" t="inlineStr">
        <is>
          <t>money</t>
        </is>
      </c>
      <c r="H205" s="13" t="n"/>
      <c r="I205" s="2" t="inlineStr">
        <is>
          <t>spreadsheet+script</t>
        </is>
      </c>
      <c r="J205" s="2" t="n"/>
      <c r="K205" s="14" t="inlineStr">
        <is>
          <t>yours</t>
        </is>
      </c>
    </row>
    <row r="206">
      <c r="A206" s="2" t="n">
        <v>205</v>
      </c>
      <c r="B206" s="2" t="inlineStr">
        <is>
          <t>true_cost.total</t>
        </is>
      </c>
      <c r="C206" s="2" t="inlineStr">
        <is>
          <t>alex</t>
        </is>
      </c>
      <c r="D206" s="2" t="inlineStr">
        <is>
          <t>corolla</t>
        </is>
      </c>
      <c r="E206" s="2" t="inlineStr">
        <is>
          <t>2025</t>
        </is>
      </c>
      <c r="F206" s="2" t="inlineStr">
        <is>
          <t>EUR</t>
        </is>
      </c>
      <c r="G206" s="2" t="inlineStr">
        <is>
          <t>money</t>
        </is>
      </c>
      <c r="H206" s="13" t="n"/>
      <c r="I206" s="2" t="inlineStr">
        <is>
          <t>spreadsheet+script</t>
        </is>
      </c>
      <c r="J206" s="2" t="n"/>
      <c r="K206" s="14" t="inlineStr">
        <is>
          <t>yours</t>
        </is>
      </c>
    </row>
    <row r="207">
      <c r="A207" s="2" t="n">
        <v>206</v>
      </c>
      <c r="B207" s="2" t="inlineStr">
        <is>
          <t>true_cost.per_distance</t>
        </is>
      </c>
      <c r="C207" s="2" t="inlineStr">
        <is>
          <t>alex</t>
        </is>
      </c>
      <c r="D207" s="2" t="inlineStr">
        <is>
          <t>corolla</t>
        </is>
      </c>
      <c r="E207" s="2" t="inlineStr">
        <is>
          <t>2025</t>
        </is>
      </c>
      <c r="F207" s="2" t="inlineStr">
        <is>
          <t>EUR</t>
        </is>
      </c>
      <c r="G207" s="2" t="inlineStr">
        <is>
          <t>money/mi</t>
        </is>
      </c>
      <c r="H207" s="23" t="n"/>
      <c r="I207" s="2" t="inlineStr">
        <is>
          <t>spreadsheet+script</t>
        </is>
      </c>
      <c r="J207" s="2" t="n"/>
      <c r="K207" s="14" t="inlineStr">
        <is>
          <t>yours</t>
        </is>
      </c>
    </row>
    <row r="208">
      <c r="A208" s="2" t="n">
        <v>207</v>
      </c>
      <c r="B208" s="2" t="inlineStr">
        <is>
          <t>true_cost.fuel</t>
        </is>
      </c>
      <c r="C208" s="2" t="inlineStr">
        <is>
          <t>alex</t>
        </is>
      </c>
      <c r="D208" s="2" t="inlineStr">
        <is>
          <t>corolla</t>
        </is>
      </c>
      <c r="E208" s="2" t="inlineStr">
        <is>
          <t>2026</t>
        </is>
      </c>
      <c r="F208" s="2" t="inlineStr">
        <is>
          <t>EUR</t>
        </is>
      </c>
      <c r="G208" s="2" t="inlineStr">
        <is>
          <t>money</t>
        </is>
      </c>
      <c r="H208" s="13" t="n"/>
      <c r="I208" s="2" t="inlineStr">
        <is>
          <t>spreadsheet</t>
        </is>
      </c>
      <c r="J208" s="2" t="n"/>
      <c r="K208" s="14" t="inlineStr">
        <is>
          <t>yours</t>
        </is>
      </c>
    </row>
    <row r="209">
      <c r="A209" s="2" t="n">
        <v>208</v>
      </c>
      <c r="B209" s="2" t="inlineStr">
        <is>
          <t>true_cost.maintenance</t>
        </is>
      </c>
      <c r="C209" s="2" t="inlineStr">
        <is>
          <t>alex</t>
        </is>
      </c>
      <c r="D209" s="2" t="inlineStr">
        <is>
          <t>corolla</t>
        </is>
      </c>
      <c r="E209" s="2" t="inlineStr">
        <is>
          <t>2026</t>
        </is>
      </c>
      <c r="F209" s="2" t="inlineStr">
        <is>
          <t>EUR</t>
        </is>
      </c>
      <c r="G209" s="2" t="inlineStr">
        <is>
          <t>money</t>
        </is>
      </c>
      <c r="H209" s="13" t="n"/>
      <c r="I209" s="2" t="inlineStr">
        <is>
          <t>spreadsheet</t>
        </is>
      </c>
      <c r="J209" s="2" t="n"/>
      <c r="K209" s="14" t="inlineStr">
        <is>
          <t>yours</t>
        </is>
      </c>
    </row>
    <row r="210">
      <c r="A210" s="2" t="n">
        <v>209</v>
      </c>
      <c r="B210" s="2" t="inlineStr">
        <is>
          <t>true_cost.compliance</t>
        </is>
      </c>
      <c r="C210" s="2" t="inlineStr">
        <is>
          <t>alex</t>
        </is>
      </c>
      <c r="D210" s="2" t="inlineStr">
        <is>
          <t>corolla</t>
        </is>
      </c>
      <c r="E210" s="2" t="inlineStr">
        <is>
          <t>2026</t>
        </is>
      </c>
      <c r="F210" s="2" t="inlineStr">
        <is>
          <t>EUR</t>
        </is>
      </c>
      <c r="G210" s="2" t="inlineStr">
        <is>
          <t>money</t>
        </is>
      </c>
      <c r="H210" s="13" t="n"/>
      <c r="I210" s="2" t="inlineStr">
        <is>
          <t>spreadsheet</t>
        </is>
      </c>
      <c r="J210" s="2" t="n"/>
      <c r="K210" s="14" t="inlineStr">
        <is>
          <t>yours</t>
        </is>
      </c>
    </row>
    <row r="211">
      <c r="A211" s="2" t="n">
        <v>210</v>
      </c>
      <c r="B211" s="2" t="inlineStr">
        <is>
          <t>true_cost.other</t>
        </is>
      </c>
      <c r="C211" s="2" t="inlineStr">
        <is>
          <t>alex</t>
        </is>
      </c>
      <c r="D211" s="2" t="inlineStr">
        <is>
          <t>corolla</t>
        </is>
      </c>
      <c r="E211" s="2" t="inlineStr">
        <is>
          <t>2026</t>
        </is>
      </c>
      <c r="F211" s="2" t="inlineStr">
        <is>
          <t>EUR</t>
        </is>
      </c>
      <c r="G211" s="2" t="inlineStr">
        <is>
          <t>money</t>
        </is>
      </c>
      <c r="H211" s="13" t="n"/>
      <c r="I211" s="2" t="inlineStr">
        <is>
          <t>spreadsheet</t>
        </is>
      </c>
      <c r="J211" s="2" t="n"/>
      <c r="K211" s="14" t="inlineStr">
        <is>
          <t>yours</t>
        </is>
      </c>
    </row>
    <row r="212">
      <c r="A212" s="2" t="n">
        <v>211</v>
      </c>
      <c r="B212" s="2" t="inlineStr">
        <is>
          <t>true_cost.depreciation</t>
        </is>
      </c>
      <c r="C212" s="2" t="inlineStr">
        <is>
          <t>alex</t>
        </is>
      </c>
      <c r="D212" s="2" t="inlineStr">
        <is>
          <t>corolla</t>
        </is>
      </c>
      <c r="E212" s="2" t="inlineStr">
        <is>
          <t>2026</t>
        </is>
      </c>
      <c r="F212" s="2" t="inlineStr">
        <is>
          <t>EUR</t>
        </is>
      </c>
      <c r="G212" s="2" t="inlineStr">
        <is>
          <t>money</t>
        </is>
      </c>
      <c r="H212" s="13" t="n"/>
      <c r="I212" s="2" t="inlineStr">
        <is>
          <t>spreadsheet+script</t>
        </is>
      </c>
      <c r="J212" s="2" t="n"/>
      <c r="K212" s="14" t="inlineStr">
        <is>
          <t>yours</t>
        </is>
      </c>
    </row>
    <row r="213">
      <c r="A213" s="2" t="n">
        <v>212</v>
      </c>
      <c r="B213" s="2" t="inlineStr">
        <is>
          <t>true_cost.total</t>
        </is>
      </c>
      <c r="C213" s="2" t="inlineStr">
        <is>
          <t>alex</t>
        </is>
      </c>
      <c r="D213" s="2" t="inlineStr">
        <is>
          <t>corolla</t>
        </is>
      </c>
      <c r="E213" s="2" t="inlineStr">
        <is>
          <t>2026</t>
        </is>
      </c>
      <c r="F213" s="2" t="inlineStr">
        <is>
          <t>EUR</t>
        </is>
      </c>
      <c r="G213" s="2" t="inlineStr">
        <is>
          <t>money</t>
        </is>
      </c>
      <c r="H213" s="13" t="n"/>
      <c r="I213" s="2" t="inlineStr">
        <is>
          <t>spreadsheet+script</t>
        </is>
      </c>
      <c r="J213" s="2" t="n"/>
      <c r="K213" s="14" t="inlineStr">
        <is>
          <t>yours</t>
        </is>
      </c>
    </row>
    <row r="214">
      <c r="A214" s="2" t="n">
        <v>213</v>
      </c>
      <c r="B214" s="2" t="inlineStr">
        <is>
          <t>true_cost.per_distance</t>
        </is>
      </c>
      <c r="C214" s="2" t="inlineStr">
        <is>
          <t>alex</t>
        </is>
      </c>
      <c r="D214" s="2" t="inlineStr">
        <is>
          <t>corolla</t>
        </is>
      </c>
      <c r="E214" s="2" t="inlineStr">
        <is>
          <t>2026</t>
        </is>
      </c>
      <c r="F214" s="2" t="inlineStr">
        <is>
          <t>EUR</t>
        </is>
      </c>
      <c r="G214" s="2" t="inlineStr">
        <is>
          <t>money/mi</t>
        </is>
      </c>
      <c r="H214" s="23" t="n"/>
      <c r="I214" s="2" t="inlineStr">
        <is>
          <t>spreadsheet+script</t>
        </is>
      </c>
      <c r="J214" s="2" t="n"/>
      <c r="K214" s="14" t="inlineStr">
        <is>
          <t>yours</t>
        </is>
      </c>
    </row>
    <row r="215">
      <c r="A215" s="2" t="n">
        <v>214</v>
      </c>
      <c r="B215" s="2" t="inlineStr">
        <is>
          <t>true_cost.what_changed.fuel</t>
        </is>
      </c>
      <c r="C215" s="2" t="inlineStr">
        <is>
          <t>alex</t>
        </is>
      </c>
      <c r="D215" s="2" t="inlineStr">
        <is>
          <t>corolla</t>
        </is>
      </c>
      <c r="E215" s="2" t="inlineStr">
        <is>
          <t>2024 vs 2023</t>
        </is>
      </c>
      <c r="F215" s="2" t="inlineStr">
        <is>
          <t>EUR</t>
        </is>
      </c>
      <c r="G215" s="2" t="inlineStr">
        <is>
          <t>money/mi</t>
        </is>
      </c>
      <c r="H215" s="13" t="n"/>
      <c r="I215" s="2" t="inlineStr">
        <is>
          <t>spreadsheet</t>
        </is>
      </c>
      <c r="J215" s="2" t="n"/>
      <c r="K215" s="14" t="inlineStr">
        <is>
          <t>yours</t>
        </is>
      </c>
    </row>
    <row r="216">
      <c r="A216" s="2" t="n">
        <v>215</v>
      </c>
      <c r="B216" s="2" t="inlineStr">
        <is>
          <t>true_cost.what_changed.maintenance</t>
        </is>
      </c>
      <c r="C216" s="2" t="inlineStr">
        <is>
          <t>alex</t>
        </is>
      </c>
      <c r="D216" s="2" t="inlineStr">
        <is>
          <t>corolla</t>
        </is>
      </c>
      <c r="E216" s="2" t="inlineStr">
        <is>
          <t>2024 vs 2023</t>
        </is>
      </c>
      <c r="F216" s="2" t="inlineStr">
        <is>
          <t>EUR</t>
        </is>
      </c>
      <c r="G216" s="2" t="inlineStr">
        <is>
          <t>money/mi</t>
        </is>
      </c>
      <c r="H216" s="13" t="n"/>
      <c r="I216" s="2" t="inlineStr">
        <is>
          <t>spreadsheet</t>
        </is>
      </c>
      <c r="J216" s="2" t="n"/>
      <c r="K216" s="14" t="inlineStr">
        <is>
          <t>yours</t>
        </is>
      </c>
    </row>
    <row r="217">
      <c r="A217" s="2" t="n">
        <v>216</v>
      </c>
      <c r="B217" s="2" t="inlineStr">
        <is>
          <t>true_cost.what_changed.compliance</t>
        </is>
      </c>
      <c r="C217" s="2" t="inlineStr">
        <is>
          <t>alex</t>
        </is>
      </c>
      <c r="D217" s="2" t="inlineStr">
        <is>
          <t>corolla</t>
        </is>
      </c>
      <c r="E217" s="2" t="inlineStr">
        <is>
          <t>2024 vs 2023</t>
        </is>
      </c>
      <c r="F217" s="2" t="inlineStr">
        <is>
          <t>EUR</t>
        </is>
      </c>
      <c r="G217" s="2" t="inlineStr">
        <is>
          <t>money/mi</t>
        </is>
      </c>
      <c r="H217" s="13" t="n"/>
      <c r="I217" s="2" t="inlineStr">
        <is>
          <t>spreadsheet</t>
        </is>
      </c>
      <c r="J217" s="2" t="n"/>
      <c r="K217" s="14" t="inlineStr">
        <is>
          <t>yours</t>
        </is>
      </c>
    </row>
    <row r="218">
      <c r="A218" s="2" t="n">
        <v>217</v>
      </c>
      <c r="B218" s="2" t="inlineStr">
        <is>
          <t>true_cost.what_changed.other</t>
        </is>
      </c>
      <c r="C218" s="2" t="inlineStr">
        <is>
          <t>alex</t>
        </is>
      </c>
      <c r="D218" s="2" t="inlineStr">
        <is>
          <t>corolla</t>
        </is>
      </c>
      <c r="E218" s="2" t="inlineStr">
        <is>
          <t>2024 vs 2023</t>
        </is>
      </c>
      <c r="F218" s="2" t="inlineStr">
        <is>
          <t>EUR</t>
        </is>
      </c>
      <c r="G218" s="2" t="inlineStr">
        <is>
          <t>money/mi</t>
        </is>
      </c>
      <c r="H218" s="13" t="n"/>
      <c r="I218" s="2" t="inlineStr">
        <is>
          <t>spreadsheet</t>
        </is>
      </c>
      <c r="J218" s="2" t="n"/>
      <c r="K218" s="14" t="inlineStr">
        <is>
          <t>yours</t>
        </is>
      </c>
    </row>
    <row r="219">
      <c r="A219" s="2" t="n">
        <v>218</v>
      </c>
      <c r="B219" s="2" t="inlineStr">
        <is>
          <t>true_cost.what_changed.depreciation</t>
        </is>
      </c>
      <c r="C219" s="2" t="inlineStr">
        <is>
          <t>alex</t>
        </is>
      </c>
      <c r="D219" s="2" t="inlineStr">
        <is>
          <t>corolla</t>
        </is>
      </c>
      <c r="E219" s="2" t="inlineStr">
        <is>
          <t>2024 vs 2023</t>
        </is>
      </c>
      <c r="F219" s="2" t="inlineStr">
        <is>
          <t>EUR</t>
        </is>
      </c>
      <c r="G219" s="2" t="inlineStr">
        <is>
          <t>money/mi</t>
        </is>
      </c>
      <c r="H219" s="13" t="n"/>
      <c r="I219" s="2" t="inlineStr">
        <is>
          <t>spreadsheet+script</t>
        </is>
      </c>
      <c r="J219" s="2" t="n"/>
      <c r="K219" s="14" t="inlineStr">
        <is>
          <t>yours</t>
        </is>
      </c>
    </row>
    <row r="220">
      <c r="A220" s="2" t="n">
        <v>219</v>
      </c>
      <c r="B220" s="2" t="inlineStr">
        <is>
          <t>true_cost.what_changed.total</t>
        </is>
      </c>
      <c r="C220" s="2" t="inlineStr">
        <is>
          <t>alex</t>
        </is>
      </c>
      <c r="D220" s="2" t="inlineStr">
        <is>
          <t>corolla</t>
        </is>
      </c>
      <c r="E220" s="2" t="inlineStr">
        <is>
          <t>2024 vs 2023</t>
        </is>
      </c>
      <c r="F220" s="2" t="inlineStr">
        <is>
          <t>EUR</t>
        </is>
      </c>
      <c r="G220" s="2" t="inlineStr">
        <is>
          <t>money/mi</t>
        </is>
      </c>
      <c r="H220" s="13" t="n"/>
      <c r="I220" s="2" t="inlineStr">
        <is>
          <t>spreadsheet+script</t>
        </is>
      </c>
      <c r="J220" s="2" t="n"/>
      <c r="K220" s="14" t="inlineStr">
        <is>
          <t>yours</t>
        </is>
      </c>
    </row>
    <row r="221">
      <c r="A221" s="2" t="n">
        <v>220</v>
      </c>
      <c r="B221" s="2" t="inlineStr">
        <is>
          <t>true_cost.what_changed.fuel</t>
        </is>
      </c>
      <c r="C221" s="2" t="inlineStr">
        <is>
          <t>alex</t>
        </is>
      </c>
      <c r="D221" s="2" t="inlineStr">
        <is>
          <t>corolla</t>
        </is>
      </c>
      <c r="E221" s="2" t="inlineStr">
        <is>
          <t>2025 vs 2024</t>
        </is>
      </c>
      <c r="F221" s="2" t="inlineStr">
        <is>
          <t>EUR</t>
        </is>
      </c>
      <c r="G221" s="2" t="inlineStr">
        <is>
          <t>money/mi</t>
        </is>
      </c>
      <c r="H221" s="13" t="n"/>
      <c r="I221" s="2" t="inlineStr">
        <is>
          <t>spreadsheet</t>
        </is>
      </c>
      <c r="J221" s="2" t="n"/>
      <c r="K221" s="14" t="inlineStr">
        <is>
          <t>yours</t>
        </is>
      </c>
    </row>
    <row r="222">
      <c r="A222" s="2" t="n">
        <v>221</v>
      </c>
      <c r="B222" s="2" t="inlineStr">
        <is>
          <t>true_cost.what_changed.maintenance</t>
        </is>
      </c>
      <c r="C222" s="2" t="inlineStr">
        <is>
          <t>alex</t>
        </is>
      </c>
      <c r="D222" s="2" t="inlineStr">
        <is>
          <t>corolla</t>
        </is>
      </c>
      <c r="E222" s="2" t="inlineStr">
        <is>
          <t>2025 vs 2024</t>
        </is>
      </c>
      <c r="F222" s="2" t="inlineStr">
        <is>
          <t>EUR</t>
        </is>
      </c>
      <c r="G222" s="2" t="inlineStr">
        <is>
          <t>money/mi</t>
        </is>
      </c>
      <c r="H222" s="13" t="n"/>
      <c r="I222" s="2" t="inlineStr">
        <is>
          <t>spreadsheet</t>
        </is>
      </c>
      <c r="J222" s="2" t="n"/>
      <c r="K222" s="14" t="inlineStr">
        <is>
          <t>yours</t>
        </is>
      </c>
    </row>
    <row r="223">
      <c r="A223" s="2" t="n">
        <v>222</v>
      </c>
      <c r="B223" s="2" t="inlineStr">
        <is>
          <t>true_cost.what_changed.compliance</t>
        </is>
      </c>
      <c r="C223" s="2" t="inlineStr">
        <is>
          <t>alex</t>
        </is>
      </c>
      <c r="D223" s="2" t="inlineStr">
        <is>
          <t>corolla</t>
        </is>
      </c>
      <c r="E223" s="2" t="inlineStr">
        <is>
          <t>2025 vs 2024</t>
        </is>
      </c>
      <c r="F223" s="2" t="inlineStr">
        <is>
          <t>EUR</t>
        </is>
      </c>
      <c r="G223" s="2" t="inlineStr">
        <is>
          <t>money/mi</t>
        </is>
      </c>
      <c r="H223" s="13" t="n"/>
      <c r="I223" s="2" t="inlineStr">
        <is>
          <t>spreadsheet</t>
        </is>
      </c>
      <c r="J223" s="2" t="n"/>
      <c r="K223" s="14" t="inlineStr">
        <is>
          <t>yours</t>
        </is>
      </c>
    </row>
    <row r="224">
      <c r="A224" s="2" t="n">
        <v>223</v>
      </c>
      <c r="B224" s="2" t="inlineStr">
        <is>
          <t>true_cost.what_changed.other</t>
        </is>
      </c>
      <c r="C224" s="2" t="inlineStr">
        <is>
          <t>alex</t>
        </is>
      </c>
      <c r="D224" s="2" t="inlineStr">
        <is>
          <t>corolla</t>
        </is>
      </c>
      <c r="E224" s="2" t="inlineStr">
        <is>
          <t>2025 vs 2024</t>
        </is>
      </c>
      <c r="F224" s="2" t="inlineStr">
        <is>
          <t>EUR</t>
        </is>
      </c>
      <c r="G224" s="2" t="inlineStr">
        <is>
          <t>money/mi</t>
        </is>
      </c>
      <c r="H224" s="13" t="n"/>
      <c r="I224" s="2" t="inlineStr">
        <is>
          <t>spreadsheet</t>
        </is>
      </c>
      <c r="J224" s="2" t="n"/>
      <c r="K224" s="14" t="inlineStr">
        <is>
          <t>yours</t>
        </is>
      </c>
    </row>
    <row r="225">
      <c r="A225" s="2" t="n">
        <v>224</v>
      </c>
      <c r="B225" s="2" t="inlineStr">
        <is>
          <t>true_cost.what_changed.depreciation</t>
        </is>
      </c>
      <c r="C225" s="2" t="inlineStr">
        <is>
          <t>alex</t>
        </is>
      </c>
      <c r="D225" s="2" t="inlineStr">
        <is>
          <t>corolla</t>
        </is>
      </c>
      <c r="E225" s="2" t="inlineStr">
        <is>
          <t>2025 vs 2024</t>
        </is>
      </c>
      <c r="F225" s="2" t="inlineStr">
        <is>
          <t>EUR</t>
        </is>
      </c>
      <c r="G225" s="2" t="inlineStr">
        <is>
          <t>money/mi</t>
        </is>
      </c>
      <c r="H225" s="13" t="n"/>
      <c r="I225" s="2" t="inlineStr">
        <is>
          <t>spreadsheet+script</t>
        </is>
      </c>
      <c r="J225" s="2" t="n"/>
      <c r="K225" s="14" t="inlineStr">
        <is>
          <t>yours</t>
        </is>
      </c>
    </row>
    <row r="226">
      <c r="A226" s="2" t="n">
        <v>225</v>
      </c>
      <c r="B226" s="2" t="inlineStr">
        <is>
          <t>true_cost.what_changed.total</t>
        </is>
      </c>
      <c r="C226" s="2" t="inlineStr">
        <is>
          <t>alex</t>
        </is>
      </c>
      <c r="D226" s="2" t="inlineStr">
        <is>
          <t>corolla</t>
        </is>
      </c>
      <c r="E226" s="2" t="inlineStr">
        <is>
          <t>2025 vs 2024</t>
        </is>
      </c>
      <c r="F226" s="2" t="inlineStr">
        <is>
          <t>EUR</t>
        </is>
      </c>
      <c r="G226" s="2" t="inlineStr">
        <is>
          <t>money/mi</t>
        </is>
      </c>
      <c r="H226" s="13" t="n"/>
      <c r="I226" s="2" t="inlineStr">
        <is>
          <t>spreadsheet+script</t>
        </is>
      </c>
      <c r="J226" s="2" t="n"/>
      <c r="K226" s="14" t="inlineStr">
        <is>
          <t>yours</t>
        </is>
      </c>
    </row>
    <row r="227">
      <c r="A227" s="2" t="n">
        <v>226</v>
      </c>
      <c r="B227" s="2" t="inlineStr">
        <is>
          <t>true_cost.what_changed.fuel</t>
        </is>
      </c>
      <c r="C227" s="2" t="inlineStr">
        <is>
          <t>alex</t>
        </is>
      </c>
      <c r="D227" s="2" t="inlineStr">
        <is>
          <t>corolla</t>
        </is>
      </c>
      <c r="E227" s="2" t="inlineStr">
        <is>
          <t>2026 vs 2025</t>
        </is>
      </c>
      <c r="F227" s="2" t="inlineStr">
        <is>
          <t>EUR</t>
        </is>
      </c>
      <c r="G227" s="2" t="inlineStr">
        <is>
          <t>money/mi</t>
        </is>
      </c>
      <c r="H227" s="13" t="n"/>
      <c r="I227" s="2" t="inlineStr">
        <is>
          <t>spreadsheet</t>
        </is>
      </c>
      <c r="J227" s="2" t="n"/>
      <c r="K227" s="14" t="inlineStr">
        <is>
          <t>yours</t>
        </is>
      </c>
    </row>
    <row r="228">
      <c r="A228" s="2" t="n">
        <v>227</v>
      </c>
      <c r="B228" s="2" t="inlineStr">
        <is>
          <t>true_cost.what_changed.maintenance</t>
        </is>
      </c>
      <c r="C228" s="2" t="inlineStr">
        <is>
          <t>alex</t>
        </is>
      </c>
      <c r="D228" s="2" t="inlineStr">
        <is>
          <t>corolla</t>
        </is>
      </c>
      <c r="E228" s="2" t="inlineStr">
        <is>
          <t>2026 vs 2025</t>
        </is>
      </c>
      <c r="F228" s="2" t="inlineStr">
        <is>
          <t>EUR</t>
        </is>
      </c>
      <c r="G228" s="2" t="inlineStr">
        <is>
          <t>money/mi</t>
        </is>
      </c>
      <c r="H228" s="13" t="n"/>
      <c r="I228" s="2" t="inlineStr">
        <is>
          <t>spreadsheet</t>
        </is>
      </c>
      <c r="J228" s="2" t="n"/>
      <c r="K228" s="14" t="inlineStr">
        <is>
          <t>yours</t>
        </is>
      </c>
    </row>
    <row r="229">
      <c r="A229" s="2" t="n">
        <v>228</v>
      </c>
      <c r="B229" s="2" t="inlineStr">
        <is>
          <t>true_cost.what_changed.compliance</t>
        </is>
      </c>
      <c r="C229" s="2" t="inlineStr">
        <is>
          <t>alex</t>
        </is>
      </c>
      <c r="D229" s="2" t="inlineStr">
        <is>
          <t>corolla</t>
        </is>
      </c>
      <c r="E229" s="2" t="inlineStr">
        <is>
          <t>2026 vs 2025</t>
        </is>
      </c>
      <c r="F229" s="2" t="inlineStr">
        <is>
          <t>EUR</t>
        </is>
      </c>
      <c r="G229" s="2" t="inlineStr">
        <is>
          <t>money/mi</t>
        </is>
      </c>
      <c r="H229" s="13" t="n"/>
      <c r="I229" s="2" t="inlineStr">
        <is>
          <t>spreadsheet</t>
        </is>
      </c>
      <c r="J229" s="2" t="n"/>
      <c r="K229" s="14" t="inlineStr">
        <is>
          <t>yours</t>
        </is>
      </c>
    </row>
    <row r="230">
      <c r="A230" s="2" t="n">
        <v>229</v>
      </c>
      <c r="B230" s="2" t="inlineStr">
        <is>
          <t>true_cost.what_changed.other</t>
        </is>
      </c>
      <c r="C230" s="2" t="inlineStr">
        <is>
          <t>alex</t>
        </is>
      </c>
      <c r="D230" s="2" t="inlineStr">
        <is>
          <t>corolla</t>
        </is>
      </c>
      <c r="E230" s="2" t="inlineStr">
        <is>
          <t>2026 vs 2025</t>
        </is>
      </c>
      <c r="F230" s="2" t="inlineStr">
        <is>
          <t>EUR</t>
        </is>
      </c>
      <c r="G230" s="2" t="inlineStr">
        <is>
          <t>money/mi</t>
        </is>
      </c>
      <c r="H230" s="13" t="n"/>
      <c r="I230" s="2" t="inlineStr">
        <is>
          <t>spreadsheet</t>
        </is>
      </c>
      <c r="J230" s="2" t="n"/>
      <c r="K230" s="14" t="inlineStr">
        <is>
          <t>yours</t>
        </is>
      </c>
    </row>
    <row r="231">
      <c r="A231" s="2" t="n">
        <v>230</v>
      </c>
      <c r="B231" s="2" t="inlineStr">
        <is>
          <t>true_cost.what_changed.depreciation</t>
        </is>
      </c>
      <c r="C231" s="2" t="inlineStr">
        <is>
          <t>alex</t>
        </is>
      </c>
      <c r="D231" s="2" t="inlineStr">
        <is>
          <t>corolla</t>
        </is>
      </c>
      <c r="E231" s="2" t="inlineStr">
        <is>
          <t>2026 vs 2025</t>
        </is>
      </c>
      <c r="F231" s="2" t="inlineStr">
        <is>
          <t>EUR</t>
        </is>
      </c>
      <c r="G231" s="2" t="inlineStr">
        <is>
          <t>money/mi</t>
        </is>
      </c>
      <c r="H231" s="13" t="n"/>
      <c r="I231" s="2" t="inlineStr">
        <is>
          <t>spreadsheet+script</t>
        </is>
      </c>
      <c r="J231" s="2" t="n"/>
      <c r="K231" s="14" t="inlineStr">
        <is>
          <t>yours</t>
        </is>
      </c>
    </row>
    <row r="232">
      <c r="A232" s="2" t="n">
        <v>231</v>
      </c>
      <c r="B232" s="2" t="inlineStr">
        <is>
          <t>true_cost.what_changed.total</t>
        </is>
      </c>
      <c r="C232" s="2" t="inlineStr">
        <is>
          <t>alex</t>
        </is>
      </c>
      <c r="D232" s="2" t="inlineStr">
        <is>
          <t>corolla</t>
        </is>
      </c>
      <c r="E232" s="2" t="inlineStr">
        <is>
          <t>2026 vs 2025</t>
        </is>
      </c>
      <c r="F232" s="2" t="inlineStr">
        <is>
          <t>EUR</t>
        </is>
      </c>
      <c r="G232" s="2" t="inlineStr">
        <is>
          <t>money/mi</t>
        </is>
      </c>
      <c r="H232" s="13" t="n"/>
      <c r="I232" s="2" t="inlineStr">
        <is>
          <t>spreadsheet+script</t>
        </is>
      </c>
      <c r="J232" s="2" t="n"/>
      <c r="K232" s="14" t="inlineStr">
        <is>
          <t>yours</t>
        </is>
      </c>
    </row>
    <row r="233">
      <c r="A233" s="2" t="n">
        <v>232</v>
      </c>
      <c r="B233" s="2" t="inlineStr">
        <is>
          <t>true_cost.what_changed.total</t>
        </is>
      </c>
      <c r="C233" s="2" t="inlineStr">
        <is>
          <t>alex</t>
        </is>
      </c>
      <c r="D233" s="2" t="inlineStr">
        <is>
          <t>corolla</t>
        </is>
      </c>
      <c r="E233" s="2" t="inlineStr">
        <is>
          <t>last_12_months_vs_previous</t>
        </is>
      </c>
      <c r="F233" s="2" t="inlineStr">
        <is>
          <t>EUR</t>
        </is>
      </c>
      <c r="G233" s="2" t="inlineStr">
        <is>
          <t>money/mi</t>
        </is>
      </c>
      <c r="H233" s="13" t="n"/>
      <c r="I233" s="2" t="inlineStr">
        <is>
          <t>spreadsheet+script</t>
        </is>
      </c>
      <c r="J233" s="2" t="n"/>
      <c r="K233" s="14" t="inlineStr">
        <is>
          <t>yours</t>
        </is>
      </c>
    </row>
    <row r="234">
      <c r="A234" s="2" t="n">
        <v>233</v>
      </c>
      <c r="B234" s="2" t="inlineStr">
        <is>
          <t>finance.payments_made</t>
        </is>
      </c>
      <c r="C234" s="2" t="inlineStr">
        <is>
          <t>alex</t>
        </is>
      </c>
      <c r="D234" s="2" t="inlineStr">
        <is>
          <t>golf</t>
        </is>
      </c>
      <c r="E234" s="2" t="inlineStr">
        <is>
          <t>today</t>
        </is>
      </c>
      <c r="F234" s="2" t="inlineStr">
        <is>
          <t>GBP</t>
        </is>
      </c>
      <c r="G234" s="2" t="inlineStr">
        <is>
          <t>count</t>
        </is>
      </c>
      <c r="H234" s="16" t="n"/>
      <c r="I234" s="2" t="inlineStr">
        <is>
          <t>spreadsheet+script</t>
        </is>
      </c>
      <c r="J234" s="2" t="inlineStr">
        <is>
          <t>golf-pcp</t>
        </is>
      </c>
      <c r="K234" s="14" t="inlineStr">
        <is>
          <t>yours</t>
        </is>
      </c>
    </row>
    <row r="235">
      <c r="A235" s="2" t="n">
        <v>234</v>
      </c>
      <c r="B235" s="2" t="inlineStr">
        <is>
          <t>finance.payments_remaining</t>
        </is>
      </c>
      <c r="C235" s="2" t="inlineStr">
        <is>
          <t>alex</t>
        </is>
      </c>
      <c r="D235" s="2" t="inlineStr">
        <is>
          <t>golf</t>
        </is>
      </c>
      <c r="E235" s="2" t="inlineStr">
        <is>
          <t>today</t>
        </is>
      </c>
      <c r="F235" s="2" t="inlineStr">
        <is>
          <t>GBP</t>
        </is>
      </c>
      <c r="G235" s="2" t="inlineStr">
        <is>
          <t>count</t>
        </is>
      </c>
      <c r="H235" s="16" t="n"/>
      <c r="I235" s="2" t="inlineStr">
        <is>
          <t>spreadsheet+script</t>
        </is>
      </c>
      <c r="J235" s="2" t="inlineStr">
        <is>
          <t>golf-pcp</t>
        </is>
      </c>
      <c r="K235" s="14" t="inlineStr">
        <is>
          <t>yours</t>
        </is>
      </c>
    </row>
    <row r="236">
      <c r="A236" s="2" t="n">
        <v>235</v>
      </c>
      <c r="B236" s="2" t="inlineStr">
        <is>
          <t>finance.amount_paid</t>
        </is>
      </c>
      <c r="C236" s="2" t="inlineStr">
        <is>
          <t>alex</t>
        </is>
      </c>
      <c r="D236" s="2" t="inlineStr">
        <is>
          <t>golf</t>
        </is>
      </c>
      <c r="E236" s="2" t="inlineStr">
        <is>
          <t>today</t>
        </is>
      </c>
      <c r="F236" s="2" t="inlineStr">
        <is>
          <t>GBP</t>
        </is>
      </c>
      <c r="G236" s="2" t="inlineStr">
        <is>
          <t>money</t>
        </is>
      </c>
      <c r="H236" s="13" t="n"/>
      <c r="I236" s="2" t="inlineStr">
        <is>
          <t>spreadsheet+script</t>
        </is>
      </c>
      <c r="J236" s="2" t="inlineStr">
        <is>
          <t>golf-pcp</t>
        </is>
      </c>
      <c r="K236" s="14" t="inlineStr">
        <is>
          <t>yours</t>
        </is>
      </c>
    </row>
    <row r="237">
      <c r="A237" s="2" t="n">
        <v>236</v>
      </c>
      <c r="B237" s="2" t="inlineStr">
        <is>
          <t>finance.interest_so_far</t>
        </is>
      </c>
      <c r="C237" s="2" t="inlineStr">
        <is>
          <t>alex</t>
        </is>
      </c>
      <c r="D237" s="2" t="inlineStr">
        <is>
          <t>golf</t>
        </is>
      </c>
      <c r="E237" s="2" t="inlineStr">
        <is>
          <t>today</t>
        </is>
      </c>
      <c r="F237" s="2" t="inlineStr">
        <is>
          <t>GBP</t>
        </is>
      </c>
      <c r="G237" s="2" t="inlineStr">
        <is>
          <t>money</t>
        </is>
      </c>
      <c r="H237" s="13" t="n"/>
      <c r="I237" s="2" t="inlineStr">
        <is>
          <t>spreadsheet+script</t>
        </is>
      </c>
      <c r="J237" s="2" t="inlineStr">
        <is>
          <t>golf-pcp</t>
        </is>
      </c>
      <c r="K237" s="14" t="inlineStr">
        <is>
          <t>yours</t>
        </is>
      </c>
    </row>
    <row r="238">
      <c r="A238" s="2" t="n">
        <v>237</v>
      </c>
      <c r="B238" s="2" t="inlineStr">
        <is>
          <t>finance.cost_of_credit</t>
        </is>
      </c>
      <c r="C238" s="2" t="inlineStr">
        <is>
          <t>alex</t>
        </is>
      </c>
      <c r="D238" s="2" t="inlineStr">
        <is>
          <t>golf</t>
        </is>
      </c>
      <c r="E238" s="2" t="inlineStr">
        <is>
          <t>today</t>
        </is>
      </c>
      <c r="F238" s="2" t="inlineStr">
        <is>
          <t>GBP</t>
        </is>
      </c>
      <c r="G238" s="2" t="inlineStr">
        <is>
          <t>money</t>
        </is>
      </c>
      <c r="H238" s="13" t="n"/>
      <c r="I238" s="2" t="inlineStr">
        <is>
          <t>spreadsheet+script</t>
        </is>
      </c>
      <c r="J238" s="2" t="inlineStr">
        <is>
          <t>golf-pcp</t>
        </is>
      </c>
      <c r="K238" s="14" t="inlineStr">
        <is>
          <t>yours</t>
        </is>
      </c>
    </row>
    <row r="239">
      <c r="A239" s="2" t="n">
        <v>238</v>
      </c>
      <c r="B239" s="2" t="inlineStr">
        <is>
          <t>finance.payments_made</t>
        </is>
      </c>
      <c r="C239" s="2" t="inlineStr">
        <is>
          <t>alex</t>
        </is>
      </c>
      <c r="D239" s="2" t="inlineStr">
        <is>
          <t>ev</t>
        </is>
      </c>
      <c r="E239" s="2" t="inlineStr">
        <is>
          <t>today</t>
        </is>
      </c>
      <c r="F239" s="2" t="inlineStr">
        <is>
          <t>GBP</t>
        </is>
      </c>
      <c r="G239" s="2" t="inlineStr">
        <is>
          <t>count</t>
        </is>
      </c>
      <c r="H239" s="16" t="n"/>
      <c r="I239" s="2" t="inlineStr">
        <is>
          <t>spreadsheet+script</t>
        </is>
      </c>
      <c r="J239" s="2" t="inlineStr">
        <is>
          <t>ev-hp</t>
        </is>
      </c>
      <c r="K239" s="14" t="inlineStr">
        <is>
          <t>yours</t>
        </is>
      </c>
    </row>
    <row r="240">
      <c r="A240" s="2" t="n">
        <v>239</v>
      </c>
      <c r="B240" s="2" t="inlineStr">
        <is>
          <t>finance.payments_remaining</t>
        </is>
      </c>
      <c r="C240" s="2" t="inlineStr">
        <is>
          <t>alex</t>
        </is>
      </c>
      <c r="D240" s="2" t="inlineStr">
        <is>
          <t>ev</t>
        </is>
      </c>
      <c r="E240" s="2" t="inlineStr">
        <is>
          <t>today</t>
        </is>
      </c>
      <c r="F240" s="2" t="inlineStr">
        <is>
          <t>GBP</t>
        </is>
      </c>
      <c r="G240" s="2" t="inlineStr">
        <is>
          <t>count</t>
        </is>
      </c>
      <c r="H240" s="16" t="n"/>
      <c r="I240" s="2" t="inlineStr">
        <is>
          <t>spreadsheet+script</t>
        </is>
      </c>
      <c r="J240" s="2" t="inlineStr">
        <is>
          <t>ev-hp</t>
        </is>
      </c>
      <c r="K240" s="14" t="inlineStr">
        <is>
          <t>yours</t>
        </is>
      </c>
    </row>
    <row r="241">
      <c r="A241" s="2" t="n">
        <v>240</v>
      </c>
      <c r="B241" s="2" t="inlineStr">
        <is>
          <t>finance.amount_paid</t>
        </is>
      </c>
      <c r="C241" s="2" t="inlineStr">
        <is>
          <t>alex</t>
        </is>
      </c>
      <c r="D241" s="2" t="inlineStr">
        <is>
          <t>ev</t>
        </is>
      </c>
      <c r="E241" s="2" t="inlineStr">
        <is>
          <t>today</t>
        </is>
      </c>
      <c r="F241" s="2" t="inlineStr">
        <is>
          <t>GBP</t>
        </is>
      </c>
      <c r="G241" s="2" t="inlineStr">
        <is>
          <t>money</t>
        </is>
      </c>
      <c r="H241" s="13" t="n"/>
      <c r="I241" s="2" t="inlineStr">
        <is>
          <t>spreadsheet+script</t>
        </is>
      </c>
      <c r="J241" s="2" t="inlineStr">
        <is>
          <t>ev-hp</t>
        </is>
      </c>
      <c r="K241" s="14" t="inlineStr">
        <is>
          <t>yours</t>
        </is>
      </c>
    </row>
    <row r="242">
      <c r="A242" s="2" t="n">
        <v>241</v>
      </c>
      <c r="B242" s="2" t="inlineStr">
        <is>
          <t>finance.interest_so_far</t>
        </is>
      </c>
      <c r="C242" s="2" t="inlineStr">
        <is>
          <t>alex</t>
        </is>
      </c>
      <c r="D242" s="2" t="inlineStr">
        <is>
          <t>ev</t>
        </is>
      </c>
      <c r="E242" s="2" t="inlineStr">
        <is>
          <t>today</t>
        </is>
      </c>
      <c r="F242" s="2" t="inlineStr">
        <is>
          <t>GBP</t>
        </is>
      </c>
      <c r="G242" s="2" t="inlineStr">
        <is>
          <t>money</t>
        </is>
      </c>
      <c r="H242" s="13" t="n"/>
      <c r="I242" s="2" t="inlineStr">
        <is>
          <t>spreadsheet+script</t>
        </is>
      </c>
      <c r="J242" s="2" t="inlineStr">
        <is>
          <t>ev-hp</t>
        </is>
      </c>
      <c r="K242" s="14" t="inlineStr">
        <is>
          <t>yours</t>
        </is>
      </c>
    </row>
    <row r="243">
      <c r="A243" s="2" t="n">
        <v>242</v>
      </c>
      <c r="B243" s="2" t="inlineStr">
        <is>
          <t>finance.cost_of_credit</t>
        </is>
      </c>
      <c r="C243" s="2" t="inlineStr">
        <is>
          <t>alex</t>
        </is>
      </c>
      <c r="D243" s="2" t="inlineStr">
        <is>
          <t>ev</t>
        </is>
      </c>
      <c r="E243" s="2" t="inlineStr">
        <is>
          <t>today</t>
        </is>
      </c>
      <c r="F243" s="2" t="inlineStr">
        <is>
          <t>GBP</t>
        </is>
      </c>
      <c r="G243" s="2" t="inlineStr">
        <is>
          <t>money</t>
        </is>
      </c>
      <c r="H243" s="13" t="n"/>
      <c r="I243" s="2" t="inlineStr">
        <is>
          <t>spreadsheet+script</t>
        </is>
      </c>
      <c r="J243" s="2" t="inlineStr">
        <is>
          <t>ev-hp</t>
        </is>
      </c>
      <c r="K243" s="14" t="inlineStr">
        <is>
          <t>yours</t>
        </is>
      </c>
    </row>
    <row r="244">
      <c r="A244" s="2" t="n">
        <v>243</v>
      </c>
      <c r="B244" s="2" t="inlineStr">
        <is>
          <t>finance.settlement_estimate</t>
        </is>
      </c>
      <c r="C244" s="2" t="inlineStr">
        <is>
          <t>alex</t>
        </is>
      </c>
      <c r="D244" s="2" t="inlineStr">
        <is>
          <t>ev</t>
        </is>
      </c>
      <c r="E244" s="2" t="inlineStr">
        <is>
          <t>today</t>
        </is>
      </c>
      <c r="F244" s="2" t="inlineStr">
        <is>
          <t>GBP</t>
        </is>
      </c>
      <c r="G244" s="2" t="inlineStr">
        <is>
          <t>money</t>
        </is>
      </c>
      <c r="H244" s="13" t="n"/>
      <c r="I244" s="2" t="inlineStr">
        <is>
          <t>spreadsheet+script</t>
        </is>
      </c>
      <c r="J244" s="2" t="inlineStr">
        <is>
          <t>ev-hp</t>
        </is>
      </c>
      <c r="K244" s="14" t="inlineStr">
        <is>
          <t>yours</t>
        </is>
      </c>
    </row>
    <row r="245">
      <c r="A245" s="2" t="n">
        <v>244</v>
      </c>
      <c r="B245" s="2" t="inlineStr">
        <is>
          <t>finance.equity</t>
        </is>
      </c>
      <c r="C245" s="2" t="inlineStr">
        <is>
          <t>alex</t>
        </is>
      </c>
      <c r="D245" s="2" t="inlineStr">
        <is>
          <t>ev</t>
        </is>
      </c>
      <c r="E245" s="2" t="inlineStr">
        <is>
          <t>today</t>
        </is>
      </c>
      <c r="F245" s="2" t="inlineStr">
        <is>
          <t>GBP</t>
        </is>
      </c>
      <c r="G245" s="2" t="inlineStr">
        <is>
          <t>money</t>
        </is>
      </c>
      <c r="H245" s="13" t="n"/>
      <c r="I245" s="2" t="inlineStr">
        <is>
          <t>spreadsheet+script</t>
        </is>
      </c>
      <c r="J245" s="2" t="inlineStr">
        <is>
          <t>ev-hp</t>
        </is>
      </c>
      <c r="K245" s="14" t="inlineStr">
        <is>
          <t>yours</t>
        </is>
      </c>
    </row>
    <row r="246">
      <c r="A246" s="2" t="n">
        <v>245</v>
      </c>
      <c r="B246" s="2" t="inlineStr">
        <is>
          <t>claim.business_distance</t>
        </is>
      </c>
      <c r="C246" s="2" t="inlineStr">
        <is>
          <t>alex</t>
        </is>
      </c>
      <c r="D246" s="2" t="inlineStr">
        <is>
          <t>golf</t>
        </is>
      </c>
      <c r="E246" s="2" t="inlineStr">
        <is>
          <t>tax_year 2023-24</t>
        </is>
      </c>
      <c r="F246" s="2" t="n"/>
      <c r="G246" s="2" t="inlineStr">
        <is>
          <t>mi</t>
        </is>
      </c>
      <c r="H246" s="17">
        <f>ROUND(SUMIFS(trips!$L$2:$L$144,trips!$I$2:$I$144,"yes",trips!$K$2:$K$144,"2023-24"),0)</f>
        <v/>
      </c>
      <c r="I246" s="2" t="inlineStr">
        <is>
          <t>spreadsheet</t>
        </is>
      </c>
      <c r="J246" s="2" t="n"/>
      <c r="K246" s="14" t="inlineStr">
        <is>
          <t>example formula (Claude): check it, or replace it with your own</t>
        </is>
      </c>
    </row>
    <row r="247">
      <c r="A247" s="2" t="n">
        <v>246</v>
      </c>
      <c r="B247" s="2" t="inlineStr">
        <is>
          <t>claim.amount</t>
        </is>
      </c>
      <c r="C247" s="2" t="inlineStr">
        <is>
          <t>alex</t>
        </is>
      </c>
      <c r="D247" s="2" t="inlineStr">
        <is>
          <t>golf</t>
        </is>
      </c>
      <c r="E247" s="2" t="inlineStr">
        <is>
          <t>tax_year 2023-24</t>
        </is>
      </c>
      <c r="F247" s="2" t="inlineStr">
        <is>
          <t>GBP</t>
        </is>
      </c>
      <c r="G247" s="2" t="inlineStr">
        <is>
          <t>money</t>
        </is>
      </c>
      <c r="H247" s="13" t="n"/>
      <c r="I247" s="2" t="inlineStr">
        <is>
          <t>spreadsheet</t>
        </is>
      </c>
      <c r="J247" s="2" t="n"/>
      <c r="K247" s="14" t="inlineStr">
        <is>
          <t>yours</t>
        </is>
      </c>
    </row>
    <row r="248">
      <c r="A248" s="2" t="n">
        <v>247</v>
      </c>
      <c r="B248" s="2" t="inlineStr">
        <is>
          <t>claim.business_distance</t>
        </is>
      </c>
      <c r="C248" s="2" t="inlineStr">
        <is>
          <t>alex</t>
        </is>
      </c>
      <c r="D248" s="2" t="inlineStr">
        <is>
          <t>golf</t>
        </is>
      </c>
      <c r="E248" s="2" t="inlineStr">
        <is>
          <t>tax_year 2024-25</t>
        </is>
      </c>
      <c r="F248" s="2" t="n"/>
      <c r="G248" s="2" t="inlineStr">
        <is>
          <t>mi</t>
        </is>
      </c>
      <c r="H248" s="17">
        <f>ROUND(SUMIFS(trips!$L$2:$L$144,trips!$I$2:$I$144,"yes",trips!$K$2:$K$144,"2024-25"),0)</f>
        <v/>
      </c>
      <c r="I248" s="2" t="inlineStr">
        <is>
          <t>spreadsheet</t>
        </is>
      </c>
      <c r="J248" s="2" t="n"/>
      <c r="K248" s="14" t="inlineStr">
        <is>
          <t>example formula (Claude): check it, or replace it with your own</t>
        </is>
      </c>
    </row>
    <row r="249">
      <c r="A249" s="2" t="n">
        <v>248</v>
      </c>
      <c r="B249" s="2" t="inlineStr">
        <is>
          <t>claim.amount</t>
        </is>
      </c>
      <c r="C249" s="2" t="inlineStr">
        <is>
          <t>alex</t>
        </is>
      </c>
      <c r="D249" s="2" t="inlineStr">
        <is>
          <t>golf</t>
        </is>
      </c>
      <c r="E249" s="2" t="inlineStr">
        <is>
          <t>tax_year 2024-25</t>
        </is>
      </c>
      <c r="F249" s="2" t="inlineStr">
        <is>
          <t>GBP</t>
        </is>
      </c>
      <c r="G249" s="2" t="inlineStr">
        <is>
          <t>money</t>
        </is>
      </c>
      <c r="H249" s="13" t="n"/>
      <c r="I249" s="2" t="inlineStr">
        <is>
          <t>spreadsheet</t>
        </is>
      </c>
      <c r="J249" s="2" t="n"/>
      <c r="K249" s="14" t="inlineStr">
        <is>
          <t>yours</t>
        </is>
      </c>
    </row>
    <row r="250">
      <c r="A250" s="2" t="n">
        <v>249</v>
      </c>
      <c r="B250" s="2" t="inlineStr">
        <is>
          <t>claim.business_distance</t>
        </is>
      </c>
      <c r="C250" s="2" t="inlineStr">
        <is>
          <t>alex</t>
        </is>
      </c>
      <c r="D250" s="2" t="inlineStr">
        <is>
          <t>golf</t>
        </is>
      </c>
      <c r="E250" s="2" t="inlineStr">
        <is>
          <t>tax_year 2025-26</t>
        </is>
      </c>
      <c r="F250" s="2" t="n"/>
      <c r="G250" s="2" t="inlineStr">
        <is>
          <t>mi</t>
        </is>
      </c>
      <c r="H250" s="17">
        <f>ROUND(SUMIFS(trips!$L$2:$L$144,trips!$I$2:$I$144,"yes",trips!$K$2:$K$144,"2025-26"),0)</f>
        <v/>
      </c>
      <c r="I250" s="2" t="inlineStr">
        <is>
          <t>spreadsheet</t>
        </is>
      </c>
      <c r="J250" s="2" t="n"/>
      <c r="K250" s="14" t="inlineStr">
        <is>
          <t>example formula (Claude): check it, or replace it with your own</t>
        </is>
      </c>
    </row>
    <row r="251">
      <c r="A251" s="2" t="n">
        <v>250</v>
      </c>
      <c r="B251" s="2" t="inlineStr">
        <is>
          <t>claim.amount</t>
        </is>
      </c>
      <c r="C251" s="2" t="inlineStr">
        <is>
          <t>alex</t>
        </is>
      </c>
      <c r="D251" s="2" t="inlineStr">
        <is>
          <t>golf</t>
        </is>
      </c>
      <c r="E251" s="2" t="inlineStr">
        <is>
          <t>tax_year 2025-26</t>
        </is>
      </c>
      <c r="F251" s="2" t="inlineStr">
        <is>
          <t>GBP</t>
        </is>
      </c>
      <c r="G251" s="2" t="inlineStr">
        <is>
          <t>money</t>
        </is>
      </c>
      <c r="H251" s="13" t="n"/>
      <c r="I251" s="2" t="inlineStr">
        <is>
          <t>spreadsheet</t>
        </is>
      </c>
      <c r="J251" s="2" t="n"/>
      <c r="K251" s="14" t="inlineStr">
        <is>
          <t>yours</t>
        </is>
      </c>
    </row>
    <row r="252">
      <c r="A252" s="2" t="n">
        <v>251</v>
      </c>
      <c r="B252" s="2" t="inlineStr">
        <is>
          <t>claim.business_distance</t>
        </is>
      </c>
      <c r="C252" s="2" t="inlineStr">
        <is>
          <t>alex</t>
        </is>
      </c>
      <c r="D252" s="2" t="inlineStr">
        <is>
          <t>golf</t>
        </is>
      </c>
      <c r="E252" s="2" t="inlineStr">
        <is>
          <t>tax_year 2026-27</t>
        </is>
      </c>
      <c r="F252" s="2" t="n"/>
      <c r="G252" s="2" t="inlineStr">
        <is>
          <t>mi</t>
        </is>
      </c>
      <c r="H252" s="17">
        <f>ROUND(SUMIFS(trips!$L$2:$L$144,trips!$I$2:$I$144,"yes",trips!$K$2:$K$144,"2026-27"),0)</f>
        <v/>
      </c>
      <c r="I252" s="2" t="inlineStr">
        <is>
          <t>spreadsheet</t>
        </is>
      </c>
      <c r="J252" s="2" t="n"/>
      <c r="K252" s="14" t="inlineStr">
        <is>
          <t>example formula (Claude): check it, or replace it with your own</t>
        </is>
      </c>
    </row>
    <row r="253">
      <c r="A253" s="2" t="n">
        <v>252</v>
      </c>
      <c r="B253" s="2" t="inlineStr">
        <is>
          <t>claim.amount</t>
        </is>
      </c>
      <c r="C253" s="2" t="inlineStr">
        <is>
          <t>alex</t>
        </is>
      </c>
      <c r="D253" s="2" t="inlineStr">
        <is>
          <t>golf</t>
        </is>
      </c>
      <c r="E253" s="2" t="inlineStr">
        <is>
          <t>tax_year 2026-27</t>
        </is>
      </c>
      <c r="F253" s="2" t="inlineStr">
        <is>
          <t>GBP</t>
        </is>
      </c>
      <c r="G253" s="2" t="inlineStr">
        <is>
          <t>money</t>
        </is>
      </c>
      <c r="H253" s="13" t="n"/>
      <c r="I253" s="2" t="inlineStr">
        <is>
          <t>spreadsheet</t>
        </is>
      </c>
      <c r="J253" s="2" t="n"/>
      <c r="K253" s="14" t="inlineStr">
        <is>
          <t>yours</t>
        </is>
      </c>
    </row>
    <row r="254">
      <c r="A254" s="2" t="n">
        <v>253</v>
      </c>
      <c r="B254" s="2" t="inlineStr">
        <is>
          <t>coming_up.total</t>
        </is>
      </c>
      <c r="C254" s="2" t="inlineStr">
        <is>
          <t>alex</t>
        </is>
      </c>
      <c r="D254" s="2" t="inlineStr">
        <is>
          <t>all</t>
        </is>
      </c>
      <c r="E254" s="2" t="inlineStr">
        <is>
          <t>next_3_months</t>
        </is>
      </c>
      <c r="F254" s="2" t="inlineStr">
        <is>
          <t>GBP</t>
        </is>
      </c>
      <c r="G254" s="2" t="inlineStr">
        <is>
          <t>money</t>
        </is>
      </c>
      <c r="H254" s="13" t="n"/>
      <c r="I254" s="2" t="inlineStr">
        <is>
          <t>spreadsheet</t>
        </is>
      </c>
      <c r="J254" s="2" t="inlineStr">
        <is>
          <t>put at_least here when any item has no known cost</t>
        </is>
      </c>
      <c r="K254" s="14" t="inlineStr">
        <is>
          <t>yours</t>
        </is>
      </c>
    </row>
    <row r="255">
      <c r="A255" s="2" t="n">
        <v>254</v>
      </c>
      <c r="B255" s="2" t="inlineStr">
        <is>
          <t>coming_up.total</t>
        </is>
      </c>
      <c r="C255" s="2" t="inlineStr">
        <is>
          <t>alex</t>
        </is>
      </c>
      <c r="D255" s="2" t="inlineStr">
        <is>
          <t>all</t>
        </is>
      </c>
      <c r="E255" s="2" t="inlineStr">
        <is>
          <t>next_12_months</t>
        </is>
      </c>
      <c r="F255" s="2" t="inlineStr">
        <is>
          <t>GBP</t>
        </is>
      </c>
      <c r="G255" s="2" t="inlineStr">
        <is>
          <t>money</t>
        </is>
      </c>
      <c r="H255" s="13" t="n"/>
      <c r="I255" s="2" t="inlineStr">
        <is>
          <t>spreadsheet</t>
        </is>
      </c>
      <c r="J255" s="2" t="inlineStr">
        <is>
          <t>put at_least here when any item has no known cost</t>
        </is>
      </c>
      <c r="K255" s="14" t="inlineStr">
        <is>
          <t>yours</t>
        </is>
      </c>
    </row>
    <row r="256">
      <c r="A256" s="2" t="n">
        <v>255</v>
      </c>
      <c r="B256" s="2" t="inlineStr">
        <is>
          <t>coming_up.total</t>
        </is>
      </c>
      <c r="C256" s="2" t="inlineStr">
        <is>
          <t>alex</t>
        </is>
      </c>
      <c r="D256" s="2" t="inlineStr">
        <is>
          <t>all</t>
        </is>
      </c>
      <c r="E256" s="2" t="inlineStr">
        <is>
          <t>next_3_months</t>
        </is>
      </c>
      <c r="F256" s="2" t="inlineStr">
        <is>
          <t>EUR</t>
        </is>
      </c>
      <c r="G256" s="2" t="inlineStr">
        <is>
          <t>money</t>
        </is>
      </c>
      <c r="H256" s="13" t="n"/>
      <c r="I256" s="2" t="inlineStr">
        <is>
          <t>spreadsheet</t>
        </is>
      </c>
      <c r="J256" s="2" t="inlineStr">
        <is>
          <t>put at_least here when any item has no known cost</t>
        </is>
      </c>
      <c r="K256" s="14" t="inlineStr">
        <is>
          <t>yours</t>
        </is>
      </c>
    </row>
    <row r="257">
      <c r="A257" s="2" t="n">
        <v>256</v>
      </c>
      <c r="B257" s="2" t="inlineStr">
        <is>
          <t>coming_up.total</t>
        </is>
      </c>
      <c r="C257" s="2" t="inlineStr">
        <is>
          <t>alex</t>
        </is>
      </c>
      <c r="D257" s="2" t="inlineStr">
        <is>
          <t>all</t>
        </is>
      </c>
      <c r="E257" s="2" t="inlineStr">
        <is>
          <t>next_12_months</t>
        </is>
      </c>
      <c r="F257" s="2" t="inlineStr">
        <is>
          <t>EUR</t>
        </is>
      </c>
      <c r="G257" s="2" t="inlineStr">
        <is>
          <t>money</t>
        </is>
      </c>
      <c r="H257" s="13" t="n"/>
      <c r="I257" s="2" t="inlineStr">
        <is>
          <t>spreadsheet</t>
        </is>
      </c>
      <c r="J257" s="2" t="inlineStr">
        <is>
          <t>put at_least here when any item has no known cost</t>
        </is>
      </c>
      <c r="K257" s="14" t="inlineStr">
        <is>
          <t>yours</t>
        </is>
      </c>
    </row>
    <row r="258">
      <c r="A258" s="2" t="n">
        <v>257</v>
      </c>
      <c r="B258" s="2" t="inlineStr">
        <is>
          <t>coming_up.total</t>
        </is>
      </c>
      <c r="C258" s="2" t="inlineStr">
        <is>
          <t>sam</t>
        </is>
      </c>
      <c r="D258" s="2" t="inlineStr">
        <is>
          <t>all</t>
        </is>
      </c>
      <c r="E258" s="2" t="inlineStr">
        <is>
          <t>next_3_months</t>
        </is>
      </c>
      <c r="F258" s="2" t="inlineStr">
        <is>
          <t>EUR</t>
        </is>
      </c>
      <c r="G258" s="2" t="inlineStr">
        <is>
          <t>money</t>
        </is>
      </c>
      <c r="H258" s="13" t="n"/>
      <c r="I258" s="2" t="inlineStr">
        <is>
          <t>spreadsheet</t>
        </is>
      </c>
      <c r="J258" s="2" t="inlineStr">
        <is>
          <t>put at_least here when any item has no known cost</t>
        </is>
      </c>
      <c r="K258" s="14" t="inlineStr">
        <is>
          <t>yours</t>
        </is>
      </c>
    </row>
    <row r="259">
      <c r="A259" s="2" t="n">
        <v>258</v>
      </c>
      <c r="B259" s="2" t="inlineStr">
        <is>
          <t>coming_up.total</t>
        </is>
      </c>
      <c r="C259" s="2" t="inlineStr">
        <is>
          <t>sam</t>
        </is>
      </c>
      <c r="D259" s="2" t="inlineStr">
        <is>
          <t>all</t>
        </is>
      </c>
      <c r="E259" s="2" t="inlineStr">
        <is>
          <t>next_12_months</t>
        </is>
      </c>
      <c r="F259" s="2" t="inlineStr">
        <is>
          <t>EUR</t>
        </is>
      </c>
      <c r="G259" s="2" t="inlineStr">
        <is>
          <t>money</t>
        </is>
      </c>
      <c r="H259" s="13" t="n"/>
      <c r="I259" s="2" t="inlineStr">
        <is>
          <t>spreadsheet</t>
        </is>
      </c>
      <c r="J259" s="2" t="inlineStr">
        <is>
          <t>put at_least here when any item has no known cost</t>
        </is>
      </c>
      <c r="K259" s="14" t="inlineStr">
        <is>
          <t>yours</t>
        </is>
      </c>
    </row>
    <row r="260">
      <c r="A260" s="2" t="n">
        <v>259</v>
      </c>
      <c r="B260" s="2" t="inlineStr">
        <is>
          <t>economy.lifetime</t>
        </is>
      </c>
      <c r="C260" s="2" t="inlineStr">
        <is>
          <t>alex</t>
        </is>
      </c>
      <c r="D260" s="2" t="inlineStr">
        <is>
          <t>golf</t>
        </is>
      </c>
      <c r="E260" s="2" t="inlineStr">
        <is>
          <t>all_time</t>
        </is>
      </c>
      <c r="F260" s="2" t="n"/>
      <c r="G260" s="2" t="inlineStr">
        <is>
          <t>l/100km</t>
        </is>
      </c>
      <c r="H260" s="18">
        <f>ROUND(SUMIFS(fillups!$L$2:$L$596,fillups!$A$2:$A$596,"golf",fillups!$M$2:$M$596,"&gt;0")/SUMIFS(fillups!$M$2:$M$596,fillups!$A$2:$A$596,"golf")*100,2)</f>
        <v/>
      </c>
      <c r="I260" s="2" t="inlineStr">
        <is>
          <t>spreadsheet</t>
        </is>
      </c>
      <c r="J260" s="2" t="n"/>
      <c r="K260" s="14" t="inlineStr">
        <is>
          <t>example formula (Claude): check it, or replace it with your own</t>
        </is>
      </c>
    </row>
    <row r="261">
      <c r="A261" s="2" t="n">
        <v>260</v>
      </c>
      <c r="B261" s="2" t="inlineStr">
        <is>
          <t>economy.segment</t>
        </is>
      </c>
      <c r="C261" s="2" t="inlineStr">
        <is>
          <t>alex</t>
        </is>
      </c>
      <c r="D261" s="2" t="inlineStr">
        <is>
          <t>golf</t>
        </is>
      </c>
      <c r="E261" s="2" t="inlineStr">
        <is>
          <t>segment ending 2023-10-30 18:05</t>
        </is>
      </c>
      <c r="F261" s="2" t="n"/>
      <c r="G261" s="2" t="inlineStr">
        <is>
          <t>l/100km</t>
        </is>
      </c>
      <c r="H261" s="18">
        <f>IFERROR(ROUND(INDEX(fillups!$N$2:$N$596,MATCH("golf|2023-10-30 18:05",fillups!$O$2:$O$596,0)),2),"—")</f>
        <v/>
      </c>
      <c r="I261" s="2" t="inlineStr">
        <is>
          <t>spreadsheet</t>
        </is>
      </c>
      <c r="J261" s="2" t="n"/>
      <c r="K261" s="14" t="inlineStr">
        <is>
          <t>example formula (Claude): check it, or replace it with your own</t>
        </is>
      </c>
    </row>
    <row r="262">
      <c r="A262" s="2" t="n">
        <v>261</v>
      </c>
      <c r="B262" s="2" t="inlineStr">
        <is>
          <t>economy.segment</t>
        </is>
      </c>
      <c r="C262" s="2" t="inlineStr">
        <is>
          <t>alex</t>
        </is>
      </c>
      <c r="D262" s="2" t="inlineStr">
        <is>
          <t>golf</t>
        </is>
      </c>
      <c r="E262" s="2" t="inlineStr">
        <is>
          <t>segment ending 2023-11-09 16:53</t>
        </is>
      </c>
      <c r="F262" s="2" t="n"/>
      <c r="G262" s="2" t="inlineStr">
        <is>
          <t>l/100km</t>
        </is>
      </c>
      <c r="H262" s="18">
        <f>IFERROR(ROUND(INDEX(fillups!$N$2:$N$596,MATCH("golf|2023-11-09 16:53",fillups!$O$2:$O$596,0)),2),"—")</f>
        <v/>
      </c>
      <c r="I262" s="2" t="inlineStr">
        <is>
          <t>spreadsheet</t>
        </is>
      </c>
      <c r="J262" s="2" t="n"/>
      <c r="K262" s="14" t="inlineStr">
        <is>
          <t>example formula (Claude): check it, or replace it with your own</t>
        </is>
      </c>
    </row>
    <row r="263">
      <c r="A263" s="2" t="n">
        <v>262</v>
      </c>
      <c r="B263" s="2" t="inlineStr">
        <is>
          <t>economy.segment</t>
        </is>
      </c>
      <c r="C263" s="2" t="inlineStr">
        <is>
          <t>alex</t>
        </is>
      </c>
      <c r="D263" s="2" t="inlineStr">
        <is>
          <t>golf</t>
        </is>
      </c>
      <c r="E263" s="2" t="inlineStr">
        <is>
          <t>segment ending 2023-11-19 07:43</t>
        </is>
      </c>
      <c r="F263" s="2" t="n"/>
      <c r="G263" s="2" t="inlineStr">
        <is>
          <t>l/100km</t>
        </is>
      </c>
      <c r="H263" s="18">
        <f>IFERROR(ROUND(INDEX(fillups!$N$2:$N$596,MATCH("golf|2023-11-19 07:43",fillups!$O$2:$O$596,0)),2),"—")</f>
        <v/>
      </c>
      <c r="I263" s="2" t="inlineStr">
        <is>
          <t>spreadsheet</t>
        </is>
      </c>
      <c r="J263" s="2" t="n"/>
      <c r="K263" s="14" t="inlineStr">
        <is>
          <t>example formula (Claude): check it, or replace it with your own</t>
        </is>
      </c>
    </row>
    <row r="264">
      <c r="A264" s="2" t="n">
        <v>263</v>
      </c>
      <c r="B264" s="2" t="inlineStr">
        <is>
          <t>economy.segment</t>
        </is>
      </c>
      <c r="C264" s="2" t="inlineStr">
        <is>
          <t>alex</t>
        </is>
      </c>
      <c r="D264" s="2" t="inlineStr">
        <is>
          <t>golf</t>
        </is>
      </c>
      <c r="E264" s="2" t="inlineStr">
        <is>
          <t>segment ending 2023-11-27 17:53</t>
        </is>
      </c>
      <c r="F264" s="2" t="n"/>
      <c r="G264" s="2" t="inlineStr">
        <is>
          <t>l/100km</t>
        </is>
      </c>
      <c r="H264" s="18">
        <f>IFERROR(ROUND(INDEX(fillups!$N$2:$N$596,MATCH("golf|2023-11-27 17:53",fillups!$O$2:$O$596,0)),2),"—")</f>
        <v/>
      </c>
      <c r="I264" s="2" t="inlineStr">
        <is>
          <t>spreadsheet</t>
        </is>
      </c>
      <c r="J264" s="2" t="n"/>
      <c r="K264" s="14" t="inlineStr">
        <is>
          <t>example formula (Claude): check it, or replace it with your own</t>
        </is>
      </c>
    </row>
    <row r="265">
      <c r="A265" s="2" t="n">
        <v>264</v>
      </c>
      <c r="B265" s="2" t="inlineStr">
        <is>
          <t>economy.segment</t>
        </is>
      </c>
      <c r="C265" s="2" t="inlineStr">
        <is>
          <t>alex</t>
        </is>
      </c>
      <c r="D265" s="2" t="inlineStr">
        <is>
          <t>golf</t>
        </is>
      </c>
      <c r="E265" s="2" t="inlineStr">
        <is>
          <t>segment ending 2023-12-04 15:52</t>
        </is>
      </c>
      <c r="F265" s="2" t="n"/>
      <c r="G265" s="2" t="inlineStr">
        <is>
          <t>l/100km</t>
        </is>
      </c>
      <c r="H265" s="18">
        <f>IFERROR(ROUND(INDEX(fillups!$N$2:$N$596,MATCH("golf|2023-12-04 15:52",fillups!$O$2:$O$596,0)),2),"—")</f>
        <v/>
      </c>
      <c r="I265" s="2" t="inlineStr">
        <is>
          <t>spreadsheet</t>
        </is>
      </c>
      <c r="J265" s="2" t="n"/>
      <c r="K265" s="14" t="inlineStr">
        <is>
          <t>example formula (Claude): check it, or replace it with your own</t>
        </is>
      </c>
    </row>
    <row r="266">
      <c r="A266" s="2" t="n">
        <v>265</v>
      </c>
      <c r="B266" s="2" t="inlineStr">
        <is>
          <t>economy.segment</t>
        </is>
      </c>
      <c r="C266" s="2" t="inlineStr">
        <is>
          <t>alex</t>
        </is>
      </c>
      <c r="D266" s="2" t="inlineStr">
        <is>
          <t>golf</t>
        </is>
      </c>
      <c r="E266" s="2" t="inlineStr">
        <is>
          <t>segment ending 2023-12-15 07:18</t>
        </is>
      </c>
      <c r="F266" s="2" t="n"/>
      <c r="G266" s="2" t="inlineStr">
        <is>
          <t>l/100km</t>
        </is>
      </c>
      <c r="H266" s="18">
        <f>IFERROR(ROUND(INDEX(fillups!$N$2:$N$596,MATCH("golf|2023-12-15 07:18",fillups!$O$2:$O$596,0)),2),"—")</f>
        <v/>
      </c>
      <c r="I266" s="2" t="inlineStr">
        <is>
          <t>spreadsheet</t>
        </is>
      </c>
      <c r="J266" s="2" t="n"/>
      <c r="K266" s="14" t="inlineStr">
        <is>
          <t>example formula (Claude): check it, or replace it with your own</t>
        </is>
      </c>
    </row>
    <row r="267">
      <c r="A267" s="2" t="n">
        <v>266</v>
      </c>
      <c r="B267" s="2" t="inlineStr">
        <is>
          <t>economy.segment</t>
        </is>
      </c>
      <c r="C267" s="2" t="inlineStr">
        <is>
          <t>alex</t>
        </is>
      </c>
      <c r="D267" s="2" t="inlineStr">
        <is>
          <t>golf</t>
        </is>
      </c>
      <c r="E267" s="2" t="inlineStr">
        <is>
          <t>segment ending 2023-12-23 17:35</t>
        </is>
      </c>
      <c r="F267" s="2" t="n"/>
      <c r="G267" s="2" t="inlineStr">
        <is>
          <t>l/100km</t>
        </is>
      </c>
      <c r="H267" s="18">
        <f>IFERROR(ROUND(INDEX(fillups!$N$2:$N$596,MATCH("golf|2023-12-23 17:35",fillups!$O$2:$O$596,0)),2),"—")</f>
        <v/>
      </c>
      <c r="I267" s="2" t="inlineStr">
        <is>
          <t>spreadsheet</t>
        </is>
      </c>
      <c r="J267" s="2" t="n"/>
      <c r="K267" s="14" t="inlineStr">
        <is>
          <t>example formula (Claude): check it, or replace it with your own</t>
        </is>
      </c>
    </row>
    <row r="268">
      <c r="A268" s="2" t="n">
        <v>267</v>
      </c>
      <c r="B268" s="2" t="inlineStr">
        <is>
          <t>economy.segment</t>
        </is>
      </c>
      <c r="C268" s="2" t="inlineStr">
        <is>
          <t>alex</t>
        </is>
      </c>
      <c r="D268" s="2" t="inlineStr">
        <is>
          <t>golf</t>
        </is>
      </c>
      <c r="E268" s="2" t="inlineStr">
        <is>
          <t>segment ending 2024-01-08 12:01</t>
        </is>
      </c>
      <c r="F268" s="2" t="n"/>
      <c r="G268" s="2" t="inlineStr">
        <is>
          <t>l/100km</t>
        </is>
      </c>
      <c r="H268" s="18">
        <f>IFERROR(ROUND(INDEX(fillups!$N$2:$N$596,MATCH("golf|2024-01-08 12:01",fillups!$O$2:$O$596,0)),2),"—")</f>
        <v/>
      </c>
      <c r="I268" s="2" t="inlineStr">
        <is>
          <t>spreadsheet</t>
        </is>
      </c>
      <c r="J268" s="2" t="n"/>
      <c r="K268" s="14" t="inlineStr">
        <is>
          <t>example formula (Claude): check it, or replace it with your own</t>
        </is>
      </c>
    </row>
    <row r="269">
      <c r="A269" s="2" t="n">
        <v>268</v>
      </c>
      <c r="B269" s="2" t="inlineStr">
        <is>
          <t>economy.segment</t>
        </is>
      </c>
      <c r="C269" s="2" t="inlineStr">
        <is>
          <t>alex</t>
        </is>
      </c>
      <c r="D269" s="2" t="inlineStr">
        <is>
          <t>golf</t>
        </is>
      </c>
      <c r="E269" s="2" t="inlineStr">
        <is>
          <t>segment ending 2024-01-15 13:21</t>
        </is>
      </c>
      <c r="F269" s="2" t="n"/>
      <c r="G269" s="2" t="inlineStr">
        <is>
          <t>l/100km</t>
        </is>
      </c>
      <c r="H269" s="18">
        <f>IFERROR(ROUND(INDEX(fillups!$N$2:$N$596,MATCH("golf|2024-01-15 13:21",fillups!$O$2:$O$596,0)),2),"—")</f>
        <v/>
      </c>
      <c r="I269" s="2" t="inlineStr">
        <is>
          <t>spreadsheet</t>
        </is>
      </c>
      <c r="J269" s="2" t="n"/>
      <c r="K269" s="14" t="inlineStr">
        <is>
          <t>example formula (Claude): check it, or replace it with your own</t>
        </is>
      </c>
    </row>
    <row r="270">
      <c r="A270" s="2" t="n">
        <v>269</v>
      </c>
      <c r="B270" s="2" t="inlineStr">
        <is>
          <t>economy.segment</t>
        </is>
      </c>
      <c r="C270" s="2" t="inlineStr">
        <is>
          <t>alex</t>
        </is>
      </c>
      <c r="D270" s="2" t="inlineStr">
        <is>
          <t>golf</t>
        </is>
      </c>
      <c r="E270" s="2" t="inlineStr">
        <is>
          <t>segment ending 2024-01-29 10:56</t>
        </is>
      </c>
      <c r="F270" s="2" t="n"/>
      <c r="G270" s="2" t="inlineStr">
        <is>
          <t>l/100km</t>
        </is>
      </c>
      <c r="H270" s="18">
        <f>IFERROR(ROUND(INDEX(fillups!$N$2:$N$596,MATCH("golf|2024-01-29 10:56",fillups!$O$2:$O$596,0)),2),"—")</f>
        <v/>
      </c>
      <c r="I270" s="2" t="inlineStr">
        <is>
          <t>spreadsheet</t>
        </is>
      </c>
      <c r="J270" s="2" t="n"/>
      <c r="K270" s="14" t="inlineStr">
        <is>
          <t>example formula (Claude): check it, or replace it with your own</t>
        </is>
      </c>
    </row>
    <row r="271">
      <c r="A271" s="2" t="n">
        <v>270</v>
      </c>
      <c r="B271" s="2" t="inlineStr">
        <is>
          <t>economy.segment</t>
        </is>
      </c>
      <c r="C271" s="2" t="inlineStr">
        <is>
          <t>alex</t>
        </is>
      </c>
      <c r="D271" s="2" t="inlineStr">
        <is>
          <t>golf</t>
        </is>
      </c>
      <c r="E271" s="2" t="inlineStr">
        <is>
          <t>segment ending 2024-02-08 13:51</t>
        </is>
      </c>
      <c r="F271" s="2" t="n"/>
      <c r="G271" s="2" t="inlineStr">
        <is>
          <t>l/100km</t>
        </is>
      </c>
      <c r="H271" s="18">
        <f>IFERROR(ROUND(INDEX(fillups!$N$2:$N$596,MATCH("golf|2024-02-08 13:51",fillups!$O$2:$O$596,0)),2),"—")</f>
        <v/>
      </c>
      <c r="I271" s="2" t="inlineStr">
        <is>
          <t>spreadsheet</t>
        </is>
      </c>
      <c r="J271" s="2" t="n"/>
      <c r="K271" s="14" t="inlineStr">
        <is>
          <t>example formula (Claude): check it, or replace it with your own</t>
        </is>
      </c>
    </row>
    <row r="272">
      <c r="A272" s="2" t="n">
        <v>271</v>
      </c>
      <c r="B272" s="2" t="inlineStr">
        <is>
          <t>economy.segment</t>
        </is>
      </c>
      <c r="C272" s="2" t="inlineStr">
        <is>
          <t>alex</t>
        </is>
      </c>
      <c r="D272" s="2" t="inlineStr">
        <is>
          <t>golf</t>
        </is>
      </c>
      <c r="E272" s="2" t="inlineStr">
        <is>
          <t>segment ending 2024-02-17 15:57</t>
        </is>
      </c>
      <c r="F272" s="2" t="n"/>
      <c r="G272" s="2" t="inlineStr">
        <is>
          <t>l/100km</t>
        </is>
      </c>
      <c r="H272" s="18">
        <f>IFERROR(ROUND(INDEX(fillups!$N$2:$N$596,MATCH("golf|2024-02-17 15:57",fillups!$O$2:$O$596,0)),2),"—")</f>
        <v/>
      </c>
      <c r="I272" s="2" t="inlineStr">
        <is>
          <t>spreadsheet</t>
        </is>
      </c>
      <c r="J272" s="2" t="n"/>
      <c r="K272" s="14" t="inlineStr">
        <is>
          <t>example formula (Claude): check it, or replace it with your own</t>
        </is>
      </c>
    </row>
    <row r="273">
      <c r="A273" s="2" t="n">
        <v>272</v>
      </c>
      <c r="B273" s="2" t="inlineStr">
        <is>
          <t>economy.segment</t>
        </is>
      </c>
      <c r="C273" s="2" t="inlineStr">
        <is>
          <t>alex</t>
        </is>
      </c>
      <c r="D273" s="2" t="inlineStr">
        <is>
          <t>golf</t>
        </is>
      </c>
      <c r="E273" s="2" t="inlineStr">
        <is>
          <t>segment ending 2024-02-24 13:26</t>
        </is>
      </c>
      <c r="F273" s="2" t="n"/>
      <c r="G273" s="2" t="inlineStr">
        <is>
          <t>l/100km</t>
        </is>
      </c>
      <c r="H273" s="18">
        <f>IFERROR(ROUND(INDEX(fillups!$N$2:$N$596,MATCH("golf|2024-02-24 13:26",fillups!$O$2:$O$596,0)),2),"—")</f>
        <v/>
      </c>
      <c r="I273" s="2" t="inlineStr">
        <is>
          <t>spreadsheet</t>
        </is>
      </c>
      <c r="J273" s="2" t="n"/>
      <c r="K273" s="14" t="inlineStr">
        <is>
          <t>example formula (Claude): check it, or replace it with your own</t>
        </is>
      </c>
    </row>
    <row r="274">
      <c r="A274" s="2" t="n">
        <v>273</v>
      </c>
      <c r="B274" s="2" t="inlineStr">
        <is>
          <t>economy.segment</t>
        </is>
      </c>
      <c r="C274" s="2" t="inlineStr">
        <is>
          <t>alex</t>
        </is>
      </c>
      <c r="D274" s="2" t="inlineStr">
        <is>
          <t>golf</t>
        </is>
      </c>
      <c r="E274" s="2" t="inlineStr">
        <is>
          <t>segment ending 2024-03-06 08:41</t>
        </is>
      </c>
      <c r="F274" s="2" t="n"/>
      <c r="G274" s="2" t="inlineStr">
        <is>
          <t>l/100km</t>
        </is>
      </c>
      <c r="H274" s="18">
        <f>IFERROR(ROUND(INDEX(fillups!$N$2:$N$596,MATCH("golf|2024-03-06 08:41",fillups!$O$2:$O$596,0)),2),"—")</f>
        <v/>
      </c>
      <c r="I274" s="2" t="inlineStr">
        <is>
          <t>spreadsheet</t>
        </is>
      </c>
      <c r="J274" s="2" t="n"/>
      <c r="K274" s="14" t="inlineStr">
        <is>
          <t>example formula (Claude): check it, or replace it with your own</t>
        </is>
      </c>
    </row>
    <row r="275">
      <c r="A275" s="2" t="n">
        <v>274</v>
      </c>
      <c r="B275" s="2" t="inlineStr">
        <is>
          <t>economy.segment</t>
        </is>
      </c>
      <c r="C275" s="2" t="inlineStr">
        <is>
          <t>alex</t>
        </is>
      </c>
      <c r="D275" s="2" t="inlineStr">
        <is>
          <t>golf</t>
        </is>
      </c>
      <c r="E275" s="2" t="inlineStr">
        <is>
          <t>segment ending 2024-03-17 17:36</t>
        </is>
      </c>
      <c r="F275" s="2" t="n"/>
      <c r="G275" s="2" t="inlineStr">
        <is>
          <t>l/100km</t>
        </is>
      </c>
      <c r="H275" s="18">
        <f>IFERROR(ROUND(INDEX(fillups!$N$2:$N$596,MATCH("golf|2024-03-17 17:36",fillups!$O$2:$O$596,0)),2),"—")</f>
        <v/>
      </c>
      <c r="I275" s="2" t="inlineStr">
        <is>
          <t>spreadsheet</t>
        </is>
      </c>
      <c r="J275" s="2" t="n"/>
      <c r="K275" s="14" t="inlineStr">
        <is>
          <t>example formula (Claude): check it, or replace it with your own</t>
        </is>
      </c>
    </row>
    <row r="276">
      <c r="A276" s="2" t="n">
        <v>275</v>
      </c>
      <c r="B276" s="2" t="inlineStr">
        <is>
          <t>economy.segment</t>
        </is>
      </c>
      <c r="C276" s="2" t="inlineStr">
        <is>
          <t>alex</t>
        </is>
      </c>
      <c r="D276" s="2" t="inlineStr">
        <is>
          <t>golf</t>
        </is>
      </c>
      <c r="E276" s="2" t="inlineStr">
        <is>
          <t>segment ending 2024-03-23 11:40</t>
        </is>
      </c>
      <c r="F276" s="2" t="n"/>
      <c r="G276" s="2" t="inlineStr">
        <is>
          <t>l/100km</t>
        </is>
      </c>
      <c r="H276" s="18">
        <f>IFERROR(ROUND(INDEX(fillups!$N$2:$N$596,MATCH("golf|2024-03-23 11:40",fillups!$O$2:$O$596,0)),2),"—")</f>
        <v/>
      </c>
      <c r="I276" s="2" t="inlineStr">
        <is>
          <t>spreadsheet</t>
        </is>
      </c>
      <c r="J276" s="2" t="n"/>
      <c r="K276" s="14" t="inlineStr">
        <is>
          <t>example formula (Claude): check it, or replace it with your own</t>
        </is>
      </c>
    </row>
    <row r="277">
      <c r="A277" s="2" t="n">
        <v>276</v>
      </c>
      <c r="B277" s="2" t="inlineStr">
        <is>
          <t>economy.segment</t>
        </is>
      </c>
      <c r="C277" s="2" t="inlineStr">
        <is>
          <t>alex</t>
        </is>
      </c>
      <c r="D277" s="2" t="inlineStr">
        <is>
          <t>golf</t>
        </is>
      </c>
      <c r="E277" s="2" t="inlineStr">
        <is>
          <t>segment ending 2024-04-02 15:17</t>
        </is>
      </c>
      <c r="F277" s="2" t="n"/>
      <c r="G277" s="2" t="inlineStr">
        <is>
          <t>l/100km</t>
        </is>
      </c>
      <c r="H277" s="18">
        <f>IFERROR(ROUND(INDEX(fillups!$N$2:$N$596,MATCH("golf|2024-04-02 15:17",fillups!$O$2:$O$596,0)),2),"—")</f>
        <v/>
      </c>
      <c r="I277" s="2" t="inlineStr">
        <is>
          <t>spreadsheet</t>
        </is>
      </c>
      <c r="J277" s="2" t="n"/>
      <c r="K277" s="14" t="inlineStr">
        <is>
          <t>example formula (Claude): check it, or replace it with your own</t>
        </is>
      </c>
    </row>
    <row r="278">
      <c r="A278" s="2" t="n">
        <v>277</v>
      </c>
      <c r="B278" s="2" t="inlineStr">
        <is>
          <t>economy.segment</t>
        </is>
      </c>
      <c r="C278" s="2" t="inlineStr">
        <is>
          <t>alex</t>
        </is>
      </c>
      <c r="D278" s="2" t="inlineStr">
        <is>
          <t>golf</t>
        </is>
      </c>
      <c r="E278" s="2" t="inlineStr">
        <is>
          <t>segment ending 2024-04-14 19:16</t>
        </is>
      </c>
      <c r="F278" s="2" t="n"/>
      <c r="G278" s="2" t="inlineStr">
        <is>
          <t>l/100km</t>
        </is>
      </c>
      <c r="H278" s="18">
        <f>IFERROR(ROUND(INDEX(fillups!$N$2:$N$596,MATCH("golf|2024-04-14 19:16",fillups!$O$2:$O$596,0)),2),"—")</f>
        <v/>
      </c>
      <c r="I278" s="2" t="inlineStr">
        <is>
          <t>spreadsheet</t>
        </is>
      </c>
      <c r="J278" s="2" t="n"/>
      <c r="K278" s="14" t="inlineStr">
        <is>
          <t>example formula (Claude): check it, or replace it with your own</t>
        </is>
      </c>
    </row>
    <row r="279">
      <c r="A279" s="2" t="n">
        <v>278</v>
      </c>
      <c r="B279" s="2" t="inlineStr">
        <is>
          <t>economy.segment</t>
        </is>
      </c>
      <c r="C279" s="2" t="inlineStr">
        <is>
          <t>alex</t>
        </is>
      </c>
      <c r="D279" s="2" t="inlineStr">
        <is>
          <t>golf</t>
        </is>
      </c>
      <c r="E279" s="2" t="inlineStr">
        <is>
          <t>segment ending 2024-04-22 12:27</t>
        </is>
      </c>
      <c r="F279" s="2" t="n"/>
      <c r="G279" s="2" t="inlineStr">
        <is>
          <t>l/100km</t>
        </is>
      </c>
      <c r="H279" s="18">
        <f>IFERROR(ROUND(INDEX(fillups!$N$2:$N$596,MATCH("golf|2024-04-22 12:27",fillups!$O$2:$O$596,0)),2),"—")</f>
        <v/>
      </c>
      <c r="I279" s="2" t="inlineStr">
        <is>
          <t>spreadsheet</t>
        </is>
      </c>
      <c r="J279" s="2" t="n"/>
      <c r="K279" s="14" t="inlineStr">
        <is>
          <t>example formula (Claude): check it, or replace it with your own</t>
        </is>
      </c>
    </row>
    <row r="280">
      <c r="A280" s="2" t="n">
        <v>279</v>
      </c>
      <c r="B280" s="2" t="inlineStr">
        <is>
          <t>economy.segment</t>
        </is>
      </c>
      <c r="C280" s="2" t="inlineStr">
        <is>
          <t>alex</t>
        </is>
      </c>
      <c r="D280" s="2" t="inlineStr">
        <is>
          <t>golf</t>
        </is>
      </c>
      <c r="E280" s="2" t="inlineStr">
        <is>
          <t>segment ending 2024-05-02 11:28</t>
        </is>
      </c>
      <c r="F280" s="2" t="n"/>
      <c r="G280" s="2" t="inlineStr">
        <is>
          <t>l/100km</t>
        </is>
      </c>
      <c r="H280" s="18">
        <f>IFERROR(ROUND(INDEX(fillups!$N$2:$N$596,MATCH("golf|2024-05-02 11:28",fillups!$O$2:$O$596,0)),2),"—")</f>
        <v/>
      </c>
      <c r="I280" s="2" t="inlineStr">
        <is>
          <t>spreadsheet</t>
        </is>
      </c>
      <c r="J280" s="2" t="n"/>
      <c r="K280" s="14" t="inlineStr">
        <is>
          <t>example formula (Claude): check it, or replace it with your own</t>
        </is>
      </c>
    </row>
    <row r="281">
      <c r="A281" s="2" t="n">
        <v>280</v>
      </c>
      <c r="B281" s="2" t="inlineStr">
        <is>
          <t>economy.segment</t>
        </is>
      </c>
      <c r="C281" s="2" t="inlineStr">
        <is>
          <t>alex</t>
        </is>
      </c>
      <c r="D281" s="2" t="inlineStr">
        <is>
          <t>golf</t>
        </is>
      </c>
      <c r="E281" s="2" t="inlineStr">
        <is>
          <t>segment ending 2024-05-12 19:45</t>
        </is>
      </c>
      <c r="F281" s="2" t="n"/>
      <c r="G281" s="2" t="inlineStr">
        <is>
          <t>l/100km</t>
        </is>
      </c>
      <c r="H281" s="18">
        <f>IFERROR(ROUND(INDEX(fillups!$N$2:$N$596,MATCH("golf|2024-05-12 19:45",fillups!$O$2:$O$596,0)),2),"—")</f>
        <v/>
      </c>
      <c r="I281" s="2" t="inlineStr">
        <is>
          <t>spreadsheet</t>
        </is>
      </c>
      <c r="J281" s="2" t="n"/>
      <c r="K281" s="14" t="inlineStr">
        <is>
          <t>example formula (Claude): check it, or replace it with your own</t>
        </is>
      </c>
    </row>
    <row r="282">
      <c r="A282" s="2" t="n">
        <v>281</v>
      </c>
      <c r="B282" s="2" t="inlineStr">
        <is>
          <t>economy.segment</t>
        </is>
      </c>
      <c r="C282" s="2" t="inlineStr">
        <is>
          <t>alex</t>
        </is>
      </c>
      <c r="D282" s="2" t="inlineStr">
        <is>
          <t>golf</t>
        </is>
      </c>
      <c r="E282" s="2" t="inlineStr">
        <is>
          <t>segment ending 2024-05-23 16:21</t>
        </is>
      </c>
      <c r="F282" s="2" t="n"/>
      <c r="G282" s="2" t="inlineStr">
        <is>
          <t>l/100km</t>
        </is>
      </c>
      <c r="H282" s="18">
        <f>IFERROR(ROUND(INDEX(fillups!$N$2:$N$596,MATCH("golf|2024-05-23 16:21",fillups!$O$2:$O$596,0)),2),"—")</f>
        <v/>
      </c>
      <c r="I282" s="2" t="inlineStr">
        <is>
          <t>spreadsheet</t>
        </is>
      </c>
      <c r="J282" s="2" t="n"/>
      <c r="K282" s="14" t="inlineStr">
        <is>
          <t>example formula (Claude): check it, or replace it with your own</t>
        </is>
      </c>
    </row>
    <row r="283">
      <c r="A283" s="2" t="n">
        <v>282</v>
      </c>
      <c r="B283" s="2" t="inlineStr">
        <is>
          <t>economy.segment</t>
        </is>
      </c>
      <c r="C283" s="2" t="inlineStr">
        <is>
          <t>alex</t>
        </is>
      </c>
      <c r="D283" s="2" t="inlineStr">
        <is>
          <t>golf</t>
        </is>
      </c>
      <c r="E283" s="2" t="inlineStr">
        <is>
          <t>segment ending 2024-06-03 19:17</t>
        </is>
      </c>
      <c r="F283" s="2" t="n"/>
      <c r="G283" s="2" t="inlineStr">
        <is>
          <t>l/100km</t>
        </is>
      </c>
      <c r="H283" s="18">
        <f>IFERROR(ROUND(INDEX(fillups!$N$2:$N$596,MATCH("golf|2024-06-03 19:17",fillups!$O$2:$O$596,0)),2),"—")</f>
        <v/>
      </c>
      <c r="I283" s="2" t="inlineStr">
        <is>
          <t>spreadsheet</t>
        </is>
      </c>
      <c r="J283" s="2" t="n"/>
      <c r="K283" s="14" t="inlineStr">
        <is>
          <t>example formula (Claude): check it, or replace it with your own</t>
        </is>
      </c>
    </row>
    <row r="284">
      <c r="A284" s="2" t="n">
        <v>283</v>
      </c>
      <c r="B284" s="2" t="inlineStr">
        <is>
          <t>economy.segment</t>
        </is>
      </c>
      <c r="C284" s="2" t="inlineStr">
        <is>
          <t>alex</t>
        </is>
      </c>
      <c r="D284" s="2" t="inlineStr">
        <is>
          <t>golf</t>
        </is>
      </c>
      <c r="E284" s="2" t="inlineStr">
        <is>
          <t>segment ending 2024-06-11 08:24</t>
        </is>
      </c>
      <c r="F284" s="2" t="n"/>
      <c r="G284" s="2" t="inlineStr">
        <is>
          <t>l/100km</t>
        </is>
      </c>
      <c r="H284" s="18">
        <f>IFERROR(ROUND(INDEX(fillups!$N$2:$N$596,MATCH("golf|2024-06-11 08:24",fillups!$O$2:$O$596,0)),2),"—")</f>
        <v/>
      </c>
      <c r="I284" s="2" t="inlineStr">
        <is>
          <t>spreadsheet</t>
        </is>
      </c>
      <c r="J284" s="2" t="n"/>
      <c r="K284" s="14" t="inlineStr">
        <is>
          <t>example formula (Claude): check it, or replace it with your own</t>
        </is>
      </c>
    </row>
    <row r="285">
      <c r="A285" s="2" t="n">
        <v>284</v>
      </c>
      <c r="B285" s="2" t="inlineStr">
        <is>
          <t>economy.segment</t>
        </is>
      </c>
      <c r="C285" s="2" t="inlineStr">
        <is>
          <t>alex</t>
        </is>
      </c>
      <c r="D285" s="2" t="inlineStr">
        <is>
          <t>golf</t>
        </is>
      </c>
      <c r="E285" s="2" t="inlineStr">
        <is>
          <t>segment ending 2024-06-18 19:01</t>
        </is>
      </c>
      <c r="F285" s="2" t="n"/>
      <c r="G285" s="2" t="inlineStr">
        <is>
          <t>l/100km</t>
        </is>
      </c>
      <c r="H285" s="18">
        <f>IFERROR(ROUND(INDEX(fillups!$N$2:$N$596,MATCH("golf|2024-06-18 19:01",fillups!$O$2:$O$596,0)),2),"—")</f>
        <v/>
      </c>
      <c r="I285" s="2" t="inlineStr">
        <is>
          <t>spreadsheet</t>
        </is>
      </c>
      <c r="J285" s="2" t="n"/>
      <c r="K285" s="14" t="inlineStr">
        <is>
          <t>example formula (Claude): check it, or replace it with your own</t>
        </is>
      </c>
    </row>
    <row r="286">
      <c r="A286" s="2" t="n">
        <v>285</v>
      </c>
      <c r="B286" s="2" t="inlineStr">
        <is>
          <t>economy.segment</t>
        </is>
      </c>
      <c r="C286" s="2" t="inlineStr">
        <is>
          <t>alex</t>
        </is>
      </c>
      <c r="D286" s="2" t="inlineStr">
        <is>
          <t>golf</t>
        </is>
      </c>
      <c r="E286" s="2" t="inlineStr">
        <is>
          <t>segment ending 2024-06-30 09:07</t>
        </is>
      </c>
      <c r="F286" s="2" t="n"/>
      <c r="G286" s="2" t="inlineStr">
        <is>
          <t>l/100km</t>
        </is>
      </c>
      <c r="H286" s="18">
        <f>IFERROR(ROUND(INDEX(fillups!$N$2:$N$596,MATCH("golf|2024-06-30 09:07",fillups!$O$2:$O$596,0)),2),"—")</f>
        <v/>
      </c>
      <c r="I286" s="2" t="inlineStr">
        <is>
          <t>spreadsheet</t>
        </is>
      </c>
      <c r="J286" s="2" t="n"/>
      <c r="K286" s="14" t="inlineStr">
        <is>
          <t>example formula (Claude): check it, or replace it with your own</t>
        </is>
      </c>
    </row>
    <row r="287">
      <c r="A287" s="2" t="n">
        <v>286</v>
      </c>
      <c r="B287" s="2" t="inlineStr">
        <is>
          <t>economy.segment</t>
        </is>
      </c>
      <c r="C287" s="2" t="inlineStr">
        <is>
          <t>alex</t>
        </is>
      </c>
      <c r="D287" s="2" t="inlineStr">
        <is>
          <t>golf</t>
        </is>
      </c>
      <c r="E287" s="2" t="inlineStr">
        <is>
          <t>segment ending 2024-07-12 19:17</t>
        </is>
      </c>
      <c r="F287" s="2" t="n"/>
      <c r="G287" s="2" t="inlineStr">
        <is>
          <t>l/100km</t>
        </is>
      </c>
      <c r="H287" s="18">
        <f>IFERROR(ROUND(INDEX(fillups!$N$2:$N$596,MATCH("golf|2024-07-12 19:17",fillups!$O$2:$O$596,0)),2),"—")</f>
        <v/>
      </c>
      <c r="I287" s="2" t="inlineStr">
        <is>
          <t>spreadsheet</t>
        </is>
      </c>
      <c r="J287" s="2" t="n"/>
      <c r="K287" s="14" t="inlineStr">
        <is>
          <t>example formula (Claude): check it, or replace it with your own</t>
        </is>
      </c>
    </row>
    <row r="288">
      <c r="A288" s="2" t="n">
        <v>287</v>
      </c>
      <c r="B288" s="2" t="inlineStr">
        <is>
          <t>economy.segment</t>
        </is>
      </c>
      <c r="C288" s="2" t="inlineStr">
        <is>
          <t>alex</t>
        </is>
      </c>
      <c r="D288" s="2" t="inlineStr">
        <is>
          <t>golf</t>
        </is>
      </c>
      <c r="E288" s="2" t="inlineStr">
        <is>
          <t>segment ending 2024-07-26 13:54</t>
        </is>
      </c>
      <c r="F288" s="2" t="n"/>
      <c r="G288" s="2" t="inlineStr">
        <is>
          <t>l/100km</t>
        </is>
      </c>
      <c r="H288" s="18">
        <f>IFERROR(ROUND(INDEX(fillups!$N$2:$N$596,MATCH("golf|2024-07-26 13:54",fillups!$O$2:$O$596,0)),2),"—")</f>
        <v/>
      </c>
      <c r="I288" s="2" t="inlineStr">
        <is>
          <t>spreadsheet</t>
        </is>
      </c>
      <c r="J288" s="2" t="n"/>
      <c r="K288" s="14" t="inlineStr">
        <is>
          <t>example formula (Claude): check it, or replace it with your own</t>
        </is>
      </c>
    </row>
    <row r="289">
      <c r="A289" s="2" t="n">
        <v>288</v>
      </c>
      <c r="B289" s="2" t="inlineStr">
        <is>
          <t>economy.segment</t>
        </is>
      </c>
      <c r="C289" s="2" t="inlineStr">
        <is>
          <t>alex</t>
        </is>
      </c>
      <c r="D289" s="2" t="inlineStr">
        <is>
          <t>golf</t>
        </is>
      </c>
      <c r="E289" s="2" t="inlineStr">
        <is>
          <t>segment ending 2024-08-03 12:26</t>
        </is>
      </c>
      <c r="F289" s="2" t="n"/>
      <c r="G289" s="2" t="inlineStr">
        <is>
          <t>l/100km</t>
        </is>
      </c>
      <c r="H289" s="18">
        <f>IFERROR(ROUND(INDEX(fillups!$N$2:$N$596,MATCH("golf|2024-08-03 12:26",fillups!$O$2:$O$596,0)),2),"—")</f>
        <v/>
      </c>
      <c r="I289" s="2" t="inlineStr">
        <is>
          <t>spreadsheet</t>
        </is>
      </c>
      <c r="J289" s="2" t="n"/>
      <c r="K289" s="14" t="inlineStr">
        <is>
          <t>example formula (Claude): check it, or replace it with your own</t>
        </is>
      </c>
    </row>
    <row r="290">
      <c r="A290" s="2" t="n">
        <v>289</v>
      </c>
      <c r="B290" s="2" t="inlineStr">
        <is>
          <t>economy.segment</t>
        </is>
      </c>
      <c r="C290" s="2" t="inlineStr">
        <is>
          <t>alex</t>
        </is>
      </c>
      <c r="D290" s="2" t="inlineStr">
        <is>
          <t>golf</t>
        </is>
      </c>
      <c r="E290" s="2" t="inlineStr">
        <is>
          <t>segment ending 2024-08-12 14:37</t>
        </is>
      </c>
      <c r="F290" s="2" t="n"/>
      <c r="G290" s="2" t="inlineStr">
        <is>
          <t>l/100km</t>
        </is>
      </c>
      <c r="H290" s="18">
        <f>IFERROR(ROUND(INDEX(fillups!$N$2:$N$596,MATCH("golf|2024-08-12 14:37",fillups!$O$2:$O$596,0)),2),"—")</f>
        <v/>
      </c>
      <c r="I290" s="2" t="inlineStr">
        <is>
          <t>spreadsheet</t>
        </is>
      </c>
      <c r="J290" s="2" t="n"/>
      <c r="K290" s="14" t="inlineStr">
        <is>
          <t>example formula (Claude): check it, or replace it with your own</t>
        </is>
      </c>
    </row>
    <row r="291">
      <c r="A291" s="2" t="n">
        <v>290</v>
      </c>
      <c r="B291" s="2" t="inlineStr">
        <is>
          <t>economy.segment</t>
        </is>
      </c>
      <c r="C291" s="2" t="inlineStr">
        <is>
          <t>alex</t>
        </is>
      </c>
      <c r="D291" s="2" t="inlineStr">
        <is>
          <t>golf</t>
        </is>
      </c>
      <c r="E291" s="2" t="inlineStr">
        <is>
          <t>segment ending 2024-08-22 20:54</t>
        </is>
      </c>
      <c r="F291" s="2" t="n"/>
      <c r="G291" s="2" t="inlineStr">
        <is>
          <t>l/100km</t>
        </is>
      </c>
      <c r="H291" s="18">
        <f>IFERROR(ROUND(INDEX(fillups!$N$2:$N$596,MATCH("golf|2024-08-22 20:54",fillups!$O$2:$O$596,0)),2),"—")</f>
        <v/>
      </c>
      <c r="I291" s="2" t="inlineStr">
        <is>
          <t>spreadsheet</t>
        </is>
      </c>
      <c r="J291" s="2" t="n"/>
      <c r="K291" s="14" t="inlineStr">
        <is>
          <t>example formula (Claude): check it, or replace it with your own</t>
        </is>
      </c>
    </row>
    <row r="292">
      <c r="A292" s="2" t="n">
        <v>291</v>
      </c>
      <c r="B292" s="2" t="inlineStr">
        <is>
          <t>economy.segment</t>
        </is>
      </c>
      <c r="C292" s="2" t="inlineStr">
        <is>
          <t>alex</t>
        </is>
      </c>
      <c r="D292" s="2" t="inlineStr">
        <is>
          <t>golf</t>
        </is>
      </c>
      <c r="E292" s="2" t="inlineStr">
        <is>
          <t>segment ending 2024-08-31 14:59</t>
        </is>
      </c>
      <c r="F292" s="2" t="n"/>
      <c r="G292" s="2" t="inlineStr">
        <is>
          <t>l/100km</t>
        </is>
      </c>
      <c r="H292" s="18">
        <f>IFERROR(ROUND(INDEX(fillups!$N$2:$N$596,MATCH("golf|2024-08-31 14:59",fillups!$O$2:$O$596,0)),2),"—")</f>
        <v/>
      </c>
      <c r="I292" s="2" t="inlineStr">
        <is>
          <t>spreadsheet</t>
        </is>
      </c>
      <c r="J292" s="2" t="n"/>
      <c r="K292" s="14" t="inlineStr">
        <is>
          <t>example formula (Claude): check it, or replace it with your own</t>
        </is>
      </c>
    </row>
    <row r="293">
      <c r="A293" s="2" t="n">
        <v>292</v>
      </c>
      <c r="B293" s="2" t="inlineStr">
        <is>
          <t>economy.segment</t>
        </is>
      </c>
      <c r="C293" s="2" t="inlineStr">
        <is>
          <t>alex</t>
        </is>
      </c>
      <c r="D293" s="2" t="inlineStr">
        <is>
          <t>golf</t>
        </is>
      </c>
      <c r="E293" s="2" t="inlineStr">
        <is>
          <t>segment ending 2024-09-10 14:35</t>
        </is>
      </c>
      <c r="F293" s="2" t="n"/>
      <c r="G293" s="2" t="inlineStr">
        <is>
          <t>l/100km</t>
        </is>
      </c>
      <c r="H293" s="18">
        <f>IFERROR(ROUND(INDEX(fillups!$N$2:$N$596,MATCH("golf|2024-09-10 14:35",fillups!$O$2:$O$596,0)),2),"—")</f>
        <v/>
      </c>
      <c r="I293" s="2" t="inlineStr">
        <is>
          <t>spreadsheet</t>
        </is>
      </c>
      <c r="J293" s="2" t="n"/>
      <c r="K293" s="14" t="inlineStr">
        <is>
          <t>example formula (Claude): check it, or replace it with your own</t>
        </is>
      </c>
    </row>
    <row r="294">
      <c r="A294" s="2" t="n">
        <v>293</v>
      </c>
      <c r="B294" s="2" t="inlineStr">
        <is>
          <t>economy.segment</t>
        </is>
      </c>
      <c r="C294" s="2" t="inlineStr">
        <is>
          <t>alex</t>
        </is>
      </c>
      <c r="D294" s="2" t="inlineStr">
        <is>
          <t>golf</t>
        </is>
      </c>
      <c r="E294" s="2" t="inlineStr">
        <is>
          <t>segment ending 2024-09-18 11:30</t>
        </is>
      </c>
      <c r="F294" s="2" t="n"/>
      <c r="G294" s="2" t="inlineStr">
        <is>
          <t>l/100km</t>
        </is>
      </c>
      <c r="H294" s="18">
        <f>IFERROR(ROUND(INDEX(fillups!$N$2:$N$596,MATCH("golf|2024-09-18 11:30",fillups!$O$2:$O$596,0)),2),"—")</f>
        <v/>
      </c>
      <c r="I294" s="2" t="inlineStr">
        <is>
          <t>spreadsheet</t>
        </is>
      </c>
      <c r="J294" s="2" t="n"/>
      <c r="K294" s="14" t="inlineStr">
        <is>
          <t>example formula (Claude): check it, or replace it with your own</t>
        </is>
      </c>
    </row>
    <row r="295">
      <c r="A295" s="2" t="n">
        <v>294</v>
      </c>
      <c r="B295" s="2" t="inlineStr">
        <is>
          <t>economy.segment</t>
        </is>
      </c>
      <c r="C295" s="2" t="inlineStr">
        <is>
          <t>alex</t>
        </is>
      </c>
      <c r="D295" s="2" t="inlineStr">
        <is>
          <t>golf</t>
        </is>
      </c>
      <c r="E295" s="2" t="inlineStr">
        <is>
          <t>segment ending 2024-10-01 15:47</t>
        </is>
      </c>
      <c r="F295" s="2" t="n"/>
      <c r="G295" s="2" t="inlineStr">
        <is>
          <t>l/100km</t>
        </is>
      </c>
      <c r="H295" s="18">
        <f>IFERROR(ROUND(INDEX(fillups!$N$2:$N$596,MATCH("golf|2024-10-01 15:47",fillups!$O$2:$O$596,0)),2),"—")</f>
        <v/>
      </c>
      <c r="I295" s="2" t="inlineStr">
        <is>
          <t>spreadsheet</t>
        </is>
      </c>
      <c r="J295" s="2" t="n"/>
      <c r="K295" s="14" t="inlineStr">
        <is>
          <t>example formula (Claude): check it, or replace it with your own</t>
        </is>
      </c>
    </row>
    <row r="296">
      <c r="A296" s="2" t="n">
        <v>295</v>
      </c>
      <c r="B296" s="2" t="inlineStr">
        <is>
          <t>economy.segment</t>
        </is>
      </c>
      <c r="C296" s="2" t="inlineStr">
        <is>
          <t>alex</t>
        </is>
      </c>
      <c r="D296" s="2" t="inlineStr">
        <is>
          <t>golf</t>
        </is>
      </c>
      <c r="E296" s="2" t="inlineStr">
        <is>
          <t>segment ending 2024-10-10 20:09</t>
        </is>
      </c>
      <c r="F296" s="2" t="n"/>
      <c r="G296" s="2" t="inlineStr">
        <is>
          <t>l/100km</t>
        </is>
      </c>
      <c r="H296" s="18">
        <f>IFERROR(ROUND(INDEX(fillups!$N$2:$N$596,MATCH("golf|2024-10-10 20:09",fillups!$O$2:$O$596,0)),2),"—")</f>
        <v/>
      </c>
      <c r="I296" s="2" t="inlineStr">
        <is>
          <t>spreadsheet</t>
        </is>
      </c>
      <c r="J296" s="2" t="n"/>
      <c r="K296" s="14" t="inlineStr">
        <is>
          <t>example formula (Claude): check it, or replace it with your own</t>
        </is>
      </c>
    </row>
    <row r="297">
      <c r="A297" s="2" t="n">
        <v>296</v>
      </c>
      <c r="B297" s="2" t="inlineStr">
        <is>
          <t>economy.segment</t>
        </is>
      </c>
      <c r="C297" s="2" t="inlineStr">
        <is>
          <t>alex</t>
        </is>
      </c>
      <c r="D297" s="2" t="inlineStr">
        <is>
          <t>golf</t>
        </is>
      </c>
      <c r="E297" s="2" t="inlineStr">
        <is>
          <t>segment ending 2024-10-21 15:15</t>
        </is>
      </c>
      <c r="F297" s="2" t="n"/>
      <c r="G297" s="2" t="inlineStr">
        <is>
          <t>l/100km</t>
        </is>
      </c>
      <c r="H297" s="18">
        <f>IFERROR(ROUND(INDEX(fillups!$N$2:$N$596,MATCH("golf|2024-10-21 15:15",fillups!$O$2:$O$596,0)),2),"—")</f>
        <v/>
      </c>
      <c r="I297" s="2" t="inlineStr">
        <is>
          <t>spreadsheet</t>
        </is>
      </c>
      <c r="J297" s="2" t="n"/>
      <c r="K297" s="14" t="inlineStr">
        <is>
          <t>example formula (Claude): check it, or replace it with your own</t>
        </is>
      </c>
    </row>
    <row r="298">
      <c r="A298" s="2" t="n">
        <v>297</v>
      </c>
      <c r="B298" s="2" t="inlineStr">
        <is>
          <t>economy.segment</t>
        </is>
      </c>
      <c r="C298" s="2" t="inlineStr">
        <is>
          <t>alex</t>
        </is>
      </c>
      <c r="D298" s="2" t="inlineStr">
        <is>
          <t>golf</t>
        </is>
      </c>
      <c r="E298" s="2" t="inlineStr">
        <is>
          <t>segment ending 2024-10-30 12:51</t>
        </is>
      </c>
      <c r="F298" s="2" t="n"/>
      <c r="G298" s="2" t="inlineStr">
        <is>
          <t>l/100km</t>
        </is>
      </c>
      <c r="H298" s="18">
        <f>IFERROR(ROUND(INDEX(fillups!$N$2:$N$596,MATCH("golf|2024-10-30 12:51",fillups!$O$2:$O$596,0)),2),"—")</f>
        <v/>
      </c>
      <c r="I298" s="2" t="inlineStr">
        <is>
          <t>spreadsheet</t>
        </is>
      </c>
      <c r="J298" s="2" t="n"/>
      <c r="K298" s="14" t="inlineStr">
        <is>
          <t>example formula (Claude): check it, or replace it with your own</t>
        </is>
      </c>
    </row>
    <row r="299">
      <c r="A299" s="2" t="n">
        <v>298</v>
      </c>
      <c r="B299" s="2" t="inlineStr">
        <is>
          <t>economy.segment</t>
        </is>
      </c>
      <c r="C299" s="2" t="inlineStr">
        <is>
          <t>alex</t>
        </is>
      </c>
      <c r="D299" s="2" t="inlineStr">
        <is>
          <t>golf</t>
        </is>
      </c>
      <c r="E299" s="2" t="inlineStr">
        <is>
          <t>segment ending 2024-11-08 13:57</t>
        </is>
      </c>
      <c r="F299" s="2" t="n"/>
      <c r="G299" s="2" t="inlineStr">
        <is>
          <t>l/100km</t>
        </is>
      </c>
      <c r="H299" s="18">
        <f>IFERROR(ROUND(INDEX(fillups!$N$2:$N$596,MATCH("golf|2024-11-08 13:57",fillups!$O$2:$O$596,0)),2),"—")</f>
        <v/>
      </c>
      <c r="I299" s="2" t="inlineStr">
        <is>
          <t>spreadsheet</t>
        </is>
      </c>
      <c r="J299" s="2" t="n"/>
      <c r="K299" s="14" t="inlineStr">
        <is>
          <t>example formula (Claude): check it, or replace it with your own</t>
        </is>
      </c>
    </row>
    <row r="300">
      <c r="A300" s="2" t="n">
        <v>299</v>
      </c>
      <c r="B300" s="2" t="inlineStr">
        <is>
          <t>economy.segment</t>
        </is>
      </c>
      <c r="C300" s="2" t="inlineStr">
        <is>
          <t>alex</t>
        </is>
      </c>
      <c r="D300" s="2" t="inlineStr">
        <is>
          <t>golf</t>
        </is>
      </c>
      <c r="E300" s="2" t="inlineStr">
        <is>
          <t>segment ending 2024-11-17 12:30</t>
        </is>
      </c>
      <c r="F300" s="2" t="n"/>
      <c r="G300" s="2" t="inlineStr">
        <is>
          <t>l/100km</t>
        </is>
      </c>
      <c r="H300" s="18">
        <f>IFERROR(ROUND(INDEX(fillups!$N$2:$N$596,MATCH("golf|2024-11-17 12:30",fillups!$O$2:$O$596,0)),2),"—")</f>
        <v/>
      </c>
      <c r="I300" s="2" t="inlineStr">
        <is>
          <t>spreadsheet</t>
        </is>
      </c>
      <c r="J300" s="2" t="n"/>
      <c r="K300" s="14" t="inlineStr">
        <is>
          <t>example formula (Claude): check it, or replace it with your own</t>
        </is>
      </c>
    </row>
    <row r="301">
      <c r="A301" s="2" t="n">
        <v>300</v>
      </c>
      <c r="B301" s="2" t="inlineStr">
        <is>
          <t>economy.segment</t>
        </is>
      </c>
      <c r="C301" s="2" t="inlineStr">
        <is>
          <t>alex</t>
        </is>
      </c>
      <c r="D301" s="2" t="inlineStr">
        <is>
          <t>golf</t>
        </is>
      </c>
      <c r="E301" s="2" t="inlineStr">
        <is>
          <t>segment ending 2024-11-26 15:17</t>
        </is>
      </c>
      <c r="F301" s="2" t="n"/>
      <c r="G301" s="2" t="inlineStr">
        <is>
          <t>l/100km</t>
        </is>
      </c>
      <c r="H301" s="18">
        <f>IFERROR(ROUND(INDEX(fillups!$N$2:$N$596,MATCH("golf|2024-11-26 15:17",fillups!$O$2:$O$596,0)),2),"—")</f>
        <v/>
      </c>
      <c r="I301" s="2" t="inlineStr">
        <is>
          <t>spreadsheet</t>
        </is>
      </c>
      <c r="J301" s="2" t="n"/>
      <c r="K301" s="14" t="inlineStr">
        <is>
          <t>example formula (Claude): check it, or replace it with your own</t>
        </is>
      </c>
    </row>
    <row r="302">
      <c r="A302" s="2" t="n">
        <v>301</v>
      </c>
      <c r="B302" s="2" t="inlineStr">
        <is>
          <t>economy.segment</t>
        </is>
      </c>
      <c r="C302" s="2" t="inlineStr">
        <is>
          <t>alex</t>
        </is>
      </c>
      <c r="D302" s="2" t="inlineStr">
        <is>
          <t>golf</t>
        </is>
      </c>
      <c r="E302" s="2" t="inlineStr">
        <is>
          <t>segment ending 2024-12-03 18:19</t>
        </is>
      </c>
      <c r="F302" s="2" t="n"/>
      <c r="G302" s="2" t="inlineStr">
        <is>
          <t>l/100km</t>
        </is>
      </c>
      <c r="H302" s="18">
        <f>IFERROR(ROUND(INDEX(fillups!$N$2:$N$596,MATCH("golf|2024-12-03 18:19",fillups!$O$2:$O$596,0)),2),"—")</f>
        <v/>
      </c>
      <c r="I302" s="2" t="inlineStr">
        <is>
          <t>spreadsheet</t>
        </is>
      </c>
      <c r="J302" s="2" t="n"/>
      <c r="K302" s="14" t="inlineStr">
        <is>
          <t>example formula (Claude): check it, or replace it with your own</t>
        </is>
      </c>
    </row>
    <row r="303">
      <c r="A303" s="2" t="n">
        <v>302</v>
      </c>
      <c r="B303" s="2" t="inlineStr">
        <is>
          <t>economy.segment</t>
        </is>
      </c>
      <c r="C303" s="2" t="inlineStr">
        <is>
          <t>alex</t>
        </is>
      </c>
      <c r="D303" s="2" t="inlineStr">
        <is>
          <t>golf</t>
        </is>
      </c>
      <c r="E303" s="2" t="inlineStr">
        <is>
          <t>segment ending 2024-12-14 11:45</t>
        </is>
      </c>
      <c r="F303" s="2" t="n"/>
      <c r="G303" s="2" t="inlineStr">
        <is>
          <t>l/100km</t>
        </is>
      </c>
      <c r="H303" s="18">
        <f>IFERROR(ROUND(INDEX(fillups!$N$2:$N$596,MATCH("golf|2024-12-14 11:45",fillups!$O$2:$O$596,0)),2),"—")</f>
        <v/>
      </c>
      <c r="I303" s="2" t="inlineStr">
        <is>
          <t>spreadsheet</t>
        </is>
      </c>
      <c r="J303" s="2" t="n"/>
      <c r="K303" s="14" t="inlineStr">
        <is>
          <t>example formula (Claude): check it, or replace it with your own</t>
        </is>
      </c>
    </row>
    <row r="304">
      <c r="A304" s="2" t="n">
        <v>303</v>
      </c>
      <c r="B304" s="2" t="inlineStr">
        <is>
          <t>economy.segment</t>
        </is>
      </c>
      <c r="C304" s="2" t="inlineStr">
        <is>
          <t>alex</t>
        </is>
      </c>
      <c r="D304" s="2" t="inlineStr">
        <is>
          <t>golf</t>
        </is>
      </c>
      <c r="E304" s="2" t="inlineStr">
        <is>
          <t>segment ending 2024-12-22 19:13</t>
        </is>
      </c>
      <c r="F304" s="2" t="n"/>
      <c r="G304" s="2" t="inlineStr">
        <is>
          <t>l/100km</t>
        </is>
      </c>
      <c r="H304" s="18">
        <f>IFERROR(ROUND(INDEX(fillups!$N$2:$N$596,MATCH("golf|2024-12-22 19:13",fillups!$O$2:$O$596,0)),2),"—")</f>
        <v/>
      </c>
      <c r="I304" s="2" t="inlineStr">
        <is>
          <t>spreadsheet</t>
        </is>
      </c>
      <c r="J304" s="2" t="n"/>
      <c r="K304" s="14" t="inlineStr">
        <is>
          <t>example formula (Claude): check it, or replace it with your own</t>
        </is>
      </c>
    </row>
    <row r="305">
      <c r="A305" s="2" t="n">
        <v>304</v>
      </c>
      <c r="B305" s="2" t="inlineStr">
        <is>
          <t>economy.segment</t>
        </is>
      </c>
      <c r="C305" s="2" t="inlineStr">
        <is>
          <t>alex</t>
        </is>
      </c>
      <c r="D305" s="2" t="inlineStr">
        <is>
          <t>golf</t>
        </is>
      </c>
      <c r="E305" s="2" t="inlineStr">
        <is>
          <t>segment ending 2024-12-30 16:48</t>
        </is>
      </c>
      <c r="F305" s="2" t="n"/>
      <c r="G305" s="2" t="inlineStr">
        <is>
          <t>l/100km</t>
        </is>
      </c>
      <c r="H305" s="18">
        <f>IFERROR(ROUND(INDEX(fillups!$N$2:$N$596,MATCH("golf|2024-12-30 16:48",fillups!$O$2:$O$596,0)),2),"—")</f>
        <v/>
      </c>
      <c r="I305" s="2" t="inlineStr">
        <is>
          <t>spreadsheet</t>
        </is>
      </c>
      <c r="J305" s="2" t="n"/>
      <c r="K305" s="14" t="inlineStr">
        <is>
          <t>example formula (Claude): check it, or replace it with your own</t>
        </is>
      </c>
    </row>
    <row r="306">
      <c r="A306" s="2" t="n">
        <v>305</v>
      </c>
      <c r="B306" s="2" t="inlineStr">
        <is>
          <t>economy.segment</t>
        </is>
      </c>
      <c r="C306" s="2" t="inlineStr">
        <is>
          <t>alex</t>
        </is>
      </c>
      <c r="D306" s="2" t="inlineStr">
        <is>
          <t>golf</t>
        </is>
      </c>
      <c r="E306" s="2" t="inlineStr">
        <is>
          <t>segment ending 2025-01-10 20:39</t>
        </is>
      </c>
      <c r="F306" s="2" t="n"/>
      <c r="G306" s="2" t="inlineStr">
        <is>
          <t>l/100km</t>
        </is>
      </c>
      <c r="H306" s="18">
        <f>IFERROR(ROUND(INDEX(fillups!$N$2:$N$596,MATCH("golf|2025-01-10 20:39",fillups!$O$2:$O$596,0)),2),"—")</f>
        <v/>
      </c>
      <c r="I306" s="2" t="inlineStr">
        <is>
          <t>spreadsheet</t>
        </is>
      </c>
      <c r="J306" s="2" t="n"/>
      <c r="K306" s="14" t="inlineStr">
        <is>
          <t>example formula (Claude): check it, or replace it with your own</t>
        </is>
      </c>
    </row>
    <row r="307">
      <c r="A307" s="2" t="n">
        <v>306</v>
      </c>
      <c r="B307" s="2" t="inlineStr">
        <is>
          <t>economy.segment</t>
        </is>
      </c>
      <c r="C307" s="2" t="inlineStr">
        <is>
          <t>alex</t>
        </is>
      </c>
      <c r="D307" s="2" t="inlineStr">
        <is>
          <t>golf</t>
        </is>
      </c>
      <c r="E307" s="2" t="inlineStr">
        <is>
          <t>segment ending 2025-01-25 14:54</t>
        </is>
      </c>
      <c r="F307" s="2" t="n"/>
      <c r="G307" s="2" t="inlineStr">
        <is>
          <t>l/100km</t>
        </is>
      </c>
      <c r="H307" s="18">
        <f>IFERROR(ROUND(INDEX(fillups!$N$2:$N$596,MATCH("golf|2025-01-25 14:54",fillups!$O$2:$O$596,0)),2),"—")</f>
        <v/>
      </c>
      <c r="I307" s="2" t="inlineStr">
        <is>
          <t>spreadsheet</t>
        </is>
      </c>
      <c r="J307" s="2" t="n"/>
      <c r="K307" s="14" t="inlineStr">
        <is>
          <t>example formula (Claude): check it, or replace it with your own</t>
        </is>
      </c>
    </row>
    <row r="308">
      <c r="A308" s="2" t="n">
        <v>307</v>
      </c>
      <c r="B308" s="2" t="inlineStr">
        <is>
          <t>economy.segment</t>
        </is>
      </c>
      <c r="C308" s="2" t="inlineStr">
        <is>
          <t>alex</t>
        </is>
      </c>
      <c r="D308" s="2" t="inlineStr">
        <is>
          <t>golf</t>
        </is>
      </c>
      <c r="E308" s="2" t="inlineStr">
        <is>
          <t>segment ending 2025-02-06 20:03</t>
        </is>
      </c>
      <c r="F308" s="2" t="n"/>
      <c r="G308" s="2" t="inlineStr">
        <is>
          <t>l/100km</t>
        </is>
      </c>
      <c r="H308" s="18">
        <f>IFERROR(ROUND(INDEX(fillups!$N$2:$N$596,MATCH("golf|2025-02-06 20:03",fillups!$O$2:$O$596,0)),2),"—")</f>
        <v/>
      </c>
      <c r="I308" s="2" t="inlineStr">
        <is>
          <t>spreadsheet</t>
        </is>
      </c>
      <c r="J308" s="2" t="n"/>
      <c r="K308" s="14" t="inlineStr">
        <is>
          <t>example formula (Claude): check it, or replace it with your own</t>
        </is>
      </c>
    </row>
    <row r="309">
      <c r="A309" s="2" t="n">
        <v>308</v>
      </c>
      <c r="B309" s="2" t="inlineStr">
        <is>
          <t>economy.segment</t>
        </is>
      </c>
      <c r="C309" s="2" t="inlineStr">
        <is>
          <t>alex</t>
        </is>
      </c>
      <c r="D309" s="2" t="inlineStr">
        <is>
          <t>golf</t>
        </is>
      </c>
      <c r="E309" s="2" t="inlineStr">
        <is>
          <t>segment ending 2025-02-18 10:39</t>
        </is>
      </c>
      <c r="F309" s="2" t="n"/>
      <c r="G309" s="2" t="inlineStr">
        <is>
          <t>l/100km</t>
        </is>
      </c>
      <c r="H309" s="18">
        <f>IFERROR(ROUND(INDEX(fillups!$N$2:$N$596,MATCH("golf|2025-02-18 10:39",fillups!$O$2:$O$596,0)),2),"—")</f>
        <v/>
      </c>
      <c r="I309" s="2" t="inlineStr">
        <is>
          <t>spreadsheet</t>
        </is>
      </c>
      <c r="J309" s="2" t="n"/>
      <c r="K309" s="14" t="inlineStr">
        <is>
          <t>example formula (Claude): check it, or replace it with your own</t>
        </is>
      </c>
    </row>
    <row r="310">
      <c r="A310" s="2" t="n">
        <v>309</v>
      </c>
      <c r="B310" s="2" t="inlineStr">
        <is>
          <t>economy.segment</t>
        </is>
      </c>
      <c r="C310" s="2" t="inlineStr">
        <is>
          <t>alex</t>
        </is>
      </c>
      <c r="D310" s="2" t="inlineStr">
        <is>
          <t>golf</t>
        </is>
      </c>
      <c r="E310" s="2" t="inlineStr">
        <is>
          <t>segment ending 2025-03-01 12:40</t>
        </is>
      </c>
      <c r="F310" s="2" t="n"/>
      <c r="G310" s="2" t="inlineStr">
        <is>
          <t>l/100km</t>
        </is>
      </c>
      <c r="H310" s="18">
        <f>IFERROR(ROUND(INDEX(fillups!$N$2:$N$596,MATCH("golf|2025-03-01 12:40",fillups!$O$2:$O$596,0)),2),"—")</f>
        <v/>
      </c>
      <c r="I310" s="2" t="inlineStr">
        <is>
          <t>spreadsheet</t>
        </is>
      </c>
      <c r="J310" s="2" t="n"/>
      <c r="K310" s="14" t="inlineStr">
        <is>
          <t>example formula (Claude): check it, or replace it with your own</t>
        </is>
      </c>
    </row>
    <row r="311">
      <c r="A311" s="2" t="n">
        <v>310</v>
      </c>
      <c r="B311" s="2" t="inlineStr">
        <is>
          <t>economy.segment</t>
        </is>
      </c>
      <c r="C311" s="2" t="inlineStr">
        <is>
          <t>alex</t>
        </is>
      </c>
      <c r="D311" s="2" t="inlineStr">
        <is>
          <t>golf</t>
        </is>
      </c>
      <c r="E311" s="2" t="inlineStr">
        <is>
          <t>segment ending 2025-03-15 08:12</t>
        </is>
      </c>
      <c r="F311" s="2" t="n"/>
      <c r="G311" s="2" t="inlineStr">
        <is>
          <t>l/100km</t>
        </is>
      </c>
      <c r="H311" s="18">
        <f>IFERROR(ROUND(INDEX(fillups!$N$2:$N$596,MATCH("golf|2025-03-15 08:12",fillups!$O$2:$O$596,0)),2),"—")</f>
        <v/>
      </c>
      <c r="I311" s="2" t="inlineStr">
        <is>
          <t>spreadsheet</t>
        </is>
      </c>
      <c r="J311" s="2" t="n"/>
      <c r="K311" s="14" t="inlineStr">
        <is>
          <t>example formula (Claude): check it, or replace it with your own</t>
        </is>
      </c>
    </row>
    <row r="312">
      <c r="A312" s="2" t="n">
        <v>311</v>
      </c>
      <c r="B312" s="2" t="inlineStr">
        <is>
          <t>economy.segment</t>
        </is>
      </c>
      <c r="C312" s="2" t="inlineStr">
        <is>
          <t>alex</t>
        </is>
      </c>
      <c r="D312" s="2" t="inlineStr">
        <is>
          <t>golf</t>
        </is>
      </c>
      <c r="E312" s="2" t="inlineStr">
        <is>
          <t>segment ending 2025-03-27 20:00</t>
        </is>
      </c>
      <c r="F312" s="2" t="n"/>
      <c r="G312" s="2" t="inlineStr">
        <is>
          <t>l/100km</t>
        </is>
      </c>
      <c r="H312" s="18">
        <f>IFERROR(ROUND(INDEX(fillups!$N$2:$N$596,MATCH("golf|2025-03-27 20:00",fillups!$O$2:$O$596,0)),2),"—")</f>
        <v/>
      </c>
      <c r="I312" s="2" t="inlineStr">
        <is>
          <t>spreadsheet</t>
        </is>
      </c>
      <c r="J312" s="2" t="n"/>
      <c r="K312" s="14" t="inlineStr">
        <is>
          <t>example formula (Claude): check it, or replace it with your own</t>
        </is>
      </c>
    </row>
    <row r="313">
      <c r="A313" s="2" t="n">
        <v>312</v>
      </c>
      <c r="B313" s="2" t="inlineStr">
        <is>
          <t>economy.segment</t>
        </is>
      </c>
      <c r="C313" s="2" t="inlineStr">
        <is>
          <t>alex</t>
        </is>
      </c>
      <c r="D313" s="2" t="inlineStr">
        <is>
          <t>golf</t>
        </is>
      </c>
      <c r="E313" s="2" t="inlineStr">
        <is>
          <t>segment ending 2025-04-06 14:54</t>
        </is>
      </c>
      <c r="F313" s="2" t="n"/>
      <c r="G313" s="2" t="inlineStr">
        <is>
          <t>l/100km</t>
        </is>
      </c>
      <c r="H313" s="18">
        <f>IFERROR(ROUND(INDEX(fillups!$N$2:$N$596,MATCH("golf|2025-04-06 14:54",fillups!$O$2:$O$596,0)),2),"—")</f>
        <v/>
      </c>
      <c r="I313" s="2" t="inlineStr">
        <is>
          <t>spreadsheet</t>
        </is>
      </c>
      <c r="J313" s="2" t="n"/>
      <c r="K313" s="14" t="inlineStr">
        <is>
          <t>example formula (Claude): check it, or replace it with your own</t>
        </is>
      </c>
    </row>
    <row r="314">
      <c r="A314" s="2" t="n">
        <v>313</v>
      </c>
      <c r="B314" s="2" t="inlineStr">
        <is>
          <t>economy.segment</t>
        </is>
      </c>
      <c r="C314" s="2" t="inlineStr">
        <is>
          <t>alex</t>
        </is>
      </c>
      <c r="D314" s="2" t="inlineStr">
        <is>
          <t>golf</t>
        </is>
      </c>
      <c r="E314" s="2" t="inlineStr">
        <is>
          <t>segment ending 2025-04-15 17:38</t>
        </is>
      </c>
      <c r="F314" s="2" t="n"/>
      <c r="G314" s="2" t="inlineStr">
        <is>
          <t>l/100km</t>
        </is>
      </c>
      <c r="H314" s="18">
        <f>IFERROR(ROUND(INDEX(fillups!$N$2:$N$596,MATCH("golf|2025-04-15 17:38",fillups!$O$2:$O$596,0)),2),"—")</f>
        <v/>
      </c>
      <c r="I314" s="2" t="inlineStr">
        <is>
          <t>spreadsheet</t>
        </is>
      </c>
      <c r="J314" s="2" t="n"/>
      <c r="K314" s="14" t="inlineStr">
        <is>
          <t>example formula (Claude): check it, or replace it with your own</t>
        </is>
      </c>
    </row>
    <row r="315">
      <c r="A315" s="2" t="n">
        <v>314</v>
      </c>
      <c r="B315" s="2" t="inlineStr">
        <is>
          <t>economy.segment</t>
        </is>
      </c>
      <c r="C315" s="2" t="inlineStr">
        <is>
          <t>alex</t>
        </is>
      </c>
      <c r="D315" s="2" t="inlineStr">
        <is>
          <t>golf</t>
        </is>
      </c>
      <c r="E315" s="2" t="inlineStr">
        <is>
          <t>segment ending 2025-04-24 15:55</t>
        </is>
      </c>
      <c r="F315" s="2" t="n"/>
      <c r="G315" s="2" t="inlineStr">
        <is>
          <t>l/100km</t>
        </is>
      </c>
      <c r="H315" s="18">
        <f>IFERROR(ROUND(INDEX(fillups!$N$2:$N$596,MATCH("golf|2025-04-24 15:55",fillups!$O$2:$O$596,0)),2),"—")</f>
        <v/>
      </c>
      <c r="I315" s="2" t="inlineStr">
        <is>
          <t>spreadsheet</t>
        </is>
      </c>
      <c r="J315" s="2" t="n"/>
      <c r="K315" s="14" t="inlineStr">
        <is>
          <t>example formula (Claude): check it, or replace it with your own</t>
        </is>
      </c>
    </row>
    <row r="316">
      <c r="A316" s="2" t="n">
        <v>315</v>
      </c>
      <c r="B316" s="2" t="inlineStr">
        <is>
          <t>economy.segment</t>
        </is>
      </c>
      <c r="C316" s="2" t="inlineStr">
        <is>
          <t>alex</t>
        </is>
      </c>
      <c r="D316" s="2" t="inlineStr">
        <is>
          <t>golf</t>
        </is>
      </c>
      <c r="E316" s="2" t="inlineStr">
        <is>
          <t>segment ending 2025-05-05 16:00</t>
        </is>
      </c>
      <c r="F316" s="2" t="n"/>
      <c r="G316" s="2" t="inlineStr">
        <is>
          <t>l/100km</t>
        </is>
      </c>
      <c r="H316" s="18">
        <f>IFERROR(ROUND(INDEX(fillups!$N$2:$N$596,MATCH("golf|2025-05-05 16:00",fillups!$O$2:$O$596,0)),2),"—")</f>
        <v/>
      </c>
      <c r="I316" s="2" t="inlineStr">
        <is>
          <t>spreadsheet</t>
        </is>
      </c>
      <c r="J316" s="2" t="n"/>
      <c r="K316" s="14" t="inlineStr">
        <is>
          <t>example formula (Claude): check it, or replace it with your own</t>
        </is>
      </c>
    </row>
    <row r="317">
      <c r="A317" s="2" t="n">
        <v>316</v>
      </c>
      <c r="B317" s="2" t="inlineStr">
        <is>
          <t>economy.segment</t>
        </is>
      </c>
      <c r="C317" s="2" t="inlineStr">
        <is>
          <t>alex</t>
        </is>
      </c>
      <c r="D317" s="2" t="inlineStr">
        <is>
          <t>golf</t>
        </is>
      </c>
      <c r="E317" s="2" t="inlineStr">
        <is>
          <t>segment ending 2025-05-16 07:23</t>
        </is>
      </c>
      <c r="F317" s="2" t="n"/>
      <c r="G317" s="2" t="inlineStr">
        <is>
          <t>l/100km</t>
        </is>
      </c>
      <c r="H317" s="18">
        <f>IFERROR(ROUND(INDEX(fillups!$N$2:$N$596,MATCH("golf|2025-05-16 07:23",fillups!$O$2:$O$596,0)),2),"—")</f>
        <v/>
      </c>
      <c r="I317" s="2" t="inlineStr">
        <is>
          <t>spreadsheet</t>
        </is>
      </c>
      <c r="J317" s="2" t="n"/>
      <c r="K317" s="14" t="inlineStr">
        <is>
          <t>example formula (Claude): check it, or replace it with your own</t>
        </is>
      </c>
    </row>
    <row r="318">
      <c r="A318" s="2" t="n">
        <v>317</v>
      </c>
      <c r="B318" s="2" t="inlineStr">
        <is>
          <t>economy.segment</t>
        </is>
      </c>
      <c r="C318" s="2" t="inlineStr">
        <is>
          <t>alex</t>
        </is>
      </c>
      <c r="D318" s="2" t="inlineStr">
        <is>
          <t>golf</t>
        </is>
      </c>
      <c r="E318" s="2" t="inlineStr">
        <is>
          <t>segment ending 2025-05-25 11:30</t>
        </is>
      </c>
      <c r="F318" s="2" t="n"/>
      <c r="G318" s="2" t="inlineStr">
        <is>
          <t>l/100km</t>
        </is>
      </c>
      <c r="H318" s="18">
        <f>IFERROR(ROUND(INDEX(fillups!$N$2:$N$596,MATCH("golf|2025-05-25 11:30",fillups!$O$2:$O$596,0)),2),"—")</f>
        <v/>
      </c>
      <c r="I318" s="2" t="inlineStr">
        <is>
          <t>spreadsheet</t>
        </is>
      </c>
      <c r="J318" s="2" t="n"/>
      <c r="K318" s="14" t="inlineStr">
        <is>
          <t>example formula (Claude): check it, or replace it with your own</t>
        </is>
      </c>
    </row>
    <row r="319">
      <c r="A319" s="2" t="n">
        <v>318</v>
      </c>
      <c r="B319" s="2" t="inlineStr">
        <is>
          <t>economy.segment</t>
        </is>
      </c>
      <c r="C319" s="2" t="inlineStr">
        <is>
          <t>alex</t>
        </is>
      </c>
      <c r="D319" s="2" t="inlineStr">
        <is>
          <t>golf</t>
        </is>
      </c>
      <c r="E319" s="2" t="inlineStr">
        <is>
          <t>segment ending 2025-06-02 20:10</t>
        </is>
      </c>
      <c r="F319" s="2" t="n"/>
      <c r="G319" s="2" t="inlineStr">
        <is>
          <t>l/100km</t>
        </is>
      </c>
      <c r="H319" s="18">
        <f>IFERROR(ROUND(INDEX(fillups!$N$2:$N$596,MATCH("golf|2025-06-02 20:10",fillups!$O$2:$O$596,0)),2),"—")</f>
        <v/>
      </c>
      <c r="I319" s="2" t="inlineStr">
        <is>
          <t>spreadsheet</t>
        </is>
      </c>
      <c r="J319" s="2" t="n"/>
      <c r="K319" s="14" t="inlineStr">
        <is>
          <t>example formula (Claude): check it, or replace it with your own</t>
        </is>
      </c>
    </row>
    <row r="320">
      <c r="A320" s="2" t="n">
        <v>319</v>
      </c>
      <c r="B320" s="2" t="inlineStr">
        <is>
          <t>economy.segment</t>
        </is>
      </c>
      <c r="C320" s="2" t="inlineStr">
        <is>
          <t>alex</t>
        </is>
      </c>
      <c r="D320" s="2" t="inlineStr">
        <is>
          <t>golf</t>
        </is>
      </c>
      <c r="E320" s="2" t="inlineStr">
        <is>
          <t>segment ending 2025-06-13 16:38</t>
        </is>
      </c>
      <c r="F320" s="2" t="n"/>
      <c r="G320" s="2" t="inlineStr">
        <is>
          <t>l/100km</t>
        </is>
      </c>
      <c r="H320" s="18">
        <f>IFERROR(ROUND(INDEX(fillups!$N$2:$N$596,MATCH("golf|2025-06-13 16:38",fillups!$O$2:$O$596,0)),2),"—")</f>
        <v/>
      </c>
      <c r="I320" s="2" t="inlineStr">
        <is>
          <t>spreadsheet</t>
        </is>
      </c>
      <c r="J320" s="2" t="n"/>
      <c r="K320" s="14" t="inlineStr">
        <is>
          <t>example formula (Claude): check it, or replace it with your own</t>
        </is>
      </c>
    </row>
    <row r="321">
      <c r="A321" s="2" t="n">
        <v>320</v>
      </c>
      <c r="B321" s="2" t="inlineStr">
        <is>
          <t>economy.segment</t>
        </is>
      </c>
      <c r="C321" s="2" t="inlineStr">
        <is>
          <t>alex</t>
        </is>
      </c>
      <c r="D321" s="2" t="inlineStr">
        <is>
          <t>golf</t>
        </is>
      </c>
      <c r="E321" s="2" t="inlineStr">
        <is>
          <t>segment ending 2025-06-22 15:12</t>
        </is>
      </c>
      <c r="F321" s="2" t="n"/>
      <c r="G321" s="2" t="inlineStr">
        <is>
          <t>l/100km</t>
        </is>
      </c>
      <c r="H321" s="18">
        <f>IFERROR(ROUND(INDEX(fillups!$N$2:$N$596,MATCH("golf|2025-06-22 15:12",fillups!$O$2:$O$596,0)),2),"—")</f>
        <v/>
      </c>
      <c r="I321" s="2" t="inlineStr">
        <is>
          <t>spreadsheet</t>
        </is>
      </c>
      <c r="J321" s="2" t="n"/>
      <c r="K321" s="14" t="inlineStr">
        <is>
          <t>example formula (Claude): check it, or replace it with your own</t>
        </is>
      </c>
    </row>
    <row r="322">
      <c r="A322" s="2" t="n">
        <v>321</v>
      </c>
      <c r="B322" s="2" t="inlineStr">
        <is>
          <t>economy.segment</t>
        </is>
      </c>
      <c r="C322" s="2" t="inlineStr">
        <is>
          <t>alex</t>
        </is>
      </c>
      <c r="D322" s="2" t="inlineStr">
        <is>
          <t>golf</t>
        </is>
      </c>
      <c r="E322" s="2" t="inlineStr">
        <is>
          <t>segment ending 2025-07-03 10:22</t>
        </is>
      </c>
      <c r="F322" s="2" t="n"/>
      <c r="G322" s="2" t="inlineStr">
        <is>
          <t>l/100km</t>
        </is>
      </c>
      <c r="H322" s="18">
        <f>IFERROR(ROUND(INDEX(fillups!$N$2:$N$596,MATCH("golf|2025-07-03 10:22",fillups!$O$2:$O$596,0)),2),"—")</f>
        <v/>
      </c>
      <c r="I322" s="2" t="inlineStr">
        <is>
          <t>spreadsheet</t>
        </is>
      </c>
      <c r="J322" s="2" t="n"/>
      <c r="K322" s="14" t="inlineStr">
        <is>
          <t>example formula (Claude): check it, or replace it with your own</t>
        </is>
      </c>
    </row>
    <row r="323">
      <c r="A323" s="2" t="n">
        <v>322</v>
      </c>
      <c r="B323" s="2" t="inlineStr">
        <is>
          <t>economy.segment</t>
        </is>
      </c>
      <c r="C323" s="2" t="inlineStr">
        <is>
          <t>alex</t>
        </is>
      </c>
      <c r="D323" s="2" t="inlineStr">
        <is>
          <t>golf</t>
        </is>
      </c>
      <c r="E323" s="2" t="inlineStr">
        <is>
          <t>segment ending 2025-07-13 15:25</t>
        </is>
      </c>
      <c r="F323" s="2" t="n"/>
      <c r="G323" s="2" t="inlineStr">
        <is>
          <t>l/100km</t>
        </is>
      </c>
      <c r="H323" s="18">
        <f>IFERROR(ROUND(INDEX(fillups!$N$2:$N$596,MATCH("golf|2025-07-13 15:25",fillups!$O$2:$O$596,0)),2),"—")</f>
        <v/>
      </c>
      <c r="I323" s="2" t="inlineStr">
        <is>
          <t>spreadsheet</t>
        </is>
      </c>
      <c r="J323" s="2" t="n"/>
      <c r="K323" s="14" t="inlineStr">
        <is>
          <t>example formula (Claude): check it, or replace it with your own</t>
        </is>
      </c>
    </row>
    <row r="324">
      <c r="A324" s="2" t="n">
        <v>323</v>
      </c>
      <c r="B324" s="2" t="inlineStr">
        <is>
          <t>economy.segment</t>
        </is>
      </c>
      <c r="C324" s="2" t="inlineStr">
        <is>
          <t>alex</t>
        </is>
      </c>
      <c r="D324" s="2" t="inlineStr">
        <is>
          <t>golf</t>
        </is>
      </c>
      <c r="E324" s="2" t="inlineStr">
        <is>
          <t>segment ending 2025-07-24 14:15</t>
        </is>
      </c>
      <c r="F324" s="2" t="n"/>
      <c r="G324" s="2" t="inlineStr">
        <is>
          <t>l/100km</t>
        </is>
      </c>
      <c r="H324" s="18">
        <f>IFERROR(ROUND(INDEX(fillups!$N$2:$N$596,MATCH("golf|2025-07-24 14:15",fillups!$O$2:$O$596,0)),2),"—")</f>
        <v/>
      </c>
      <c r="I324" s="2" t="inlineStr">
        <is>
          <t>spreadsheet</t>
        </is>
      </c>
      <c r="J324" s="2" t="n"/>
      <c r="K324" s="14" t="inlineStr">
        <is>
          <t>example formula (Claude): check it, or replace it with your own</t>
        </is>
      </c>
    </row>
    <row r="325">
      <c r="A325" s="2" t="n">
        <v>324</v>
      </c>
      <c r="B325" s="2" t="inlineStr">
        <is>
          <t>economy.segment</t>
        </is>
      </c>
      <c r="C325" s="2" t="inlineStr">
        <is>
          <t>alex</t>
        </is>
      </c>
      <c r="D325" s="2" t="inlineStr">
        <is>
          <t>golf</t>
        </is>
      </c>
      <c r="E325" s="2" t="inlineStr">
        <is>
          <t>segment ending 2025-07-31 11:26</t>
        </is>
      </c>
      <c r="F325" s="2" t="n"/>
      <c r="G325" s="2" t="inlineStr">
        <is>
          <t>l/100km</t>
        </is>
      </c>
      <c r="H325" s="18">
        <f>IFERROR(ROUND(INDEX(fillups!$N$2:$N$596,MATCH("golf|2025-07-31 11:26",fillups!$O$2:$O$596,0)),2),"—")</f>
        <v/>
      </c>
      <c r="I325" s="2" t="inlineStr">
        <is>
          <t>spreadsheet</t>
        </is>
      </c>
      <c r="J325" s="2" t="n"/>
      <c r="K325" s="14" t="inlineStr">
        <is>
          <t>example formula (Claude): check it, or replace it with your own</t>
        </is>
      </c>
    </row>
    <row r="326">
      <c r="A326" s="2" t="n">
        <v>325</v>
      </c>
      <c r="B326" s="2" t="inlineStr">
        <is>
          <t>economy.segment</t>
        </is>
      </c>
      <c r="C326" s="2" t="inlineStr">
        <is>
          <t>alex</t>
        </is>
      </c>
      <c r="D326" s="2" t="inlineStr">
        <is>
          <t>golf</t>
        </is>
      </c>
      <c r="E326" s="2" t="inlineStr">
        <is>
          <t>segment ending 2025-08-10 20:59</t>
        </is>
      </c>
      <c r="F326" s="2" t="n"/>
      <c r="G326" s="2" t="inlineStr">
        <is>
          <t>l/100km</t>
        </is>
      </c>
      <c r="H326" s="18">
        <f>IFERROR(ROUND(INDEX(fillups!$N$2:$N$596,MATCH("golf|2025-08-10 20:59",fillups!$O$2:$O$596,0)),2),"—")</f>
        <v/>
      </c>
      <c r="I326" s="2" t="inlineStr">
        <is>
          <t>spreadsheet</t>
        </is>
      </c>
      <c r="J326" s="2" t="n"/>
      <c r="K326" s="14" t="inlineStr">
        <is>
          <t>example formula (Claude): check it, or replace it with your own</t>
        </is>
      </c>
    </row>
    <row r="327">
      <c r="A327" s="2" t="n">
        <v>326</v>
      </c>
      <c r="B327" s="2" t="inlineStr">
        <is>
          <t>economy.segment</t>
        </is>
      </c>
      <c r="C327" s="2" t="inlineStr">
        <is>
          <t>alex</t>
        </is>
      </c>
      <c r="D327" s="2" t="inlineStr">
        <is>
          <t>golf</t>
        </is>
      </c>
      <c r="E327" s="2" t="inlineStr">
        <is>
          <t>segment ending 2025-08-18 09:51</t>
        </is>
      </c>
      <c r="F327" s="2" t="n"/>
      <c r="G327" s="2" t="inlineStr">
        <is>
          <t>l/100km</t>
        </is>
      </c>
      <c r="H327" s="18">
        <f>IFERROR(ROUND(INDEX(fillups!$N$2:$N$596,MATCH("golf|2025-08-18 09:51",fillups!$O$2:$O$596,0)),2),"—")</f>
        <v/>
      </c>
      <c r="I327" s="2" t="inlineStr">
        <is>
          <t>spreadsheet</t>
        </is>
      </c>
      <c r="J327" s="2" t="n"/>
      <c r="K327" s="14" t="inlineStr">
        <is>
          <t>example formula (Claude): check it, or replace it with your own</t>
        </is>
      </c>
    </row>
    <row r="328">
      <c r="A328" s="2" t="n">
        <v>327</v>
      </c>
      <c r="B328" s="2" t="inlineStr">
        <is>
          <t>economy.segment</t>
        </is>
      </c>
      <c r="C328" s="2" t="inlineStr">
        <is>
          <t>alex</t>
        </is>
      </c>
      <c r="D328" s="2" t="inlineStr">
        <is>
          <t>golf</t>
        </is>
      </c>
      <c r="E328" s="2" t="inlineStr">
        <is>
          <t>segment ending 2025-08-26 13:48</t>
        </is>
      </c>
      <c r="F328" s="2" t="n"/>
      <c r="G328" s="2" t="inlineStr">
        <is>
          <t>l/100km</t>
        </is>
      </c>
      <c r="H328" s="18">
        <f>IFERROR(ROUND(INDEX(fillups!$N$2:$N$596,MATCH("golf|2025-08-26 13:48",fillups!$O$2:$O$596,0)),2),"—")</f>
        <v/>
      </c>
      <c r="I328" s="2" t="inlineStr">
        <is>
          <t>spreadsheet</t>
        </is>
      </c>
      <c r="J328" s="2" t="n"/>
      <c r="K328" s="14" t="inlineStr">
        <is>
          <t>example formula (Claude): check it, or replace it with your own</t>
        </is>
      </c>
    </row>
    <row r="329">
      <c r="A329" s="2" t="n">
        <v>328</v>
      </c>
      <c r="B329" s="2" t="inlineStr">
        <is>
          <t>economy.segment</t>
        </is>
      </c>
      <c r="C329" s="2" t="inlineStr">
        <is>
          <t>alex</t>
        </is>
      </c>
      <c r="D329" s="2" t="inlineStr">
        <is>
          <t>golf</t>
        </is>
      </c>
      <c r="E329" s="2" t="inlineStr">
        <is>
          <t>segment ending 2025-08-31 23:30</t>
        </is>
      </c>
      <c r="F329" s="2" t="n"/>
      <c r="G329" s="2" t="inlineStr">
        <is>
          <t>l/100km</t>
        </is>
      </c>
      <c r="H329" s="18">
        <f>IFERROR(ROUND(INDEX(fillups!$N$2:$N$596,MATCH("golf|2025-08-31 23:30",fillups!$O$2:$O$596,0)),2),"—")</f>
        <v/>
      </c>
      <c r="I329" s="2" t="inlineStr">
        <is>
          <t>spreadsheet</t>
        </is>
      </c>
      <c r="J329" s="2" t="n"/>
      <c r="K329" s="14" t="inlineStr">
        <is>
          <t>example formula (Claude): check it, or replace it with your own</t>
        </is>
      </c>
    </row>
    <row r="330">
      <c r="A330" s="2" t="n">
        <v>329</v>
      </c>
      <c r="B330" s="2" t="inlineStr">
        <is>
          <t>economy.segment</t>
        </is>
      </c>
      <c r="C330" s="2" t="inlineStr">
        <is>
          <t>alex</t>
        </is>
      </c>
      <c r="D330" s="2" t="inlineStr">
        <is>
          <t>golf</t>
        </is>
      </c>
      <c r="E330" s="2" t="inlineStr">
        <is>
          <t>segment ending 2025-09-08 20:43</t>
        </is>
      </c>
      <c r="F330" s="2" t="n"/>
      <c r="G330" s="2" t="inlineStr">
        <is>
          <t>l/100km</t>
        </is>
      </c>
      <c r="H330" s="18">
        <f>IFERROR(ROUND(INDEX(fillups!$N$2:$N$596,MATCH("golf|2025-09-08 20:43",fillups!$O$2:$O$596,0)),2),"—")</f>
        <v/>
      </c>
      <c r="I330" s="2" t="inlineStr">
        <is>
          <t>spreadsheet</t>
        </is>
      </c>
      <c r="J330" s="2" t="n"/>
      <c r="K330" s="14" t="inlineStr">
        <is>
          <t>example formula (Claude): check it, or replace it with your own</t>
        </is>
      </c>
    </row>
    <row r="331">
      <c r="A331" s="2" t="n">
        <v>330</v>
      </c>
      <c r="B331" s="2" t="inlineStr">
        <is>
          <t>economy.segment</t>
        </is>
      </c>
      <c r="C331" s="2" t="inlineStr">
        <is>
          <t>alex</t>
        </is>
      </c>
      <c r="D331" s="2" t="inlineStr">
        <is>
          <t>golf</t>
        </is>
      </c>
      <c r="E331" s="2" t="inlineStr">
        <is>
          <t>segment ending 2025-09-16 07:35</t>
        </is>
      </c>
      <c r="F331" s="2" t="n"/>
      <c r="G331" s="2" t="inlineStr">
        <is>
          <t>l/100km</t>
        </is>
      </c>
      <c r="H331" s="18">
        <f>IFERROR(ROUND(INDEX(fillups!$N$2:$N$596,MATCH("golf|2025-09-16 07:35",fillups!$O$2:$O$596,0)),2),"—")</f>
        <v/>
      </c>
      <c r="I331" s="2" t="inlineStr">
        <is>
          <t>spreadsheet</t>
        </is>
      </c>
      <c r="J331" s="2" t="n"/>
      <c r="K331" s="14" t="inlineStr">
        <is>
          <t>example formula (Claude): check it, or replace it with your own</t>
        </is>
      </c>
    </row>
    <row r="332">
      <c r="A332" s="2" t="n">
        <v>331</v>
      </c>
      <c r="B332" s="2" t="inlineStr">
        <is>
          <t>economy.segment</t>
        </is>
      </c>
      <c r="C332" s="2" t="inlineStr">
        <is>
          <t>alex</t>
        </is>
      </c>
      <c r="D332" s="2" t="inlineStr">
        <is>
          <t>golf</t>
        </is>
      </c>
      <c r="E332" s="2" t="inlineStr">
        <is>
          <t>segment ending 2025-09-26 12:49</t>
        </is>
      </c>
      <c r="F332" s="2" t="n"/>
      <c r="G332" s="2" t="inlineStr">
        <is>
          <t>l/100km</t>
        </is>
      </c>
      <c r="H332" s="18">
        <f>IFERROR(ROUND(INDEX(fillups!$N$2:$N$596,MATCH("golf|2025-09-26 12:49",fillups!$O$2:$O$596,0)),2),"—")</f>
        <v/>
      </c>
      <c r="I332" s="2" t="inlineStr">
        <is>
          <t>spreadsheet</t>
        </is>
      </c>
      <c r="J332" s="2" t="n"/>
      <c r="K332" s="14" t="inlineStr">
        <is>
          <t>example formula (Claude): check it, or replace it with your own</t>
        </is>
      </c>
    </row>
    <row r="333">
      <c r="A333" s="2" t="n">
        <v>332</v>
      </c>
      <c r="B333" s="2" t="inlineStr">
        <is>
          <t>economy.segment</t>
        </is>
      </c>
      <c r="C333" s="2" t="inlineStr">
        <is>
          <t>alex</t>
        </is>
      </c>
      <c r="D333" s="2" t="inlineStr">
        <is>
          <t>golf</t>
        </is>
      </c>
      <c r="E333" s="2" t="inlineStr">
        <is>
          <t>segment ending 2025-10-04 19:44</t>
        </is>
      </c>
      <c r="F333" s="2" t="n"/>
      <c r="G333" s="2" t="inlineStr">
        <is>
          <t>l/100km</t>
        </is>
      </c>
      <c r="H333" s="18">
        <f>IFERROR(ROUND(INDEX(fillups!$N$2:$N$596,MATCH("golf|2025-10-04 19:44",fillups!$O$2:$O$596,0)),2),"—")</f>
        <v/>
      </c>
      <c r="I333" s="2" t="inlineStr">
        <is>
          <t>spreadsheet</t>
        </is>
      </c>
      <c r="J333" s="2" t="n"/>
      <c r="K333" s="14" t="inlineStr">
        <is>
          <t>example formula (Claude): check it, or replace it with your own</t>
        </is>
      </c>
    </row>
    <row r="334">
      <c r="A334" s="2" t="n">
        <v>333</v>
      </c>
      <c r="B334" s="2" t="inlineStr">
        <is>
          <t>economy.segment</t>
        </is>
      </c>
      <c r="C334" s="2" t="inlineStr">
        <is>
          <t>alex</t>
        </is>
      </c>
      <c r="D334" s="2" t="inlineStr">
        <is>
          <t>golf</t>
        </is>
      </c>
      <c r="E334" s="2" t="inlineStr">
        <is>
          <t>segment ending 2025-10-15 14:06</t>
        </is>
      </c>
      <c r="F334" s="2" t="n"/>
      <c r="G334" s="2" t="inlineStr">
        <is>
          <t>l/100km</t>
        </is>
      </c>
      <c r="H334" s="18">
        <f>IFERROR(ROUND(INDEX(fillups!$N$2:$N$596,MATCH("golf|2025-10-15 14:06",fillups!$O$2:$O$596,0)),2),"—")</f>
        <v/>
      </c>
      <c r="I334" s="2" t="inlineStr">
        <is>
          <t>spreadsheet</t>
        </is>
      </c>
      <c r="J334" s="2" t="n"/>
      <c r="K334" s="14" t="inlineStr">
        <is>
          <t>example formula (Claude): check it, or replace it with your own</t>
        </is>
      </c>
    </row>
    <row r="335">
      <c r="A335" s="2" t="n">
        <v>334</v>
      </c>
      <c r="B335" s="2" t="inlineStr">
        <is>
          <t>economy.segment</t>
        </is>
      </c>
      <c r="C335" s="2" t="inlineStr">
        <is>
          <t>alex</t>
        </is>
      </c>
      <c r="D335" s="2" t="inlineStr">
        <is>
          <t>golf</t>
        </is>
      </c>
      <c r="E335" s="2" t="inlineStr">
        <is>
          <t>segment ending 2025-10-26 14:31</t>
        </is>
      </c>
      <c r="F335" s="2" t="n"/>
      <c r="G335" s="2" t="inlineStr">
        <is>
          <t>l/100km</t>
        </is>
      </c>
      <c r="H335" s="18">
        <f>IFERROR(ROUND(INDEX(fillups!$N$2:$N$596,MATCH("golf|2025-10-26 14:31",fillups!$O$2:$O$596,0)),2),"—")</f>
        <v/>
      </c>
      <c r="I335" s="2" t="inlineStr">
        <is>
          <t>spreadsheet</t>
        </is>
      </c>
      <c r="J335" s="2" t="n"/>
      <c r="K335" s="14" t="inlineStr">
        <is>
          <t>example formula (Claude): check it, or replace it with your own</t>
        </is>
      </c>
    </row>
    <row r="336">
      <c r="A336" s="2" t="n">
        <v>335</v>
      </c>
      <c r="B336" s="2" t="inlineStr">
        <is>
          <t>economy.segment</t>
        </is>
      </c>
      <c r="C336" s="2" t="inlineStr">
        <is>
          <t>alex</t>
        </is>
      </c>
      <c r="D336" s="2" t="inlineStr">
        <is>
          <t>golf</t>
        </is>
      </c>
      <c r="E336" s="2" t="inlineStr">
        <is>
          <t>segment ending 2025-11-03 15:19</t>
        </is>
      </c>
      <c r="F336" s="2" t="n"/>
      <c r="G336" s="2" t="inlineStr">
        <is>
          <t>l/100km</t>
        </is>
      </c>
      <c r="H336" s="18">
        <f>IFERROR(ROUND(INDEX(fillups!$N$2:$N$596,MATCH("golf|2025-11-03 15:19",fillups!$O$2:$O$596,0)),2),"—")</f>
        <v/>
      </c>
      <c r="I336" s="2" t="inlineStr">
        <is>
          <t>spreadsheet</t>
        </is>
      </c>
      <c r="J336" s="2" t="n"/>
      <c r="K336" s="14" t="inlineStr">
        <is>
          <t>example formula (Claude): check it, or replace it with your own</t>
        </is>
      </c>
    </row>
    <row r="337">
      <c r="A337" s="2" t="n">
        <v>336</v>
      </c>
      <c r="B337" s="2" t="inlineStr">
        <is>
          <t>economy.segment</t>
        </is>
      </c>
      <c r="C337" s="2" t="inlineStr">
        <is>
          <t>alex</t>
        </is>
      </c>
      <c r="D337" s="2" t="inlineStr">
        <is>
          <t>golf</t>
        </is>
      </c>
      <c r="E337" s="2" t="inlineStr">
        <is>
          <t>segment ending 2025-11-12 20:12</t>
        </is>
      </c>
      <c r="F337" s="2" t="n"/>
      <c r="G337" s="2" t="inlineStr">
        <is>
          <t>l/100km</t>
        </is>
      </c>
      <c r="H337" s="18">
        <f>IFERROR(ROUND(INDEX(fillups!$N$2:$N$596,MATCH("golf|2025-11-12 20:12",fillups!$O$2:$O$596,0)),2),"—")</f>
        <v/>
      </c>
      <c r="I337" s="2" t="inlineStr">
        <is>
          <t>spreadsheet</t>
        </is>
      </c>
      <c r="J337" s="2" t="n"/>
      <c r="K337" s="14" t="inlineStr">
        <is>
          <t>example formula (Claude): check it, or replace it with your own</t>
        </is>
      </c>
    </row>
    <row r="338">
      <c r="A338" s="2" t="n">
        <v>337</v>
      </c>
      <c r="B338" s="2" t="inlineStr">
        <is>
          <t>economy.segment</t>
        </is>
      </c>
      <c r="C338" s="2" t="inlineStr">
        <is>
          <t>alex</t>
        </is>
      </c>
      <c r="D338" s="2" t="inlineStr">
        <is>
          <t>golf</t>
        </is>
      </c>
      <c r="E338" s="2" t="inlineStr">
        <is>
          <t>segment ending 2025-11-20 14:49</t>
        </is>
      </c>
      <c r="F338" s="2" t="n"/>
      <c r="G338" s="2" t="inlineStr">
        <is>
          <t>l/100km</t>
        </is>
      </c>
      <c r="H338" s="18">
        <f>IFERROR(ROUND(INDEX(fillups!$N$2:$N$596,MATCH("golf|2025-11-20 14:49",fillups!$O$2:$O$596,0)),2),"—")</f>
        <v/>
      </c>
      <c r="I338" s="2" t="inlineStr">
        <is>
          <t>spreadsheet</t>
        </is>
      </c>
      <c r="J338" s="2" t="n"/>
      <c r="K338" s="14" t="inlineStr">
        <is>
          <t>example formula (Claude): check it, or replace it with your own</t>
        </is>
      </c>
    </row>
    <row r="339">
      <c r="A339" s="2" t="n">
        <v>338</v>
      </c>
      <c r="B339" s="2" t="inlineStr">
        <is>
          <t>economy.segment</t>
        </is>
      </c>
      <c r="C339" s="2" t="inlineStr">
        <is>
          <t>alex</t>
        </is>
      </c>
      <c r="D339" s="2" t="inlineStr">
        <is>
          <t>golf</t>
        </is>
      </c>
      <c r="E339" s="2" t="inlineStr">
        <is>
          <t>segment ending 2025-11-29 10:52</t>
        </is>
      </c>
      <c r="F339" s="2" t="n"/>
      <c r="G339" s="2" t="inlineStr">
        <is>
          <t>l/100km</t>
        </is>
      </c>
      <c r="H339" s="18">
        <f>IFERROR(ROUND(INDEX(fillups!$N$2:$N$596,MATCH("golf|2025-11-29 10:52",fillups!$O$2:$O$596,0)),2),"—")</f>
        <v/>
      </c>
      <c r="I339" s="2" t="inlineStr">
        <is>
          <t>spreadsheet</t>
        </is>
      </c>
      <c r="J339" s="2" t="n"/>
      <c r="K339" s="14" t="inlineStr">
        <is>
          <t>example formula (Claude): check it, or replace it with your own</t>
        </is>
      </c>
    </row>
    <row r="340">
      <c r="A340" s="2" t="n">
        <v>339</v>
      </c>
      <c r="B340" s="2" t="inlineStr">
        <is>
          <t>economy.segment</t>
        </is>
      </c>
      <c r="C340" s="2" t="inlineStr">
        <is>
          <t>alex</t>
        </is>
      </c>
      <c r="D340" s="2" t="inlineStr">
        <is>
          <t>golf</t>
        </is>
      </c>
      <c r="E340" s="2" t="inlineStr">
        <is>
          <t>segment ending 2025-12-07 19:02</t>
        </is>
      </c>
      <c r="F340" s="2" t="n"/>
      <c r="G340" s="2" t="inlineStr">
        <is>
          <t>l/100km</t>
        </is>
      </c>
      <c r="H340" s="18">
        <f>IFERROR(ROUND(INDEX(fillups!$N$2:$N$596,MATCH("golf|2025-12-07 19:02",fillups!$O$2:$O$596,0)),2),"—")</f>
        <v/>
      </c>
      <c r="I340" s="2" t="inlineStr">
        <is>
          <t>spreadsheet</t>
        </is>
      </c>
      <c r="J340" s="2" t="n"/>
      <c r="K340" s="14" t="inlineStr">
        <is>
          <t>example formula (Claude): check it, or replace it with your own</t>
        </is>
      </c>
    </row>
    <row r="341">
      <c r="A341" s="2" t="n">
        <v>340</v>
      </c>
      <c r="B341" s="2" t="inlineStr">
        <is>
          <t>economy.segment</t>
        </is>
      </c>
      <c r="C341" s="2" t="inlineStr">
        <is>
          <t>alex</t>
        </is>
      </c>
      <c r="D341" s="2" t="inlineStr">
        <is>
          <t>golf</t>
        </is>
      </c>
      <c r="E341" s="2" t="inlineStr">
        <is>
          <t>segment ending 2025-12-18 20:41</t>
        </is>
      </c>
      <c r="F341" s="2" t="n"/>
      <c r="G341" s="2" t="inlineStr">
        <is>
          <t>l/100km</t>
        </is>
      </c>
      <c r="H341" s="18">
        <f>IFERROR(ROUND(INDEX(fillups!$N$2:$N$596,MATCH("golf|2025-12-18 20:41",fillups!$O$2:$O$596,0)),2),"—")</f>
        <v/>
      </c>
      <c r="I341" s="2" t="inlineStr">
        <is>
          <t>spreadsheet</t>
        </is>
      </c>
      <c r="J341" s="2" t="n"/>
      <c r="K341" s="14" t="inlineStr">
        <is>
          <t>example formula (Claude): check it, or replace it with your own</t>
        </is>
      </c>
    </row>
    <row r="342">
      <c r="A342" s="2" t="n">
        <v>341</v>
      </c>
      <c r="B342" s="2" t="inlineStr">
        <is>
          <t>economy.segment</t>
        </is>
      </c>
      <c r="C342" s="2" t="inlineStr">
        <is>
          <t>alex</t>
        </is>
      </c>
      <c r="D342" s="2" t="inlineStr">
        <is>
          <t>golf</t>
        </is>
      </c>
      <c r="E342" s="2" t="inlineStr">
        <is>
          <t>segment ending 2025-12-25 07:29</t>
        </is>
      </c>
      <c r="F342" s="2" t="n"/>
      <c r="G342" s="2" t="inlineStr">
        <is>
          <t>l/100km</t>
        </is>
      </c>
      <c r="H342" s="18">
        <f>IFERROR(ROUND(INDEX(fillups!$N$2:$N$596,MATCH("golf|2025-12-25 07:29",fillups!$O$2:$O$596,0)),2),"—")</f>
        <v/>
      </c>
      <c r="I342" s="2" t="inlineStr">
        <is>
          <t>spreadsheet</t>
        </is>
      </c>
      <c r="J342" s="2" t="n"/>
      <c r="K342" s="14" t="inlineStr">
        <is>
          <t>example formula (Claude): check it, or replace it with your own</t>
        </is>
      </c>
    </row>
    <row r="343">
      <c r="A343" s="2" t="n">
        <v>342</v>
      </c>
      <c r="B343" s="2" t="inlineStr">
        <is>
          <t>economy.segment</t>
        </is>
      </c>
      <c r="C343" s="2" t="inlineStr">
        <is>
          <t>alex</t>
        </is>
      </c>
      <c r="D343" s="2" t="inlineStr">
        <is>
          <t>golf</t>
        </is>
      </c>
      <c r="E343" s="2" t="inlineStr">
        <is>
          <t>segment ending 2026-01-03 16:08</t>
        </is>
      </c>
      <c r="F343" s="2" t="n"/>
      <c r="G343" s="2" t="inlineStr">
        <is>
          <t>l/100km</t>
        </is>
      </c>
      <c r="H343" s="18">
        <f>IFERROR(ROUND(INDEX(fillups!$N$2:$N$596,MATCH("golf|2026-01-03 16:08",fillups!$O$2:$O$596,0)),2),"—")</f>
        <v/>
      </c>
      <c r="I343" s="2" t="inlineStr">
        <is>
          <t>spreadsheet</t>
        </is>
      </c>
      <c r="J343" s="2" t="n"/>
      <c r="K343" s="14" t="inlineStr">
        <is>
          <t>example formula (Claude): check it, or replace it with your own</t>
        </is>
      </c>
    </row>
    <row r="344">
      <c r="A344" s="2" t="n">
        <v>343</v>
      </c>
      <c r="B344" s="2" t="inlineStr">
        <is>
          <t>economy.segment</t>
        </is>
      </c>
      <c r="C344" s="2" t="inlineStr">
        <is>
          <t>alex</t>
        </is>
      </c>
      <c r="D344" s="2" t="inlineStr">
        <is>
          <t>golf</t>
        </is>
      </c>
      <c r="E344" s="2" t="inlineStr">
        <is>
          <t>segment ending 2026-01-14 07:15</t>
        </is>
      </c>
      <c r="F344" s="2" t="n"/>
      <c r="G344" s="2" t="inlineStr">
        <is>
          <t>l/100km</t>
        </is>
      </c>
      <c r="H344" s="18">
        <f>IFERROR(ROUND(INDEX(fillups!$N$2:$N$596,MATCH("golf|2026-01-14 07:15",fillups!$O$2:$O$596,0)),2),"—")</f>
        <v/>
      </c>
      <c r="I344" s="2" t="inlineStr">
        <is>
          <t>spreadsheet</t>
        </is>
      </c>
      <c r="J344" s="2" t="n"/>
      <c r="K344" s="14" t="inlineStr">
        <is>
          <t>example formula (Claude): check it, or replace it with your own</t>
        </is>
      </c>
    </row>
    <row r="345">
      <c r="A345" s="2" t="n">
        <v>344</v>
      </c>
      <c r="B345" s="2" t="inlineStr">
        <is>
          <t>economy.segment</t>
        </is>
      </c>
      <c r="C345" s="2" t="inlineStr">
        <is>
          <t>alex</t>
        </is>
      </c>
      <c r="D345" s="2" t="inlineStr">
        <is>
          <t>golf</t>
        </is>
      </c>
      <c r="E345" s="2" t="inlineStr">
        <is>
          <t>segment ending 2026-01-25 10:30</t>
        </is>
      </c>
      <c r="F345" s="2" t="n"/>
      <c r="G345" s="2" t="inlineStr">
        <is>
          <t>l/100km</t>
        </is>
      </c>
      <c r="H345" s="18">
        <f>IFERROR(ROUND(INDEX(fillups!$N$2:$N$596,MATCH("golf|2026-01-25 10:30",fillups!$O$2:$O$596,0)),2),"—")</f>
        <v/>
      </c>
      <c r="I345" s="2" t="inlineStr">
        <is>
          <t>spreadsheet</t>
        </is>
      </c>
      <c r="J345" s="2" t="n"/>
      <c r="K345" s="14" t="inlineStr">
        <is>
          <t>example formula (Claude): check it, or replace it with your own</t>
        </is>
      </c>
    </row>
    <row r="346">
      <c r="A346" s="2" t="n">
        <v>345</v>
      </c>
      <c r="B346" s="2" t="inlineStr">
        <is>
          <t>economy.segment</t>
        </is>
      </c>
      <c r="C346" s="2" t="inlineStr">
        <is>
          <t>alex</t>
        </is>
      </c>
      <c r="D346" s="2" t="inlineStr">
        <is>
          <t>golf</t>
        </is>
      </c>
      <c r="E346" s="2" t="inlineStr">
        <is>
          <t>segment ending 2026-02-14 09:57</t>
        </is>
      </c>
      <c r="F346" s="2" t="n"/>
      <c r="G346" s="2" t="inlineStr">
        <is>
          <t>l/100km</t>
        </is>
      </c>
      <c r="H346" s="18">
        <f>IFERROR(ROUND(INDEX(fillups!$N$2:$N$596,MATCH("golf|2026-02-14 09:57",fillups!$O$2:$O$596,0)),2),"—")</f>
        <v/>
      </c>
      <c r="I346" s="2" t="inlineStr">
        <is>
          <t>spreadsheet</t>
        </is>
      </c>
      <c r="J346" s="2" t="n"/>
      <c r="K346" s="14" t="inlineStr">
        <is>
          <t>example formula (Claude): check it, or replace it with your own</t>
        </is>
      </c>
    </row>
    <row r="347">
      <c r="A347" s="2" t="n">
        <v>346</v>
      </c>
      <c r="B347" s="2" t="inlineStr">
        <is>
          <t>economy.segment</t>
        </is>
      </c>
      <c r="C347" s="2" t="inlineStr">
        <is>
          <t>alex</t>
        </is>
      </c>
      <c r="D347" s="2" t="inlineStr">
        <is>
          <t>golf</t>
        </is>
      </c>
      <c r="E347" s="2" t="inlineStr">
        <is>
          <t>segment ending 2026-03-01 14:18</t>
        </is>
      </c>
      <c r="F347" s="2" t="n"/>
      <c r="G347" s="2" t="inlineStr">
        <is>
          <t>l/100km</t>
        </is>
      </c>
      <c r="H347" s="18">
        <f>IFERROR(ROUND(INDEX(fillups!$N$2:$N$596,MATCH("golf|2026-03-01 14:18",fillups!$O$2:$O$596,0)),2),"—")</f>
        <v/>
      </c>
      <c r="I347" s="2" t="inlineStr">
        <is>
          <t>spreadsheet</t>
        </is>
      </c>
      <c r="J347" s="2" t="n"/>
      <c r="K347" s="14" t="inlineStr">
        <is>
          <t>example formula (Claude): check it, or replace it with your own</t>
        </is>
      </c>
    </row>
    <row r="348">
      <c r="A348" s="2" t="n">
        <v>347</v>
      </c>
      <c r="B348" s="2" t="inlineStr">
        <is>
          <t>economy.segment</t>
        </is>
      </c>
      <c r="C348" s="2" t="inlineStr">
        <is>
          <t>alex</t>
        </is>
      </c>
      <c r="D348" s="2" t="inlineStr">
        <is>
          <t>golf</t>
        </is>
      </c>
      <c r="E348" s="2" t="inlineStr">
        <is>
          <t>segment ending 2026-03-11 19:41</t>
        </is>
      </c>
      <c r="F348" s="2" t="n"/>
      <c r="G348" s="2" t="inlineStr">
        <is>
          <t>l/100km</t>
        </is>
      </c>
      <c r="H348" s="18">
        <f>IFERROR(ROUND(INDEX(fillups!$N$2:$N$596,MATCH("golf|2026-03-11 19:41",fillups!$O$2:$O$596,0)),2),"—")</f>
        <v/>
      </c>
      <c r="I348" s="2" t="inlineStr">
        <is>
          <t>spreadsheet</t>
        </is>
      </c>
      <c r="J348" s="2" t="n"/>
      <c r="K348" s="14" t="inlineStr">
        <is>
          <t>example formula (Claude): check it, or replace it with your own</t>
        </is>
      </c>
    </row>
    <row r="349">
      <c r="A349" s="2" t="n">
        <v>348</v>
      </c>
      <c r="B349" s="2" t="inlineStr">
        <is>
          <t>economy.segment</t>
        </is>
      </c>
      <c r="C349" s="2" t="inlineStr">
        <is>
          <t>alex</t>
        </is>
      </c>
      <c r="D349" s="2" t="inlineStr">
        <is>
          <t>golf</t>
        </is>
      </c>
      <c r="E349" s="2" t="inlineStr">
        <is>
          <t>segment ending 2026-03-19 10:11</t>
        </is>
      </c>
      <c r="F349" s="2" t="n"/>
      <c r="G349" s="2" t="inlineStr">
        <is>
          <t>l/100km</t>
        </is>
      </c>
      <c r="H349" s="18">
        <f>IFERROR(ROUND(INDEX(fillups!$N$2:$N$596,MATCH("golf|2026-03-19 10:11",fillups!$O$2:$O$596,0)),2),"—")</f>
        <v/>
      </c>
      <c r="I349" s="2" t="inlineStr">
        <is>
          <t>spreadsheet</t>
        </is>
      </c>
      <c r="J349" s="2" t="n"/>
      <c r="K349" s="14" t="inlineStr">
        <is>
          <t>example formula (Claude): check it, or replace it with your own</t>
        </is>
      </c>
    </row>
    <row r="350">
      <c r="A350" s="2" t="n">
        <v>349</v>
      </c>
      <c r="B350" s="2" t="inlineStr">
        <is>
          <t>economy.segment</t>
        </is>
      </c>
      <c r="C350" s="2" t="inlineStr">
        <is>
          <t>alex</t>
        </is>
      </c>
      <c r="D350" s="2" t="inlineStr">
        <is>
          <t>golf</t>
        </is>
      </c>
      <c r="E350" s="2" t="inlineStr">
        <is>
          <t>segment ending 2026-03-29 11:45</t>
        </is>
      </c>
      <c r="F350" s="2" t="n"/>
      <c r="G350" s="2" t="inlineStr">
        <is>
          <t>l/100km</t>
        </is>
      </c>
      <c r="H350" s="18">
        <f>IFERROR(ROUND(INDEX(fillups!$N$2:$N$596,MATCH("golf|2026-03-29 11:45",fillups!$O$2:$O$596,0)),2),"—")</f>
        <v/>
      </c>
      <c r="I350" s="2" t="inlineStr">
        <is>
          <t>spreadsheet</t>
        </is>
      </c>
      <c r="J350" s="2" t="n"/>
      <c r="K350" s="14" t="inlineStr">
        <is>
          <t>example formula (Claude): check it, or replace it with your own</t>
        </is>
      </c>
    </row>
    <row r="351">
      <c r="A351" s="2" t="n">
        <v>350</v>
      </c>
      <c r="B351" s="2" t="inlineStr">
        <is>
          <t>economy.segment</t>
        </is>
      </c>
      <c r="C351" s="2" t="inlineStr">
        <is>
          <t>alex</t>
        </is>
      </c>
      <c r="D351" s="2" t="inlineStr">
        <is>
          <t>golf</t>
        </is>
      </c>
      <c r="E351" s="2" t="inlineStr">
        <is>
          <t>segment ending 2026-04-07 19:20</t>
        </is>
      </c>
      <c r="F351" s="2" t="n"/>
      <c r="G351" s="2" t="inlineStr">
        <is>
          <t>l/100km</t>
        </is>
      </c>
      <c r="H351" s="18">
        <f>IFERROR(ROUND(INDEX(fillups!$N$2:$N$596,MATCH("golf|2026-04-07 19:20",fillups!$O$2:$O$596,0)),2),"—")</f>
        <v/>
      </c>
      <c r="I351" s="2" t="inlineStr">
        <is>
          <t>spreadsheet</t>
        </is>
      </c>
      <c r="J351" s="2" t="n"/>
      <c r="K351" s="14" t="inlineStr">
        <is>
          <t>example formula (Claude): check it, or replace it with your own</t>
        </is>
      </c>
    </row>
    <row r="352">
      <c r="A352" s="2" t="n">
        <v>351</v>
      </c>
      <c r="B352" s="2" t="inlineStr">
        <is>
          <t>economy.segment</t>
        </is>
      </c>
      <c r="C352" s="2" t="inlineStr">
        <is>
          <t>alex</t>
        </is>
      </c>
      <c r="D352" s="2" t="inlineStr">
        <is>
          <t>golf</t>
        </is>
      </c>
      <c r="E352" s="2" t="inlineStr">
        <is>
          <t>segment ending 2026-04-13 11:19</t>
        </is>
      </c>
      <c r="F352" s="2" t="n"/>
      <c r="G352" s="2" t="inlineStr">
        <is>
          <t>l/100km</t>
        </is>
      </c>
      <c r="H352" s="18">
        <f>IFERROR(ROUND(INDEX(fillups!$N$2:$N$596,MATCH("golf|2026-04-13 11:19",fillups!$O$2:$O$596,0)),2),"—")</f>
        <v/>
      </c>
      <c r="I352" s="2" t="inlineStr">
        <is>
          <t>spreadsheet</t>
        </is>
      </c>
      <c r="J352" s="2" t="n"/>
      <c r="K352" s="14" t="inlineStr">
        <is>
          <t>example formula (Claude): check it, or replace it with your own</t>
        </is>
      </c>
    </row>
    <row r="353">
      <c r="A353" s="2" t="n">
        <v>352</v>
      </c>
      <c r="B353" s="2" t="inlineStr">
        <is>
          <t>economy.segment</t>
        </is>
      </c>
      <c r="C353" s="2" t="inlineStr">
        <is>
          <t>alex</t>
        </is>
      </c>
      <c r="D353" s="2" t="inlineStr">
        <is>
          <t>golf</t>
        </is>
      </c>
      <c r="E353" s="2" t="inlineStr">
        <is>
          <t>segment ending 2026-04-24 12:34</t>
        </is>
      </c>
      <c r="F353" s="2" t="n"/>
      <c r="G353" s="2" t="inlineStr">
        <is>
          <t>l/100km</t>
        </is>
      </c>
      <c r="H353" s="18">
        <f>IFERROR(ROUND(INDEX(fillups!$N$2:$N$596,MATCH("golf|2026-04-24 12:34",fillups!$O$2:$O$596,0)),2),"—")</f>
        <v/>
      </c>
      <c r="I353" s="2" t="inlineStr">
        <is>
          <t>spreadsheet</t>
        </is>
      </c>
      <c r="J353" s="2" t="n"/>
      <c r="K353" s="14" t="inlineStr">
        <is>
          <t>example formula (Claude): check it, or replace it with your own</t>
        </is>
      </c>
    </row>
    <row r="354">
      <c r="A354" s="2" t="n">
        <v>353</v>
      </c>
      <c r="B354" s="2" t="inlineStr">
        <is>
          <t>economy.segment</t>
        </is>
      </c>
      <c r="C354" s="2" t="inlineStr">
        <is>
          <t>alex</t>
        </is>
      </c>
      <c r="D354" s="2" t="inlineStr">
        <is>
          <t>golf</t>
        </is>
      </c>
      <c r="E354" s="2" t="inlineStr">
        <is>
          <t>segment ending 2026-05-04 17:25</t>
        </is>
      </c>
      <c r="F354" s="2" t="n"/>
      <c r="G354" s="2" t="inlineStr">
        <is>
          <t>l/100km</t>
        </is>
      </c>
      <c r="H354" s="18">
        <f>IFERROR(ROUND(INDEX(fillups!$N$2:$N$596,MATCH("golf|2026-05-04 17:25",fillups!$O$2:$O$596,0)),2),"—")</f>
        <v/>
      </c>
      <c r="I354" s="2" t="inlineStr">
        <is>
          <t>spreadsheet</t>
        </is>
      </c>
      <c r="J354" s="2" t="n"/>
      <c r="K354" s="14" t="inlineStr">
        <is>
          <t>example formula (Claude): check it, or replace it with your own</t>
        </is>
      </c>
    </row>
    <row r="355">
      <c r="A355" s="2" t="n">
        <v>354</v>
      </c>
      <c r="B355" s="2" t="inlineStr">
        <is>
          <t>economy.segment</t>
        </is>
      </c>
      <c r="C355" s="2" t="inlineStr">
        <is>
          <t>alex</t>
        </is>
      </c>
      <c r="D355" s="2" t="inlineStr">
        <is>
          <t>golf</t>
        </is>
      </c>
      <c r="E355" s="2" t="inlineStr">
        <is>
          <t>segment ending 2026-05-11 15:35</t>
        </is>
      </c>
      <c r="F355" s="2" t="n"/>
      <c r="G355" s="2" t="inlineStr">
        <is>
          <t>l/100km</t>
        </is>
      </c>
      <c r="H355" s="18">
        <f>IFERROR(ROUND(INDEX(fillups!$N$2:$N$596,MATCH("golf|2026-05-11 15:35",fillups!$O$2:$O$596,0)),2),"—")</f>
        <v/>
      </c>
      <c r="I355" s="2" t="inlineStr">
        <is>
          <t>spreadsheet</t>
        </is>
      </c>
      <c r="J355" s="2" t="n"/>
      <c r="K355" s="14" t="inlineStr">
        <is>
          <t>example formula (Claude): check it, or replace it with your own</t>
        </is>
      </c>
    </row>
    <row r="356">
      <c r="A356" s="2" t="n">
        <v>355</v>
      </c>
      <c r="B356" s="2" t="inlineStr">
        <is>
          <t>economy.segment</t>
        </is>
      </c>
      <c r="C356" s="2" t="inlineStr">
        <is>
          <t>alex</t>
        </is>
      </c>
      <c r="D356" s="2" t="inlineStr">
        <is>
          <t>golf</t>
        </is>
      </c>
      <c r="E356" s="2" t="inlineStr">
        <is>
          <t>segment ending 2026-05-20 08:20</t>
        </is>
      </c>
      <c r="F356" s="2" t="n"/>
      <c r="G356" s="2" t="inlineStr">
        <is>
          <t>l/100km</t>
        </is>
      </c>
      <c r="H356" s="18">
        <f>IFERROR(ROUND(INDEX(fillups!$N$2:$N$596,MATCH("golf|2026-05-20 08:20",fillups!$O$2:$O$596,0)),2),"—")</f>
        <v/>
      </c>
      <c r="I356" s="2" t="inlineStr">
        <is>
          <t>spreadsheet</t>
        </is>
      </c>
      <c r="J356" s="2" t="n"/>
      <c r="K356" s="14" t="inlineStr">
        <is>
          <t>example formula (Claude): check it, or replace it with your own</t>
        </is>
      </c>
    </row>
    <row r="357">
      <c r="A357" s="2" t="n">
        <v>356</v>
      </c>
      <c r="B357" s="2" t="inlineStr">
        <is>
          <t>economy.segment</t>
        </is>
      </c>
      <c r="C357" s="2" t="inlineStr">
        <is>
          <t>alex</t>
        </is>
      </c>
      <c r="D357" s="2" t="inlineStr">
        <is>
          <t>golf</t>
        </is>
      </c>
      <c r="E357" s="2" t="inlineStr">
        <is>
          <t>segment ending 2026-05-29 13:47</t>
        </is>
      </c>
      <c r="F357" s="2" t="n"/>
      <c r="G357" s="2" t="inlineStr">
        <is>
          <t>l/100km</t>
        </is>
      </c>
      <c r="H357" s="18">
        <f>IFERROR(ROUND(INDEX(fillups!$N$2:$N$596,MATCH("golf|2026-05-29 13:47",fillups!$O$2:$O$596,0)),2),"—")</f>
        <v/>
      </c>
      <c r="I357" s="2" t="inlineStr">
        <is>
          <t>spreadsheet</t>
        </is>
      </c>
      <c r="J357" s="2" t="n"/>
      <c r="K357" s="14" t="inlineStr">
        <is>
          <t>example formula (Claude): check it, or replace it with your own</t>
        </is>
      </c>
    </row>
    <row r="358">
      <c r="A358" s="2" t="n">
        <v>357</v>
      </c>
      <c r="B358" s="2" t="inlineStr">
        <is>
          <t>economy.segment</t>
        </is>
      </c>
      <c r="C358" s="2" t="inlineStr">
        <is>
          <t>alex</t>
        </is>
      </c>
      <c r="D358" s="2" t="inlineStr">
        <is>
          <t>golf</t>
        </is>
      </c>
      <c r="E358" s="2" t="inlineStr">
        <is>
          <t>segment ending 2026-06-09 19:39</t>
        </is>
      </c>
      <c r="F358" s="2" t="n"/>
      <c r="G358" s="2" t="inlineStr">
        <is>
          <t>l/100km</t>
        </is>
      </c>
      <c r="H358" s="18">
        <f>IFERROR(ROUND(INDEX(fillups!$N$2:$N$596,MATCH("golf|2026-06-09 19:39",fillups!$O$2:$O$596,0)),2),"—")</f>
        <v/>
      </c>
      <c r="I358" s="2" t="inlineStr">
        <is>
          <t>spreadsheet</t>
        </is>
      </c>
      <c r="J358" s="2" t="n"/>
      <c r="K358" s="14" t="inlineStr">
        <is>
          <t>example formula (Claude): check it, or replace it with your own</t>
        </is>
      </c>
    </row>
    <row r="359">
      <c r="A359" s="2" t="n">
        <v>358</v>
      </c>
      <c r="B359" s="2" t="inlineStr">
        <is>
          <t>economy.segment</t>
        </is>
      </c>
      <c r="C359" s="2" t="inlineStr">
        <is>
          <t>alex</t>
        </is>
      </c>
      <c r="D359" s="2" t="inlineStr">
        <is>
          <t>golf</t>
        </is>
      </c>
      <c r="E359" s="2" t="inlineStr">
        <is>
          <t>segment ending 2026-06-20 18:25</t>
        </is>
      </c>
      <c r="F359" s="2" t="n"/>
      <c r="G359" s="2" t="inlineStr">
        <is>
          <t>l/100km</t>
        </is>
      </c>
      <c r="H359" s="18">
        <f>IFERROR(ROUND(INDEX(fillups!$N$2:$N$596,MATCH("golf|2026-06-20 18:25",fillups!$O$2:$O$596,0)),2),"—")</f>
        <v/>
      </c>
      <c r="I359" s="2" t="inlineStr">
        <is>
          <t>spreadsheet</t>
        </is>
      </c>
      <c r="J359" s="2" t="n"/>
      <c r="K359" s="14" t="inlineStr">
        <is>
          <t>example formula (Claude): check it, or replace it with your own</t>
        </is>
      </c>
    </row>
    <row r="360">
      <c r="A360" s="2" t="n">
        <v>359</v>
      </c>
      <c r="B360" s="2" t="inlineStr">
        <is>
          <t>economy.segment</t>
        </is>
      </c>
      <c r="C360" s="2" t="inlineStr">
        <is>
          <t>alex</t>
        </is>
      </c>
      <c r="D360" s="2" t="inlineStr">
        <is>
          <t>golf</t>
        </is>
      </c>
      <c r="E360" s="2" t="inlineStr">
        <is>
          <t>segment ending 2026-07-06 13:05</t>
        </is>
      </c>
      <c r="F360" s="2" t="n"/>
      <c r="G360" s="2" t="inlineStr">
        <is>
          <t>l/100km</t>
        </is>
      </c>
      <c r="H360" s="18">
        <f>IFERROR(ROUND(INDEX(fillups!$N$2:$N$596,MATCH("golf|2026-07-06 13:05",fillups!$O$2:$O$596,0)),2),"—")</f>
        <v/>
      </c>
      <c r="I360" s="2" t="inlineStr">
        <is>
          <t>spreadsheet</t>
        </is>
      </c>
      <c r="J360" s="2" t="n"/>
      <c r="K360" s="14" t="inlineStr">
        <is>
          <t>example formula (Claude): check it, or replace it with your own</t>
        </is>
      </c>
    </row>
    <row r="361">
      <c r="A361" s="2" t="n">
        <v>360</v>
      </c>
      <c r="B361" s="2" t="inlineStr">
        <is>
          <t>economy.segment</t>
        </is>
      </c>
      <c r="C361" s="2" t="inlineStr">
        <is>
          <t>alex</t>
        </is>
      </c>
      <c r="D361" s="2" t="inlineStr">
        <is>
          <t>golf</t>
        </is>
      </c>
      <c r="E361" s="2" t="inlineStr">
        <is>
          <t>segment ending 2026-07-16 08:34</t>
        </is>
      </c>
      <c r="F361" s="2" t="n"/>
      <c r="G361" s="2" t="inlineStr">
        <is>
          <t>l/100km</t>
        </is>
      </c>
      <c r="H361" s="18">
        <f>IFERROR(ROUND(INDEX(fillups!$N$2:$N$596,MATCH("golf|2026-07-16 08:34",fillups!$O$2:$O$596,0)),2),"—")</f>
        <v/>
      </c>
      <c r="I361" s="2" t="inlineStr">
        <is>
          <t>spreadsheet</t>
        </is>
      </c>
      <c r="J361" s="2" t="n"/>
      <c r="K361" s="14" t="inlineStr">
        <is>
          <t>example formula (Claude): check it, or replace it with your own</t>
        </is>
      </c>
    </row>
    <row r="362">
      <c r="A362" s="2" t="n">
        <v>361</v>
      </c>
      <c r="B362" s="2" t="inlineStr">
        <is>
          <t>economy.segment</t>
        </is>
      </c>
      <c r="C362" s="2" t="inlineStr">
        <is>
          <t>alex</t>
        </is>
      </c>
      <c r="D362" s="2" t="inlineStr">
        <is>
          <t>golf</t>
        </is>
      </c>
      <c r="E362" s="2" t="inlineStr">
        <is>
          <t>segment ending 2026-07-23 14:13</t>
        </is>
      </c>
      <c r="F362" s="2" t="n"/>
      <c r="G362" s="2" t="inlineStr">
        <is>
          <t>l/100km</t>
        </is>
      </c>
      <c r="H362" s="18">
        <f>IFERROR(ROUND(INDEX(fillups!$N$2:$N$596,MATCH("golf|2026-07-23 14:13",fillups!$O$2:$O$596,0)),2),"—")</f>
        <v/>
      </c>
      <c r="I362" s="2" t="inlineStr">
        <is>
          <t>spreadsheet</t>
        </is>
      </c>
      <c r="J362" s="2" t="n"/>
      <c r="K362" s="14" t="inlineStr">
        <is>
          <t>example formula (Claude): check it, or replace it with your own</t>
        </is>
      </c>
    </row>
    <row r="363">
      <c r="A363" s="2" t="n">
        <v>362</v>
      </c>
      <c r="B363" s="2" t="inlineStr">
        <is>
          <t>economy.segment</t>
        </is>
      </c>
      <c r="C363" s="2" t="inlineStr">
        <is>
          <t>alex</t>
        </is>
      </c>
      <c r="D363" s="2" t="inlineStr">
        <is>
          <t>golf</t>
        </is>
      </c>
      <c r="E363" s="2" t="inlineStr">
        <is>
          <t>segment ending 2026-07-31 20:36</t>
        </is>
      </c>
      <c r="F363" s="2" t="n"/>
      <c r="G363" s="2" t="inlineStr">
        <is>
          <t>l/100km</t>
        </is>
      </c>
      <c r="H363" s="18">
        <f>IFERROR(ROUND(INDEX(fillups!$N$2:$N$596,MATCH("golf|2026-07-31 20:36",fillups!$O$2:$O$596,0)),2),"—")</f>
        <v/>
      </c>
      <c r="I363" s="2" t="inlineStr">
        <is>
          <t>spreadsheet</t>
        </is>
      </c>
      <c r="J363" s="2" t="n"/>
      <c r="K363" s="14" t="inlineStr">
        <is>
          <t>example formula (Claude): check it, or replace it with your own</t>
        </is>
      </c>
    </row>
    <row r="364">
      <c r="A364" s="2" t="n">
        <v>363</v>
      </c>
      <c r="B364" s="2" t="inlineStr">
        <is>
          <t>economy.segment</t>
        </is>
      </c>
      <c r="C364" s="2" t="inlineStr">
        <is>
          <t>alex</t>
        </is>
      </c>
      <c r="D364" s="2" t="inlineStr">
        <is>
          <t>golf</t>
        </is>
      </c>
      <c r="E364" s="2" t="inlineStr">
        <is>
          <t>segment ending 2026-08-10 20:06</t>
        </is>
      </c>
      <c r="F364" s="2" t="n"/>
      <c r="G364" s="2" t="inlineStr">
        <is>
          <t>l/100km</t>
        </is>
      </c>
      <c r="H364" s="18">
        <f>IFERROR(ROUND(INDEX(fillups!$N$2:$N$596,MATCH("golf|2026-08-10 20:06",fillups!$O$2:$O$596,0)),2),"—")</f>
        <v/>
      </c>
      <c r="I364" s="2" t="inlineStr">
        <is>
          <t>spreadsheet</t>
        </is>
      </c>
      <c r="J364" s="2" t="n"/>
      <c r="K364" s="14" t="inlineStr">
        <is>
          <t>example formula (Claude): check it, or replace it with your own</t>
        </is>
      </c>
    </row>
    <row r="365">
      <c r="A365" s="2" t="n">
        <v>364</v>
      </c>
      <c r="B365" s="2" t="inlineStr">
        <is>
          <t>economy.segment</t>
        </is>
      </c>
      <c r="C365" s="2" t="inlineStr">
        <is>
          <t>alex</t>
        </is>
      </c>
      <c r="D365" s="2" t="inlineStr">
        <is>
          <t>golf</t>
        </is>
      </c>
      <c r="E365" s="2" t="inlineStr">
        <is>
          <t>segment ending 2026-08-21 14:28</t>
        </is>
      </c>
      <c r="F365" s="2" t="n"/>
      <c r="G365" s="2" t="inlineStr">
        <is>
          <t>l/100km</t>
        </is>
      </c>
      <c r="H365" s="18">
        <f>IFERROR(ROUND(INDEX(fillups!$N$2:$N$596,MATCH("golf|2026-08-21 14:28",fillups!$O$2:$O$596,0)),2),"—")</f>
        <v/>
      </c>
      <c r="I365" s="2" t="inlineStr">
        <is>
          <t>spreadsheet</t>
        </is>
      </c>
      <c r="J365" s="2" t="n"/>
      <c r="K365" s="14" t="inlineStr">
        <is>
          <t>example formula (Claude): check it, or replace it with your own</t>
        </is>
      </c>
    </row>
    <row r="366">
      <c r="A366" s="2" t="n">
        <v>365</v>
      </c>
      <c r="B366" s="2" t="inlineStr">
        <is>
          <t>economy.segment</t>
        </is>
      </c>
      <c r="C366" s="2" t="inlineStr">
        <is>
          <t>alex</t>
        </is>
      </c>
      <c r="D366" s="2" t="inlineStr">
        <is>
          <t>golf</t>
        </is>
      </c>
      <c r="E366" s="2" t="inlineStr">
        <is>
          <t>segment ending 2026-08-30 15:02</t>
        </is>
      </c>
      <c r="F366" s="2" t="n"/>
      <c r="G366" s="2" t="inlineStr">
        <is>
          <t>l/100km</t>
        </is>
      </c>
      <c r="H366" s="18">
        <f>IFERROR(ROUND(INDEX(fillups!$N$2:$N$596,MATCH("golf|2026-08-30 15:02",fillups!$O$2:$O$596,0)),2),"—")</f>
        <v/>
      </c>
      <c r="I366" s="2" t="inlineStr">
        <is>
          <t>spreadsheet</t>
        </is>
      </c>
      <c r="J366" s="2" t="n"/>
      <c r="K366" s="14" t="inlineStr">
        <is>
          <t>example formula (Claude): check it, or replace it with your own</t>
        </is>
      </c>
    </row>
    <row r="367">
      <c r="A367" s="2" t="n">
        <v>366</v>
      </c>
      <c r="B367" s="2" t="inlineStr">
        <is>
          <t>economy.segment</t>
        </is>
      </c>
      <c r="C367" s="2" t="inlineStr">
        <is>
          <t>alex</t>
        </is>
      </c>
      <c r="D367" s="2" t="inlineStr">
        <is>
          <t>golf</t>
        </is>
      </c>
      <c r="E367" s="2" t="inlineStr">
        <is>
          <t>segment ending 2026-09-11 14:35</t>
        </is>
      </c>
      <c r="F367" s="2" t="n"/>
      <c r="G367" s="2" t="inlineStr">
        <is>
          <t>l/100km</t>
        </is>
      </c>
      <c r="H367" s="18">
        <f>IFERROR(ROUND(INDEX(fillups!$N$2:$N$596,MATCH("golf|2026-09-11 14:35",fillups!$O$2:$O$596,0)),2),"—")</f>
        <v/>
      </c>
      <c r="I367" s="2" t="inlineStr">
        <is>
          <t>spreadsheet</t>
        </is>
      </c>
      <c r="J367" s="2" t="n"/>
      <c r="K367" s="14" t="inlineStr">
        <is>
          <t>example formula (Claude): check it, or replace it with your own</t>
        </is>
      </c>
    </row>
    <row r="368">
      <c r="A368" s="2" t="n">
        <v>367</v>
      </c>
      <c r="B368" s="2" t="inlineStr">
        <is>
          <t>economy.lifetime</t>
        </is>
      </c>
      <c r="C368" s="2" t="inlineStr">
        <is>
          <t>alex</t>
        </is>
      </c>
      <c r="D368" s="2" t="inlineStr">
        <is>
          <t>ev</t>
        </is>
      </c>
      <c r="E368" s="2" t="inlineStr">
        <is>
          <t>all_time</t>
        </is>
      </c>
      <c r="F368" s="2" t="n"/>
      <c r="G368" s="2" t="inlineStr">
        <is>
          <t>kWh/100km</t>
        </is>
      </c>
      <c r="H368" s="18">
        <f>ROUND(SUMIFS(fillups!$L$2:$L$596,fillups!$A$2:$A$596,"ev",fillups!$M$2:$M$596,"&gt;0")/SUMIFS(fillups!$M$2:$M$596,fillups!$A$2:$A$596,"ev")*100,2)</f>
        <v/>
      </c>
      <c r="I368" s="2" t="inlineStr">
        <is>
          <t>spreadsheet</t>
        </is>
      </c>
      <c r="J368" s="2" t="n"/>
      <c r="K368" s="14" t="inlineStr">
        <is>
          <t>example formula (Claude): check it, or replace it with your own</t>
        </is>
      </c>
    </row>
    <row r="369">
      <c r="A369" s="2" t="n">
        <v>368</v>
      </c>
      <c r="B369" s="2" t="inlineStr">
        <is>
          <t>economy.segment</t>
        </is>
      </c>
      <c r="C369" s="2" t="inlineStr">
        <is>
          <t>alex</t>
        </is>
      </c>
      <c r="D369" s="2" t="inlineStr">
        <is>
          <t>ev</t>
        </is>
      </c>
      <c r="E369" s="2" t="inlineStr">
        <is>
          <t>segment ending 2024-02-16 23:46</t>
        </is>
      </c>
      <c r="F369" s="2" t="n"/>
      <c r="G369" s="2" t="inlineStr">
        <is>
          <t>kWh/100km</t>
        </is>
      </c>
      <c r="H369" s="18">
        <f>IFERROR(ROUND(INDEX(fillups!$N$2:$N$596,MATCH("ev|2024-02-16 23:46",fillups!$O$2:$O$596,0)),2),"—")</f>
        <v/>
      </c>
      <c r="I369" s="2" t="inlineStr">
        <is>
          <t>spreadsheet</t>
        </is>
      </c>
      <c r="J369" s="2" t="n"/>
      <c r="K369" s="14" t="inlineStr">
        <is>
          <t>example formula (Claude): check it, or replace it with your own</t>
        </is>
      </c>
    </row>
    <row r="370">
      <c r="A370" s="2" t="n">
        <v>369</v>
      </c>
      <c r="B370" s="2" t="inlineStr">
        <is>
          <t>economy.segment</t>
        </is>
      </c>
      <c r="C370" s="2" t="inlineStr">
        <is>
          <t>alex</t>
        </is>
      </c>
      <c r="D370" s="2" t="inlineStr">
        <is>
          <t>ev</t>
        </is>
      </c>
      <c r="E370" s="2" t="inlineStr">
        <is>
          <t>segment ending 2024-02-18 23:47</t>
        </is>
      </c>
      <c r="F370" s="2" t="n"/>
      <c r="G370" s="2" t="inlineStr">
        <is>
          <t>kWh/100km</t>
        </is>
      </c>
      <c r="H370" s="18">
        <f>IFERROR(ROUND(INDEX(fillups!$N$2:$N$596,MATCH("ev|2024-02-18 23:47",fillups!$O$2:$O$596,0)),2),"—")</f>
        <v/>
      </c>
      <c r="I370" s="2" t="inlineStr">
        <is>
          <t>spreadsheet</t>
        </is>
      </c>
      <c r="J370" s="2" t="n"/>
      <c r="K370" s="14" t="inlineStr">
        <is>
          <t>example formula (Claude): check it, or replace it with your own</t>
        </is>
      </c>
    </row>
    <row r="371">
      <c r="A371" s="2" t="n">
        <v>370</v>
      </c>
      <c r="B371" s="2" t="inlineStr">
        <is>
          <t>economy.segment</t>
        </is>
      </c>
      <c r="C371" s="2" t="inlineStr">
        <is>
          <t>alex</t>
        </is>
      </c>
      <c r="D371" s="2" t="inlineStr">
        <is>
          <t>ev</t>
        </is>
      </c>
      <c r="E371" s="2" t="inlineStr">
        <is>
          <t>segment ending 2024-02-21 23:39</t>
        </is>
      </c>
      <c r="F371" s="2" t="n"/>
      <c r="G371" s="2" t="inlineStr">
        <is>
          <t>kWh/100km</t>
        </is>
      </c>
      <c r="H371" s="18">
        <f>IFERROR(ROUND(INDEX(fillups!$N$2:$N$596,MATCH("ev|2024-02-21 23:39",fillups!$O$2:$O$596,0)),2),"—")</f>
        <v/>
      </c>
      <c r="I371" s="2" t="inlineStr">
        <is>
          <t>spreadsheet</t>
        </is>
      </c>
      <c r="J371" s="2" t="n"/>
      <c r="K371" s="14" t="inlineStr">
        <is>
          <t>example formula (Claude): check it, or replace it with your own</t>
        </is>
      </c>
    </row>
    <row r="372">
      <c r="A372" s="2" t="n">
        <v>371</v>
      </c>
      <c r="B372" s="2" t="inlineStr">
        <is>
          <t>economy.segment</t>
        </is>
      </c>
      <c r="C372" s="2" t="inlineStr">
        <is>
          <t>alex</t>
        </is>
      </c>
      <c r="D372" s="2" t="inlineStr">
        <is>
          <t>ev</t>
        </is>
      </c>
      <c r="E372" s="2" t="inlineStr">
        <is>
          <t>segment ending 2024-02-22 23:39</t>
        </is>
      </c>
      <c r="F372" s="2" t="n"/>
      <c r="G372" s="2" t="inlineStr">
        <is>
          <t>kWh/100km</t>
        </is>
      </c>
      <c r="H372" s="18">
        <f>IFERROR(ROUND(INDEX(fillups!$N$2:$N$596,MATCH("ev|2024-02-22 23:39",fillups!$O$2:$O$596,0)),2),"—")</f>
        <v/>
      </c>
      <c r="I372" s="2" t="inlineStr">
        <is>
          <t>spreadsheet</t>
        </is>
      </c>
      <c r="J372" s="2" t="n"/>
      <c r="K372" s="14" t="inlineStr">
        <is>
          <t>example formula (Claude): check it, or replace it with your own</t>
        </is>
      </c>
    </row>
    <row r="373">
      <c r="A373" s="2" t="n">
        <v>372</v>
      </c>
      <c r="B373" s="2" t="inlineStr">
        <is>
          <t>economy.segment</t>
        </is>
      </c>
      <c r="C373" s="2" t="inlineStr">
        <is>
          <t>alex</t>
        </is>
      </c>
      <c r="D373" s="2" t="inlineStr">
        <is>
          <t>ev</t>
        </is>
      </c>
      <c r="E373" s="2" t="inlineStr">
        <is>
          <t>segment ending 2024-02-25 23:40</t>
        </is>
      </c>
      <c r="F373" s="2" t="n"/>
      <c r="G373" s="2" t="inlineStr">
        <is>
          <t>kWh/100km</t>
        </is>
      </c>
      <c r="H373" s="18">
        <f>IFERROR(ROUND(INDEX(fillups!$N$2:$N$596,MATCH("ev|2024-02-25 23:40",fillups!$O$2:$O$596,0)),2),"—")</f>
        <v/>
      </c>
      <c r="I373" s="2" t="inlineStr">
        <is>
          <t>spreadsheet</t>
        </is>
      </c>
      <c r="J373" s="2" t="n"/>
      <c r="K373" s="14" t="inlineStr">
        <is>
          <t>example formula (Claude): check it, or replace it with your own</t>
        </is>
      </c>
    </row>
    <row r="374">
      <c r="A374" s="2" t="n">
        <v>373</v>
      </c>
      <c r="B374" s="2" t="inlineStr">
        <is>
          <t>economy.segment</t>
        </is>
      </c>
      <c r="C374" s="2" t="inlineStr">
        <is>
          <t>alex</t>
        </is>
      </c>
      <c r="D374" s="2" t="inlineStr">
        <is>
          <t>ev</t>
        </is>
      </c>
      <c r="E374" s="2" t="inlineStr">
        <is>
          <t>segment ending 2024-02-28 23:32</t>
        </is>
      </c>
      <c r="F374" s="2" t="n"/>
      <c r="G374" s="2" t="inlineStr">
        <is>
          <t>kWh/100km</t>
        </is>
      </c>
      <c r="H374" s="18">
        <f>IFERROR(ROUND(INDEX(fillups!$N$2:$N$596,MATCH("ev|2024-02-28 23:32",fillups!$O$2:$O$596,0)),2),"—")</f>
        <v/>
      </c>
      <c r="I374" s="2" t="inlineStr">
        <is>
          <t>spreadsheet</t>
        </is>
      </c>
      <c r="J374" s="2" t="n"/>
      <c r="K374" s="14" t="inlineStr">
        <is>
          <t>example formula (Claude): check it, or replace it with your own</t>
        </is>
      </c>
    </row>
    <row r="375">
      <c r="A375" s="2" t="n">
        <v>374</v>
      </c>
      <c r="B375" s="2" t="inlineStr">
        <is>
          <t>economy.segment</t>
        </is>
      </c>
      <c r="C375" s="2" t="inlineStr">
        <is>
          <t>alex</t>
        </is>
      </c>
      <c r="D375" s="2" t="inlineStr">
        <is>
          <t>ev</t>
        </is>
      </c>
      <c r="E375" s="2" t="inlineStr">
        <is>
          <t>segment ending 2024-03-01 23:47</t>
        </is>
      </c>
      <c r="F375" s="2" t="n"/>
      <c r="G375" s="2" t="inlineStr">
        <is>
          <t>kWh/100km</t>
        </is>
      </c>
      <c r="H375" s="18">
        <f>IFERROR(ROUND(INDEX(fillups!$N$2:$N$596,MATCH("ev|2024-03-01 23:47",fillups!$O$2:$O$596,0)),2),"—")</f>
        <v/>
      </c>
      <c r="I375" s="2" t="inlineStr">
        <is>
          <t>spreadsheet</t>
        </is>
      </c>
      <c r="J375" s="2" t="n"/>
      <c r="K375" s="14" t="inlineStr">
        <is>
          <t>example formula (Claude): check it, or replace it with your own</t>
        </is>
      </c>
    </row>
    <row r="376">
      <c r="A376" s="2" t="n">
        <v>375</v>
      </c>
      <c r="B376" s="2" t="inlineStr">
        <is>
          <t>economy.segment</t>
        </is>
      </c>
      <c r="C376" s="2" t="inlineStr">
        <is>
          <t>alex</t>
        </is>
      </c>
      <c r="D376" s="2" t="inlineStr">
        <is>
          <t>ev</t>
        </is>
      </c>
      <c r="E376" s="2" t="inlineStr">
        <is>
          <t>segment ending 2024-03-02 23:39</t>
        </is>
      </c>
      <c r="F376" s="2" t="n"/>
      <c r="G376" s="2" t="inlineStr">
        <is>
          <t>kWh/100km</t>
        </is>
      </c>
      <c r="H376" s="18">
        <f>IFERROR(ROUND(INDEX(fillups!$N$2:$N$596,MATCH("ev|2024-03-02 23:39",fillups!$O$2:$O$596,0)),2),"—")</f>
        <v/>
      </c>
      <c r="I376" s="2" t="inlineStr">
        <is>
          <t>spreadsheet</t>
        </is>
      </c>
      <c r="J376" s="2" t="n"/>
      <c r="K376" s="14" t="inlineStr">
        <is>
          <t>example formula (Claude): check it, or replace it with your own</t>
        </is>
      </c>
    </row>
    <row r="377">
      <c r="A377" s="2" t="n">
        <v>376</v>
      </c>
      <c r="B377" s="2" t="inlineStr">
        <is>
          <t>economy.segment</t>
        </is>
      </c>
      <c r="C377" s="2" t="inlineStr">
        <is>
          <t>alex</t>
        </is>
      </c>
      <c r="D377" s="2" t="inlineStr">
        <is>
          <t>ev</t>
        </is>
      </c>
      <c r="E377" s="2" t="inlineStr">
        <is>
          <t>segment ending 2024-03-08 23:56</t>
        </is>
      </c>
      <c r="F377" s="2" t="n"/>
      <c r="G377" s="2" t="inlineStr">
        <is>
          <t>kWh/100km</t>
        </is>
      </c>
      <c r="H377" s="18">
        <f>IFERROR(ROUND(INDEX(fillups!$N$2:$N$596,MATCH("ev|2024-03-08 23:56",fillups!$O$2:$O$596,0)),2),"—")</f>
        <v/>
      </c>
      <c r="I377" s="2" t="inlineStr">
        <is>
          <t>spreadsheet</t>
        </is>
      </c>
      <c r="J377" s="2" t="n"/>
      <c r="K377" s="14" t="inlineStr">
        <is>
          <t>example formula (Claude): check it, or replace it with your own</t>
        </is>
      </c>
    </row>
    <row r="378">
      <c r="A378" s="2" t="n">
        <v>377</v>
      </c>
      <c r="B378" s="2" t="inlineStr">
        <is>
          <t>economy.segment</t>
        </is>
      </c>
      <c r="C378" s="2" t="inlineStr">
        <is>
          <t>alex</t>
        </is>
      </c>
      <c r="D378" s="2" t="inlineStr">
        <is>
          <t>ev</t>
        </is>
      </c>
      <c r="E378" s="2" t="inlineStr">
        <is>
          <t>segment ending 2024-03-12 23:54</t>
        </is>
      </c>
      <c r="F378" s="2" t="n"/>
      <c r="G378" s="2" t="inlineStr">
        <is>
          <t>kWh/100km</t>
        </is>
      </c>
      <c r="H378" s="18">
        <f>IFERROR(ROUND(INDEX(fillups!$N$2:$N$596,MATCH("ev|2024-03-12 23:54",fillups!$O$2:$O$596,0)),2),"—")</f>
        <v/>
      </c>
      <c r="I378" s="2" t="inlineStr">
        <is>
          <t>spreadsheet</t>
        </is>
      </c>
      <c r="J378" s="2" t="n"/>
      <c r="K378" s="14" t="inlineStr">
        <is>
          <t>example formula (Claude): check it, or replace it with your own</t>
        </is>
      </c>
    </row>
    <row r="379">
      <c r="A379" s="2" t="n">
        <v>378</v>
      </c>
      <c r="B379" s="2" t="inlineStr">
        <is>
          <t>economy.segment</t>
        </is>
      </c>
      <c r="C379" s="2" t="inlineStr">
        <is>
          <t>alex</t>
        </is>
      </c>
      <c r="D379" s="2" t="inlineStr">
        <is>
          <t>ev</t>
        </is>
      </c>
      <c r="E379" s="2" t="inlineStr">
        <is>
          <t>segment ending 2024-03-18 23:34</t>
        </is>
      </c>
      <c r="F379" s="2" t="n"/>
      <c r="G379" s="2" t="inlineStr">
        <is>
          <t>kWh/100km</t>
        </is>
      </c>
      <c r="H379" s="18">
        <f>IFERROR(ROUND(INDEX(fillups!$N$2:$N$596,MATCH("ev|2024-03-18 23:34",fillups!$O$2:$O$596,0)),2),"—")</f>
        <v/>
      </c>
      <c r="I379" s="2" t="inlineStr">
        <is>
          <t>spreadsheet</t>
        </is>
      </c>
      <c r="J379" s="2" t="n"/>
      <c r="K379" s="14" t="inlineStr">
        <is>
          <t>example formula (Claude): check it, or replace it with your own</t>
        </is>
      </c>
    </row>
    <row r="380">
      <c r="A380" s="2" t="n">
        <v>379</v>
      </c>
      <c r="B380" s="2" t="inlineStr">
        <is>
          <t>economy.segment</t>
        </is>
      </c>
      <c r="C380" s="2" t="inlineStr">
        <is>
          <t>alex</t>
        </is>
      </c>
      <c r="D380" s="2" t="inlineStr">
        <is>
          <t>ev</t>
        </is>
      </c>
      <c r="E380" s="2" t="inlineStr">
        <is>
          <t>segment ending 2024-03-20 23:54</t>
        </is>
      </c>
      <c r="F380" s="2" t="n"/>
      <c r="G380" s="2" t="inlineStr">
        <is>
          <t>kWh/100km</t>
        </is>
      </c>
      <c r="H380" s="18">
        <f>IFERROR(ROUND(INDEX(fillups!$N$2:$N$596,MATCH("ev|2024-03-20 23:54",fillups!$O$2:$O$596,0)),2),"—")</f>
        <v/>
      </c>
      <c r="I380" s="2" t="inlineStr">
        <is>
          <t>spreadsheet</t>
        </is>
      </c>
      <c r="J380" s="2" t="n"/>
      <c r="K380" s="14" t="inlineStr">
        <is>
          <t>example formula (Claude): check it, or replace it with your own</t>
        </is>
      </c>
    </row>
    <row r="381">
      <c r="A381" s="2" t="n">
        <v>380</v>
      </c>
      <c r="B381" s="2" t="inlineStr">
        <is>
          <t>economy.segment</t>
        </is>
      </c>
      <c r="C381" s="2" t="inlineStr">
        <is>
          <t>alex</t>
        </is>
      </c>
      <c r="D381" s="2" t="inlineStr">
        <is>
          <t>ev</t>
        </is>
      </c>
      <c r="E381" s="2" t="inlineStr">
        <is>
          <t>segment ending 2024-03-23 23:32</t>
        </is>
      </c>
      <c r="F381" s="2" t="n"/>
      <c r="G381" s="2" t="inlineStr">
        <is>
          <t>kWh/100km</t>
        </is>
      </c>
      <c r="H381" s="18">
        <f>IFERROR(ROUND(INDEX(fillups!$N$2:$N$596,MATCH("ev|2024-03-23 23:32",fillups!$O$2:$O$596,0)),2),"—")</f>
        <v/>
      </c>
      <c r="I381" s="2" t="inlineStr">
        <is>
          <t>spreadsheet</t>
        </is>
      </c>
      <c r="J381" s="2" t="n"/>
      <c r="K381" s="14" t="inlineStr">
        <is>
          <t>example formula (Claude): check it, or replace it with your own</t>
        </is>
      </c>
    </row>
    <row r="382">
      <c r="A382" s="2" t="n">
        <v>381</v>
      </c>
      <c r="B382" s="2" t="inlineStr">
        <is>
          <t>economy.segment</t>
        </is>
      </c>
      <c r="C382" s="2" t="inlineStr">
        <is>
          <t>alex</t>
        </is>
      </c>
      <c r="D382" s="2" t="inlineStr">
        <is>
          <t>ev</t>
        </is>
      </c>
      <c r="E382" s="2" t="inlineStr">
        <is>
          <t>segment ending 2024-03-24 23:46</t>
        </is>
      </c>
      <c r="F382" s="2" t="n"/>
      <c r="G382" s="2" t="inlineStr">
        <is>
          <t>kWh/100km</t>
        </is>
      </c>
      <c r="H382" s="18">
        <f>IFERROR(ROUND(INDEX(fillups!$N$2:$N$596,MATCH("ev|2024-03-24 23:46",fillups!$O$2:$O$596,0)),2),"—")</f>
        <v/>
      </c>
      <c r="I382" s="2" t="inlineStr">
        <is>
          <t>spreadsheet</t>
        </is>
      </c>
      <c r="J382" s="2" t="n"/>
      <c r="K382" s="14" t="inlineStr">
        <is>
          <t>example formula (Claude): check it, or replace it with your own</t>
        </is>
      </c>
    </row>
    <row r="383">
      <c r="A383" s="2" t="n">
        <v>382</v>
      </c>
      <c r="B383" s="2" t="inlineStr">
        <is>
          <t>economy.segment</t>
        </is>
      </c>
      <c r="C383" s="2" t="inlineStr">
        <is>
          <t>alex</t>
        </is>
      </c>
      <c r="D383" s="2" t="inlineStr">
        <is>
          <t>ev</t>
        </is>
      </c>
      <c r="E383" s="2" t="inlineStr">
        <is>
          <t>segment ending 2024-03-27 23:58</t>
        </is>
      </c>
      <c r="F383" s="2" t="n"/>
      <c r="G383" s="2" t="inlineStr">
        <is>
          <t>kWh/100km</t>
        </is>
      </c>
      <c r="H383" s="18">
        <f>IFERROR(ROUND(INDEX(fillups!$N$2:$N$596,MATCH("ev|2024-03-27 23:58",fillups!$O$2:$O$596,0)),2),"—")</f>
        <v/>
      </c>
      <c r="I383" s="2" t="inlineStr">
        <is>
          <t>spreadsheet</t>
        </is>
      </c>
      <c r="J383" s="2" t="n"/>
      <c r="K383" s="14" t="inlineStr">
        <is>
          <t>example formula (Claude): check it, or replace it with your own</t>
        </is>
      </c>
    </row>
    <row r="384">
      <c r="A384" s="2" t="n">
        <v>383</v>
      </c>
      <c r="B384" s="2" t="inlineStr">
        <is>
          <t>economy.segment</t>
        </is>
      </c>
      <c r="C384" s="2" t="inlineStr">
        <is>
          <t>alex</t>
        </is>
      </c>
      <c r="D384" s="2" t="inlineStr">
        <is>
          <t>ev</t>
        </is>
      </c>
      <c r="E384" s="2" t="inlineStr">
        <is>
          <t>segment ending 2024-03-30 23:30</t>
        </is>
      </c>
      <c r="F384" s="2" t="n"/>
      <c r="G384" s="2" t="inlineStr">
        <is>
          <t>kWh/100km</t>
        </is>
      </c>
      <c r="H384" s="18">
        <f>IFERROR(ROUND(INDEX(fillups!$N$2:$N$596,MATCH("ev|2024-03-30 23:30",fillups!$O$2:$O$596,0)),2),"—")</f>
        <v/>
      </c>
      <c r="I384" s="2" t="inlineStr">
        <is>
          <t>spreadsheet</t>
        </is>
      </c>
      <c r="J384" s="2" t="n"/>
      <c r="K384" s="14" t="inlineStr">
        <is>
          <t>example formula (Claude): check it, or replace it with your own</t>
        </is>
      </c>
    </row>
    <row r="385">
      <c r="A385" s="2" t="n">
        <v>384</v>
      </c>
      <c r="B385" s="2" t="inlineStr">
        <is>
          <t>economy.segment</t>
        </is>
      </c>
      <c r="C385" s="2" t="inlineStr">
        <is>
          <t>alex</t>
        </is>
      </c>
      <c r="D385" s="2" t="inlineStr">
        <is>
          <t>ev</t>
        </is>
      </c>
      <c r="E385" s="2" t="inlineStr">
        <is>
          <t>segment ending 2024-04-02 23:54</t>
        </is>
      </c>
      <c r="F385" s="2" t="n"/>
      <c r="G385" s="2" t="inlineStr">
        <is>
          <t>kWh/100km</t>
        </is>
      </c>
      <c r="H385" s="18">
        <f>IFERROR(ROUND(INDEX(fillups!$N$2:$N$596,MATCH("ev|2024-04-02 23:54",fillups!$O$2:$O$596,0)),2),"—")</f>
        <v/>
      </c>
      <c r="I385" s="2" t="inlineStr">
        <is>
          <t>spreadsheet</t>
        </is>
      </c>
      <c r="J385" s="2" t="n"/>
      <c r="K385" s="14" t="inlineStr">
        <is>
          <t>example formula (Claude): check it, or replace it with your own</t>
        </is>
      </c>
    </row>
    <row r="386">
      <c r="A386" s="2" t="n">
        <v>385</v>
      </c>
      <c r="B386" s="2" t="inlineStr">
        <is>
          <t>economy.segment</t>
        </is>
      </c>
      <c r="C386" s="2" t="inlineStr">
        <is>
          <t>alex</t>
        </is>
      </c>
      <c r="D386" s="2" t="inlineStr">
        <is>
          <t>ev</t>
        </is>
      </c>
      <c r="E386" s="2" t="inlineStr">
        <is>
          <t>segment ending 2024-04-07 23:30</t>
        </is>
      </c>
      <c r="F386" s="2" t="n"/>
      <c r="G386" s="2" t="inlineStr">
        <is>
          <t>kWh/100km</t>
        </is>
      </c>
      <c r="H386" s="18">
        <f>IFERROR(ROUND(INDEX(fillups!$N$2:$N$596,MATCH("ev|2024-04-07 23:30",fillups!$O$2:$O$596,0)),2),"—")</f>
        <v/>
      </c>
      <c r="I386" s="2" t="inlineStr">
        <is>
          <t>spreadsheet</t>
        </is>
      </c>
      <c r="J386" s="2" t="n"/>
      <c r="K386" s="14" t="inlineStr">
        <is>
          <t>example formula (Claude): check it, or replace it with your own</t>
        </is>
      </c>
    </row>
    <row r="387">
      <c r="A387" s="2" t="n">
        <v>386</v>
      </c>
      <c r="B387" s="2" t="inlineStr">
        <is>
          <t>economy.segment</t>
        </is>
      </c>
      <c r="C387" s="2" t="inlineStr">
        <is>
          <t>alex</t>
        </is>
      </c>
      <c r="D387" s="2" t="inlineStr">
        <is>
          <t>ev</t>
        </is>
      </c>
      <c r="E387" s="2" t="inlineStr">
        <is>
          <t>segment ending 2024-04-11 23:36</t>
        </is>
      </c>
      <c r="F387" s="2" t="n"/>
      <c r="G387" s="2" t="inlineStr">
        <is>
          <t>kWh/100km</t>
        </is>
      </c>
      <c r="H387" s="18">
        <f>IFERROR(ROUND(INDEX(fillups!$N$2:$N$596,MATCH("ev|2024-04-11 23:36",fillups!$O$2:$O$596,0)),2),"—")</f>
        <v/>
      </c>
      <c r="I387" s="2" t="inlineStr">
        <is>
          <t>spreadsheet</t>
        </is>
      </c>
      <c r="J387" s="2" t="n"/>
      <c r="K387" s="14" t="inlineStr">
        <is>
          <t>example formula (Claude): check it, or replace it with your own</t>
        </is>
      </c>
    </row>
    <row r="388">
      <c r="A388" s="2" t="n">
        <v>387</v>
      </c>
      <c r="B388" s="2" t="inlineStr">
        <is>
          <t>economy.segment</t>
        </is>
      </c>
      <c r="C388" s="2" t="inlineStr">
        <is>
          <t>alex</t>
        </is>
      </c>
      <c r="D388" s="2" t="inlineStr">
        <is>
          <t>ev</t>
        </is>
      </c>
      <c r="E388" s="2" t="inlineStr">
        <is>
          <t>segment ending 2024-04-15 23:47</t>
        </is>
      </c>
      <c r="F388" s="2" t="n"/>
      <c r="G388" s="2" t="inlineStr">
        <is>
          <t>kWh/100km</t>
        </is>
      </c>
      <c r="H388" s="18">
        <f>IFERROR(ROUND(INDEX(fillups!$N$2:$N$596,MATCH("ev|2024-04-15 23:47",fillups!$O$2:$O$596,0)),2),"—")</f>
        <v/>
      </c>
      <c r="I388" s="2" t="inlineStr">
        <is>
          <t>spreadsheet</t>
        </is>
      </c>
      <c r="J388" s="2" t="n"/>
      <c r="K388" s="14" t="inlineStr">
        <is>
          <t>example formula (Claude): check it, or replace it with your own</t>
        </is>
      </c>
    </row>
    <row r="389">
      <c r="A389" s="2" t="n">
        <v>388</v>
      </c>
      <c r="B389" s="2" t="inlineStr">
        <is>
          <t>economy.segment</t>
        </is>
      </c>
      <c r="C389" s="2" t="inlineStr">
        <is>
          <t>alex</t>
        </is>
      </c>
      <c r="D389" s="2" t="inlineStr">
        <is>
          <t>ev</t>
        </is>
      </c>
      <c r="E389" s="2" t="inlineStr">
        <is>
          <t>segment ending 2024-04-19 23:37</t>
        </is>
      </c>
      <c r="F389" s="2" t="n"/>
      <c r="G389" s="2" t="inlineStr">
        <is>
          <t>kWh/100km</t>
        </is>
      </c>
      <c r="H389" s="18">
        <f>IFERROR(ROUND(INDEX(fillups!$N$2:$N$596,MATCH("ev|2024-04-19 23:37",fillups!$O$2:$O$596,0)),2),"—")</f>
        <v/>
      </c>
      <c r="I389" s="2" t="inlineStr">
        <is>
          <t>spreadsheet</t>
        </is>
      </c>
      <c r="J389" s="2" t="n"/>
      <c r="K389" s="14" t="inlineStr">
        <is>
          <t>example formula (Claude): check it, or replace it with your own</t>
        </is>
      </c>
    </row>
    <row r="390">
      <c r="A390" s="2" t="n">
        <v>389</v>
      </c>
      <c r="B390" s="2" t="inlineStr">
        <is>
          <t>economy.segment</t>
        </is>
      </c>
      <c r="C390" s="2" t="inlineStr">
        <is>
          <t>alex</t>
        </is>
      </c>
      <c r="D390" s="2" t="inlineStr">
        <is>
          <t>ev</t>
        </is>
      </c>
      <c r="E390" s="2" t="inlineStr">
        <is>
          <t>segment ending 2024-04-22 23:52</t>
        </is>
      </c>
      <c r="F390" s="2" t="n"/>
      <c r="G390" s="2" t="inlineStr">
        <is>
          <t>kWh/100km</t>
        </is>
      </c>
      <c r="H390" s="18">
        <f>IFERROR(ROUND(INDEX(fillups!$N$2:$N$596,MATCH("ev|2024-04-22 23:52",fillups!$O$2:$O$596,0)),2),"—")</f>
        <v/>
      </c>
      <c r="I390" s="2" t="inlineStr">
        <is>
          <t>spreadsheet</t>
        </is>
      </c>
      <c r="J390" s="2" t="n"/>
      <c r="K390" s="14" t="inlineStr">
        <is>
          <t>example formula (Claude): check it, or replace it with your own</t>
        </is>
      </c>
    </row>
    <row r="391">
      <c r="A391" s="2" t="n">
        <v>390</v>
      </c>
      <c r="B391" s="2" t="inlineStr">
        <is>
          <t>economy.segment</t>
        </is>
      </c>
      <c r="C391" s="2" t="inlineStr">
        <is>
          <t>alex</t>
        </is>
      </c>
      <c r="D391" s="2" t="inlineStr">
        <is>
          <t>ev</t>
        </is>
      </c>
      <c r="E391" s="2" t="inlineStr">
        <is>
          <t>segment ending 2024-04-26 23:54</t>
        </is>
      </c>
      <c r="F391" s="2" t="n"/>
      <c r="G391" s="2" t="inlineStr">
        <is>
          <t>kWh/100km</t>
        </is>
      </c>
      <c r="H391" s="18">
        <f>IFERROR(ROUND(INDEX(fillups!$N$2:$N$596,MATCH("ev|2024-04-26 23:54",fillups!$O$2:$O$596,0)),2),"—")</f>
        <v/>
      </c>
      <c r="I391" s="2" t="inlineStr">
        <is>
          <t>spreadsheet</t>
        </is>
      </c>
      <c r="J391" s="2" t="n"/>
      <c r="K391" s="14" t="inlineStr">
        <is>
          <t>example formula (Claude): check it, or replace it with your own</t>
        </is>
      </c>
    </row>
    <row r="392">
      <c r="A392" s="2" t="n">
        <v>391</v>
      </c>
      <c r="B392" s="2" t="inlineStr">
        <is>
          <t>economy.segment</t>
        </is>
      </c>
      <c r="C392" s="2" t="inlineStr">
        <is>
          <t>alex</t>
        </is>
      </c>
      <c r="D392" s="2" t="inlineStr">
        <is>
          <t>ev</t>
        </is>
      </c>
      <c r="E392" s="2" t="inlineStr">
        <is>
          <t>segment ending 2024-04-30 23:31</t>
        </is>
      </c>
      <c r="F392" s="2" t="n"/>
      <c r="G392" s="2" t="inlineStr">
        <is>
          <t>kWh/100km</t>
        </is>
      </c>
      <c r="H392" s="18">
        <f>IFERROR(ROUND(INDEX(fillups!$N$2:$N$596,MATCH("ev|2024-04-30 23:31",fillups!$O$2:$O$596,0)),2),"—")</f>
        <v/>
      </c>
      <c r="I392" s="2" t="inlineStr">
        <is>
          <t>spreadsheet</t>
        </is>
      </c>
      <c r="J392" s="2" t="n"/>
      <c r="K392" s="14" t="inlineStr">
        <is>
          <t>example formula (Claude): check it, or replace it with your own</t>
        </is>
      </c>
    </row>
    <row r="393">
      <c r="A393" s="2" t="n">
        <v>392</v>
      </c>
      <c r="B393" s="2" t="inlineStr">
        <is>
          <t>economy.segment</t>
        </is>
      </c>
      <c r="C393" s="2" t="inlineStr">
        <is>
          <t>alex</t>
        </is>
      </c>
      <c r="D393" s="2" t="inlineStr">
        <is>
          <t>ev</t>
        </is>
      </c>
      <c r="E393" s="2" t="inlineStr">
        <is>
          <t>segment ending 2024-05-02 23:38</t>
        </is>
      </c>
      <c r="F393" s="2" t="n"/>
      <c r="G393" s="2" t="inlineStr">
        <is>
          <t>kWh/100km</t>
        </is>
      </c>
      <c r="H393" s="18">
        <f>IFERROR(ROUND(INDEX(fillups!$N$2:$N$596,MATCH("ev|2024-05-02 23:38",fillups!$O$2:$O$596,0)),2),"—")</f>
        <v/>
      </c>
      <c r="I393" s="2" t="inlineStr">
        <is>
          <t>spreadsheet</t>
        </is>
      </c>
      <c r="J393" s="2" t="n"/>
      <c r="K393" s="14" t="inlineStr">
        <is>
          <t>example formula (Claude): check it, or replace it with your own</t>
        </is>
      </c>
    </row>
    <row r="394">
      <c r="A394" s="2" t="n">
        <v>393</v>
      </c>
      <c r="B394" s="2" t="inlineStr">
        <is>
          <t>economy.segment</t>
        </is>
      </c>
      <c r="C394" s="2" t="inlineStr">
        <is>
          <t>alex</t>
        </is>
      </c>
      <c r="D394" s="2" t="inlineStr">
        <is>
          <t>ev</t>
        </is>
      </c>
      <c r="E394" s="2" t="inlineStr">
        <is>
          <t>segment ending 2024-05-07 23:56</t>
        </is>
      </c>
      <c r="F394" s="2" t="n"/>
      <c r="G394" s="2" t="inlineStr">
        <is>
          <t>kWh/100km</t>
        </is>
      </c>
      <c r="H394" s="18">
        <f>IFERROR(ROUND(INDEX(fillups!$N$2:$N$596,MATCH("ev|2024-05-07 23:56",fillups!$O$2:$O$596,0)),2),"—")</f>
        <v/>
      </c>
      <c r="I394" s="2" t="inlineStr">
        <is>
          <t>spreadsheet</t>
        </is>
      </c>
      <c r="J394" s="2" t="n"/>
      <c r="K394" s="14" t="inlineStr">
        <is>
          <t>example formula (Claude): check it, or replace it with your own</t>
        </is>
      </c>
    </row>
    <row r="395">
      <c r="A395" s="2" t="n">
        <v>394</v>
      </c>
      <c r="B395" s="2" t="inlineStr">
        <is>
          <t>economy.segment</t>
        </is>
      </c>
      <c r="C395" s="2" t="inlineStr">
        <is>
          <t>alex</t>
        </is>
      </c>
      <c r="D395" s="2" t="inlineStr">
        <is>
          <t>ev</t>
        </is>
      </c>
      <c r="E395" s="2" t="inlineStr">
        <is>
          <t>segment ending 2024-05-10 23:35</t>
        </is>
      </c>
      <c r="F395" s="2" t="n"/>
      <c r="G395" s="2" t="inlineStr">
        <is>
          <t>kWh/100km</t>
        </is>
      </c>
      <c r="H395" s="18">
        <f>IFERROR(ROUND(INDEX(fillups!$N$2:$N$596,MATCH("ev|2024-05-10 23:35",fillups!$O$2:$O$596,0)),2),"—")</f>
        <v/>
      </c>
      <c r="I395" s="2" t="inlineStr">
        <is>
          <t>spreadsheet</t>
        </is>
      </c>
      <c r="J395" s="2" t="n"/>
      <c r="K395" s="14" t="inlineStr">
        <is>
          <t>example formula (Claude): check it, or replace it with your own</t>
        </is>
      </c>
    </row>
    <row r="396">
      <c r="A396" s="2" t="n">
        <v>395</v>
      </c>
      <c r="B396" s="2" t="inlineStr">
        <is>
          <t>economy.segment</t>
        </is>
      </c>
      <c r="C396" s="2" t="inlineStr">
        <is>
          <t>alex</t>
        </is>
      </c>
      <c r="D396" s="2" t="inlineStr">
        <is>
          <t>ev</t>
        </is>
      </c>
      <c r="E396" s="2" t="inlineStr">
        <is>
          <t>segment ending 2024-05-18 23:46</t>
        </is>
      </c>
      <c r="F396" s="2" t="n"/>
      <c r="G396" s="2" t="inlineStr">
        <is>
          <t>kWh/100km</t>
        </is>
      </c>
      <c r="H396" s="18">
        <f>IFERROR(ROUND(INDEX(fillups!$N$2:$N$596,MATCH("ev|2024-05-18 23:46",fillups!$O$2:$O$596,0)),2),"—")</f>
        <v/>
      </c>
      <c r="I396" s="2" t="inlineStr">
        <is>
          <t>spreadsheet</t>
        </is>
      </c>
      <c r="J396" s="2" t="n"/>
      <c r="K396" s="14" t="inlineStr">
        <is>
          <t>example formula (Claude): check it, or replace it with your own</t>
        </is>
      </c>
    </row>
    <row r="397">
      <c r="A397" s="2" t="n">
        <v>396</v>
      </c>
      <c r="B397" s="2" t="inlineStr">
        <is>
          <t>economy.segment</t>
        </is>
      </c>
      <c r="C397" s="2" t="inlineStr">
        <is>
          <t>alex</t>
        </is>
      </c>
      <c r="D397" s="2" t="inlineStr">
        <is>
          <t>ev</t>
        </is>
      </c>
      <c r="E397" s="2" t="inlineStr">
        <is>
          <t>segment ending 2024-05-24 23:31</t>
        </is>
      </c>
      <c r="F397" s="2" t="n"/>
      <c r="G397" s="2" t="inlineStr">
        <is>
          <t>kWh/100km</t>
        </is>
      </c>
      <c r="H397" s="18">
        <f>IFERROR(ROUND(INDEX(fillups!$N$2:$N$596,MATCH("ev|2024-05-24 23:31",fillups!$O$2:$O$596,0)),2),"—")</f>
        <v/>
      </c>
      <c r="I397" s="2" t="inlineStr">
        <is>
          <t>spreadsheet</t>
        </is>
      </c>
      <c r="J397" s="2" t="n"/>
      <c r="K397" s="14" t="inlineStr">
        <is>
          <t>example formula (Claude): check it, or replace it with your own</t>
        </is>
      </c>
    </row>
    <row r="398">
      <c r="A398" s="2" t="n">
        <v>397</v>
      </c>
      <c r="B398" s="2" t="inlineStr">
        <is>
          <t>economy.segment</t>
        </is>
      </c>
      <c r="C398" s="2" t="inlineStr">
        <is>
          <t>alex</t>
        </is>
      </c>
      <c r="D398" s="2" t="inlineStr">
        <is>
          <t>ev</t>
        </is>
      </c>
      <c r="E398" s="2" t="inlineStr">
        <is>
          <t>segment ending 2024-05-25 23:42</t>
        </is>
      </c>
      <c r="F398" s="2" t="n"/>
      <c r="G398" s="2" t="inlineStr">
        <is>
          <t>kWh/100km</t>
        </is>
      </c>
      <c r="H398" s="18">
        <f>IFERROR(ROUND(INDEX(fillups!$N$2:$N$596,MATCH("ev|2024-05-25 23:42",fillups!$O$2:$O$596,0)),2),"—")</f>
        <v/>
      </c>
      <c r="I398" s="2" t="inlineStr">
        <is>
          <t>spreadsheet</t>
        </is>
      </c>
      <c r="J398" s="2" t="n"/>
      <c r="K398" s="14" t="inlineStr">
        <is>
          <t>example formula (Claude): check it, or replace it with your own</t>
        </is>
      </c>
    </row>
    <row r="399">
      <c r="A399" s="2" t="n">
        <v>398</v>
      </c>
      <c r="B399" s="2" t="inlineStr">
        <is>
          <t>economy.segment</t>
        </is>
      </c>
      <c r="C399" s="2" t="inlineStr">
        <is>
          <t>alex</t>
        </is>
      </c>
      <c r="D399" s="2" t="inlineStr">
        <is>
          <t>ev</t>
        </is>
      </c>
      <c r="E399" s="2" t="inlineStr">
        <is>
          <t>segment ending 2024-05-28 23:39</t>
        </is>
      </c>
      <c r="F399" s="2" t="n"/>
      <c r="G399" s="2" t="inlineStr">
        <is>
          <t>kWh/100km</t>
        </is>
      </c>
      <c r="H399" s="18">
        <f>IFERROR(ROUND(INDEX(fillups!$N$2:$N$596,MATCH("ev|2024-05-28 23:39",fillups!$O$2:$O$596,0)),2),"—")</f>
        <v/>
      </c>
      <c r="I399" s="2" t="inlineStr">
        <is>
          <t>spreadsheet</t>
        </is>
      </c>
      <c r="J399" s="2" t="n"/>
      <c r="K399" s="14" t="inlineStr">
        <is>
          <t>example formula (Claude): check it, or replace it with your own</t>
        </is>
      </c>
    </row>
    <row r="400">
      <c r="A400" s="2" t="n">
        <v>399</v>
      </c>
      <c r="B400" s="2" t="inlineStr">
        <is>
          <t>economy.segment</t>
        </is>
      </c>
      <c r="C400" s="2" t="inlineStr">
        <is>
          <t>alex</t>
        </is>
      </c>
      <c r="D400" s="2" t="inlineStr">
        <is>
          <t>ev</t>
        </is>
      </c>
      <c r="E400" s="2" t="inlineStr">
        <is>
          <t>segment ending 2024-05-31 23:48</t>
        </is>
      </c>
      <c r="F400" s="2" t="n"/>
      <c r="G400" s="2" t="inlineStr">
        <is>
          <t>kWh/100km</t>
        </is>
      </c>
      <c r="H400" s="18">
        <f>IFERROR(ROUND(INDEX(fillups!$N$2:$N$596,MATCH("ev|2024-05-31 23:48",fillups!$O$2:$O$596,0)),2),"—")</f>
        <v/>
      </c>
      <c r="I400" s="2" t="inlineStr">
        <is>
          <t>spreadsheet</t>
        </is>
      </c>
      <c r="J400" s="2" t="n"/>
      <c r="K400" s="14" t="inlineStr">
        <is>
          <t>example formula (Claude): check it, or replace it with your own</t>
        </is>
      </c>
    </row>
    <row r="401">
      <c r="A401" s="2" t="n">
        <v>400</v>
      </c>
      <c r="B401" s="2" t="inlineStr">
        <is>
          <t>economy.segment</t>
        </is>
      </c>
      <c r="C401" s="2" t="inlineStr">
        <is>
          <t>alex</t>
        </is>
      </c>
      <c r="D401" s="2" t="inlineStr">
        <is>
          <t>ev</t>
        </is>
      </c>
      <c r="E401" s="2" t="inlineStr">
        <is>
          <t>segment ending 2024-06-02 23:48</t>
        </is>
      </c>
      <c r="F401" s="2" t="n"/>
      <c r="G401" s="2" t="inlineStr">
        <is>
          <t>kWh/100km</t>
        </is>
      </c>
      <c r="H401" s="18">
        <f>IFERROR(ROUND(INDEX(fillups!$N$2:$N$596,MATCH("ev|2024-06-02 23:48",fillups!$O$2:$O$596,0)),2),"—")</f>
        <v/>
      </c>
      <c r="I401" s="2" t="inlineStr">
        <is>
          <t>spreadsheet</t>
        </is>
      </c>
      <c r="J401" s="2" t="n"/>
      <c r="K401" s="14" t="inlineStr">
        <is>
          <t>example formula (Claude): check it, or replace it with your own</t>
        </is>
      </c>
    </row>
    <row r="402">
      <c r="A402" s="2" t="n">
        <v>401</v>
      </c>
      <c r="B402" s="2" t="inlineStr">
        <is>
          <t>economy.segment</t>
        </is>
      </c>
      <c r="C402" s="2" t="inlineStr">
        <is>
          <t>alex</t>
        </is>
      </c>
      <c r="D402" s="2" t="inlineStr">
        <is>
          <t>ev</t>
        </is>
      </c>
      <c r="E402" s="2" t="inlineStr">
        <is>
          <t>segment ending 2024-06-03 23:52</t>
        </is>
      </c>
      <c r="F402" s="2" t="n"/>
      <c r="G402" s="2" t="inlineStr">
        <is>
          <t>kWh/100km</t>
        </is>
      </c>
      <c r="H402" s="18">
        <f>IFERROR(ROUND(INDEX(fillups!$N$2:$N$596,MATCH("ev|2024-06-03 23:52",fillups!$O$2:$O$596,0)),2),"—")</f>
        <v/>
      </c>
      <c r="I402" s="2" t="inlineStr">
        <is>
          <t>spreadsheet</t>
        </is>
      </c>
      <c r="J402" s="2" t="n"/>
      <c r="K402" s="14" t="inlineStr">
        <is>
          <t>example formula (Claude): check it, or replace it with your own</t>
        </is>
      </c>
    </row>
    <row r="403">
      <c r="A403" s="2" t="n">
        <v>402</v>
      </c>
      <c r="B403" s="2" t="inlineStr">
        <is>
          <t>economy.segment</t>
        </is>
      </c>
      <c r="C403" s="2" t="inlineStr">
        <is>
          <t>alex</t>
        </is>
      </c>
      <c r="D403" s="2" t="inlineStr">
        <is>
          <t>ev</t>
        </is>
      </c>
      <c r="E403" s="2" t="inlineStr">
        <is>
          <t>segment ending 2024-06-07 23:52</t>
        </is>
      </c>
      <c r="F403" s="2" t="n"/>
      <c r="G403" s="2" t="inlineStr">
        <is>
          <t>kWh/100km</t>
        </is>
      </c>
      <c r="H403" s="18">
        <f>IFERROR(ROUND(INDEX(fillups!$N$2:$N$596,MATCH("ev|2024-06-07 23:52",fillups!$O$2:$O$596,0)),2),"—")</f>
        <v/>
      </c>
      <c r="I403" s="2" t="inlineStr">
        <is>
          <t>spreadsheet</t>
        </is>
      </c>
      <c r="J403" s="2" t="n"/>
      <c r="K403" s="14" t="inlineStr">
        <is>
          <t>example formula (Claude): check it, or replace it with your own</t>
        </is>
      </c>
    </row>
    <row r="404">
      <c r="A404" s="2" t="n">
        <v>403</v>
      </c>
      <c r="B404" s="2" t="inlineStr">
        <is>
          <t>economy.segment</t>
        </is>
      </c>
      <c r="C404" s="2" t="inlineStr">
        <is>
          <t>alex</t>
        </is>
      </c>
      <c r="D404" s="2" t="inlineStr">
        <is>
          <t>ev</t>
        </is>
      </c>
      <c r="E404" s="2" t="inlineStr">
        <is>
          <t>segment ending 2024-06-11 23:46</t>
        </is>
      </c>
      <c r="F404" s="2" t="n"/>
      <c r="G404" s="2" t="inlineStr">
        <is>
          <t>kWh/100km</t>
        </is>
      </c>
      <c r="H404" s="18">
        <f>IFERROR(ROUND(INDEX(fillups!$N$2:$N$596,MATCH("ev|2024-06-11 23:46",fillups!$O$2:$O$596,0)),2),"—")</f>
        <v/>
      </c>
      <c r="I404" s="2" t="inlineStr">
        <is>
          <t>spreadsheet</t>
        </is>
      </c>
      <c r="J404" s="2" t="n"/>
      <c r="K404" s="14" t="inlineStr">
        <is>
          <t>example formula (Claude): check it, or replace it with your own</t>
        </is>
      </c>
    </row>
    <row r="405">
      <c r="A405" s="2" t="n">
        <v>404</v>
      </c>
      <c r="B405" s="2" t="inlineStr">
        <is>
          <t>economy.segment</t>
        </is>
      </c>
      <c r="C405" s="2" t="inlineStr">
        <is>
          <t>alex</t>
        </is>
      </c>
      <c r="D405" s="2" t="inlineStr">
        <is>
          <t>ev</t>
        </is>
      </c>
      <c r="E405" s="2" t="inlineStr">
        <is>
          <t>segment ending 2024-06-14 23:46</t>
        </is>
      </c>
      <c r="F405" s="2" t="n"/>
      <c r="G405" s="2" t="inlineStr">
        <is>
          <t>kWh/100km</t>
        </is>
      </c>
      <c r="H405" s="18">
        <f>IFERROR(ROUND(INDEX(fillups!$N$2:$N$596,MATCH("ev|2024-06-14 23:46",fillups!$O$2:$O$596,0)),2),"—")</f>
        <v/>
      </c>
      <c r="I405" s="2" t="inlineStr">
        <is>
          <t>spreadsheet</t>
        </is>
      </c>
      <c r="J405" s="2" t="n"/>
      <c r="K405" s="14" t="inlineStr">
        <is>
          <t>example formula (Claude): check it, or replace it with your own</t>
        </is>
      </c>
    </row>
    <row r="406">
      <c r="A406" s="2" t="n">
        <v>405</v>
      </c>
      <c r="B406" s="2" t="inlineStr">
        <is>
          <t>economy.segment</t>
        </is>
      </c>
      <c r="C406" s="2" t="inlineStr">
        <is>
          <t>alex</t>
        </is>
      </c>
      <c r="D406" s="2" t="inlineStr">
        <is>
          <t>ev</t>
        </is>
      </c>
      <c r="E406" s="2" t="inlineStr">
        <is>
          <t>segment ending 2024-06-15 23:56</t>
        </is>
      </c>
      <c r="F406" s="2" t="n"/>
      <c r="G406" s="2" t="inlineStr">
        <is>
          <t>kWh/100km</t>
        </is>
      </c>
      <c r="H406" s="18">
        <f>IFERROR(ROUND(INDEX(fillups!$N$2:$N$596,MATCH("ev|2024-06-15 23:56",fillups!$O$2:$O$596,0)),2),"—")</f>
        <v/>
      </c>
      <c r="I406" s="2" t="inlineStr">
        <is>
          <t>spreadsheet</t>
        </is>
      </c>
      <c r="J406" s="2" t="n"/>
      <c r="K406" s="14" t="inlineStr">
        <is>
          <t>example formula (Claude): check it, or replace it with your own</t>
        </is>
      </c>
    </row>
    <row r="407">
      <c r="A407" s="2" t="n">
        <v>406</v>
      </c>
      <c r="B407" s="2" t="inlineStr">
        <is>
          <t>economy.segment</t>
        </is>
      </c>
      <c r="C407" s="2" t="inlineStr">
        <is>
          <t>alex</t>
        </is>
      </c>
      <c r="D407" s="2" t="inlineStr">
        <is>
          <t>ev</t>
        </is>
      </c>
      <c r="E407" s="2" t="inlineStr">
        <is>
          <t>segment ending 2024-06-18 23:58</t>
        </is>
      </c>
      <c r="F407" s="2" t="n"/>
      <c r="G407" s="2" t="inlineStr">
        <is>
          <t>kWh/100km</t>
        </is>
      </c>
      <c r="H407" s="18">
        <f>IFERROR(ROUND(INDEX(fillups!$N$2:$N$596,MATCH("ev|2024-06-18 23:58",fillups!$O$2:$O$596,0)),2),"—")</f>
        <v/>
      </c>
      <c r="I407" s="2" t="inlineStr">
        <is>
          <t>spreadsheet</t>
        </is>
      </c>
      <c r="J407" s="2" t="n"/>
      <c r="K407" s="14" t="inlineStr">
        <is>
          <t>example formula (Claude): check it, or replace it with your own</t>
        </is>
      </c>
    </row>
    <row r="408">
      <c r="A408" s="2" t="n">
        <v>407</v>
      </c>
      <c r="B408" s="2" t="inlineStr">
        <is>
          <t>economy.segment</t>
        </is>
      </c>
      <c r="C408" s="2" t="inlineStr">
        <is>
          <t>alex</t>
        </is>
      </c>
      <c r="D408" s="2" t="inlineStr">
        <is>
          <t>ev</t>
        </is>
      </c>
      <c r="E408" s="2" t="inlineStr">
        <is>
          <t>segment ending 2024-06-22 23:33</t>
        </is>
      </c>
      <c r="F408" s="2" t="n"/>
      <c r="G408" s="2" t="inlineStr">
        <is>
          <t>kWh/100km</t>
        </is>
      </c>
      <c r="H408" s="18">
        <f>IFERROR(ROUND(INDEX(fillups!$N$2:$N$596,MATCH("ev|2024-06-22 23:33",fillups!$O$2:$O$596,0)),2),"—")</f>
        <v/>
      </c>
      <c r="I408" s="2" t="inlineStr">
        <is>
          <t>spreadsheet</t>
        </is>
      </c>
      <c r="J408" s="2" t="n"/>
      <c r="K408" s="14" t="inlineStr">
        <is>
          <t>example formula (Claude): check it, or replace it with your own</t>
        </is>
      </c>
    </row>
    <row r="409">
      <c r="A409" s="2" t="n">
        <v>408</v>
      </c>
      <c r="B409" s="2" t="inlineStr">
        <is>
          <t>economy.segment</t>
        </is>
      </c>
      <c r="C409" s="2" t="inlineStr">
        <is>
          <t>alex</t>
        </is>
      </c>
      <c r="D409" s="2" t="inlineStr">
        <is>
          <t>ev</t>
        </is>
      </c>
      <c r="E409" s="2" t="inlineStr">
        <is>
          <t>segment ending 2024-06-26 23:35</t>
        </is>
      </c>
      <c r="F409" s="2" t="n"/>
      <c r="G409" s="2" t="inlineStr">
        <is>
          <t>kWh/100km</t>
        </is>
      </c>
      <c r="H409" s="18">
        <f>IFERROR(ROUND(INDEX(fillups!$N$2:$N$596,MATCH("ev|2024-06-26 23:35",fillups!$O$2:$O$596,0)),2),"—")</f>
        <v/>
      </c>
      <c r="I409" s="2" t="inlineStr">
        <is>
          <t>spreadsheet</t>
        </is>
      </c>
      <c r="J409" s="2" t="n"/>
      <c r="K409" s="14" t="inlineStr">
        <is>
          <t>example formula (Claude): check it, or replace it with your own</t>
        </is>
      </c>
    </row>
    <row r="410">
      <c r="A410" s="2" t="n">
        <v>409</v>
      </c>
      <c r="B410" s="2" t="inlineStr">
        <is>
          <t>economy.segment</t>
        </is>
      </c>
      <c r="C410" s="2" t="inlineStr">
        <is>
          <t>alex</t>
        </is>
      </c>
      <c r="D410" s="2" t="inlineStr">
        <is>
          <t>ev</t>
        </is>
      </c>
      <c r="E410" s="2" t="inlineStr">
        <is>
          <t>segment ending 2024-06-30 23:41</t>
        </is>
      </c>
      <c r="F410" s="2" t="n"/>
      <c r="G410" s="2" t="inlineStr">
        <is>
          <t>kWh/100km</t>
        </is>
      </c>
      <c r="H410" s="18">
        <f>IFERROR(ROUND(INDEX(fillups!$N$2:$N$596,MATCH("ev|2024-06-30 23:41",fillups!$O$2:$O$596,0)),2),"—")</f>
        <v/>
      </c>
      <c r="I410" s="2" t="inlineStr">
        <is>
          <t>spreadsheet</t>
        </is>
      </c>
      <c r="J410" s="2" t="n"/>
      <c r="K410" s="14" t="inlineStr">
        <is>
          <t>example formula (Claude): check it, or replace it with your own</t>
        </is>
      </c>
    </row>
    <row r="411">
      <c r="A411" s="2" t="n">
        <v>410</v>
      </c>
      <c r="B411" s="2" t="inlineStr">
        <is>
          <t>economy.segment</t>
        </is>
      </c>
      <c r="C411" s="2" t="inlineStr">
        <is>
          <t>alex</t>
        </is>
      </c>
      <c r="D411" s="2" t="inlineStr">
        <is>
          <t>ev</t>
        </is>
      </c>
      <c r="E411" s="2" t="inlineStr">
        <is>
          <t>segment ending 2024-07-02 23:49</t>
        </is>
      </c>
      <c r="F411" s="2" t="n"/>
      <c r="G411" s="2" t="inlineStr">
        <is>
          <t>kWh/100km</t>
        </is>
      </c>
      <c r="H411" s="18">
        <f>IFERROR(ROUND(INDEX(fillups!$N$2:$N$596,MATCH("ev|2024-07-02 23:49",fillups!$O$2:$O$596,0)),2),"—")</f>
        <v/>
      </c>
      <c r="I411" s="2" t="inlineStr">
        <is>
          <t>spreadsheet</t>
        </is>
      </c>
      <c r="J411" s="2" t="n"/>
      <c r="K411" s="14" t="inlineStr">
        <is>
          <t>example formula (Claude): check it, or replace it with your own</t>
        </is>
      </c>
    </row>
    <row r="412">
      <c r="A412" s="2" t="n">
        <v>411</v>
      </c>
      <c r="B412" s="2" t="inlineStr">
        <is>
          <t>economy.segment</t>
        </is>
      </c>
      <c r="C412" s="2" t="inlineStr">
        <is>
          <t>alex</t>
        </is>
      </c>
      <c r="D412" s="2" t="inlineStr">
        <is>
          <t>ev</t>
        </is>
      </c>
      <c r="E412" s="2" t="inlineStr">
        <is>
          <t>segment ending 2024-07-07 23:46</t>
        </is>
      </c>
      <c r="F412" s="2" t="n"/>
      <c r="G412" s="2" t="inlineStr">
        <is>
          <t>kWh/100km</t>
        </is>
      </c>
      <c r="H412" s="18">
        <f>IFERROR(ROUND(INDEX(fillups!$N$2:$N$596,MATCH("ev|2024-07-07 23:46",fillups!$O$2:$O$596,0)),2),"—")</f>
        <v/>
      </c>
      <c r="I412" s="2" t="inlineStr">
        <is>
          <t>spreadsheet</t>
        </is>
      </c>
      <c r="J412" s="2" t="n"/>
      <c r="K412" s="14" t="inlineStr">
        <is>
          <t>example formula (Claude): check it, or replace it with your own</t>
        </is>
      </c>
    </row>
    <row r="413">
      <c r="A413" s="2" t="n">
        <v>412</v>
      </c>
      <c r="B413" s="2" t="inlineStr">
        <is>
          <t>economy.segment</t>
        </is>
      </c>
      <c r="C413" s="2" t="inlineStr">
        <is>
          <t>alex</t>
        </is>
      </c>
      <c r="D413" s="2" t="inlineStr">
        <is>
          <t>ev</t>
        </is>
      </c>
      <c r="E413" s="2" t="inlineStr">
        <is>
          <t>segment ending 2024-07-09 23:48</t>
        </is>
      </c>
      <c r="F413" s="2" t="n"/>
      <c r="G413" s="2" t="inlineStr">
        <is>
          <t>kWh/100km</t>
        </is>
      </c>
      <c r="H413" s="18">
        <f>IFERROR(ROUND(INDEX(fillups!$N$2:$N$596,MATCH("ev|2024-07-09 23:48",fillups!$O$2:$O$596,0)),2),"—")</f>
        <v/>
      </c>
      <c r="I413" s="2" t="inlineStr">
        <is>
          <t>spreadsheet</t>
        </is>
      </c>
      <c r="J413" s="2" t="n"/>
      <c r="K413" s="14" t="inlineStr">
        <is>
          <t>example formula (Claude): check it, or replace it with your own</t>
        </is>
      </c>
    </row>
    <row r="414">
      <c r="A414" s="2" t="n">
        <v>413</v>
      </c>
      <c r="B414" s="2" t="inlineStr">
        <is>
          <t>economy.segment</t>
        </is>
      </c>
      <c r="C414" s="2" t="inlineStr">
        <is>
          <t>alex</t>
        </is>
      </c>
      <c r="D414" s="2" t="inlineStr">
        <is>
          <t>ev</t>
        </is>
      </c>
      <c r="E414" s="2" t="inlineStr">
        <is>
          <t>segment ending 2024-07-13 23:36</t>
        </is>
      </c>
      <c r="F414" s="2" t="n"/>
      <c r="G414" s="2" t="inlineStr">
        <is>
          <t>kWh/100km</t>
        </is>
      </c>
      <c r="H414" s="18">
        <f>IFERROR(ROUND(INDEX(fillups!$N$2:$N$596,MATCH("ev|2024-07-13 23:36",fillups!$O$2:$O$596,0)),2),"—")</f>
        <v/>
      </c>
      <c r="I414" s="2" t="inlineStr">
        <is>
          <t>spreadsheet</t>
        </is>
      </c>
      <c r="J414" s="2" t="n"/>
      <c r="K414" s="14" t="inlineStr">
        <is>
          <t>example formula (Claude): check it, or replace it with your own</t>
        </is>
      </c>
    </row>
    <row r="415">
      <c r="A415" s="2" t="n">
        <v>414</v>
      </c>
      <c r="B415" s="2" t="inlineStr">
        <is>
          <t>economy.segment</t>
        </is>
      </c>
      <c r="C415" s="2" t="inlineStr">
        <is>
          <t>alex</t>
        </is>
      </c>
      <c r="D415" s="2" t="inlineStr">
        <is>
          <t>ev</t>
        </is>
      </c>
      <c r="E415" s="2" t="inlineStr">
        <is>
          <t>segment ending 2024-07-15 23:51</t>
        </is>
      </c>
      <c r="F415" s="2" t="n"/>
      <c r="G415" s="2" t="inlineStr">
        <is>
          <t>kWh/100km</t>
        </is>
      </c>
      <c r="H415" s="18">
        <f>IFERROR(ROUND(INDEX(fillups!$N$2:$N$596,MATCH("ev|2024-07-15 23:51",fillups!$O$2:$O$596,0)),2),"—")</f>
        <v/>
      </c>
      <c r="I415" s="2" t="inlineStr">
        <is>
          <t>spreadsheet</t>
        </is>
      </c>
      <c r="J415" s="2" t="n"/>
      <c r="K415" s="14" t="inlineStr">
        <is>
          <t>example formula (Claude): check it, or replace it with your own</t>
        </is>
      </c>
    </row>
    <row r="416">
      <c r="A416" s="2" t="n">
        <v>415</v>
      </c>
      <c r="B416" s="2" t="inlineStr">
        <is>
          <t>economy.segment</t>
        </is>
      </c>
      <c r="C416" s="2" t="inlineStr">
        <is>
          <t>alex</t>
        </is>
      </c>
      <c r="D416" s="2" t="inlineStr">
        <is>
          <t>ev</t>
        </is>
      </c>
      <c r="E416" s="2" t="inlineStr">
        <is>
          <t>segment ending 2024-07-16 23:36</t>
        </is>
      </c>
      <c r="F416" s="2" t="n"/>
      <c r="G416" s="2" t="inlineStr">
        <is>
          <t>kWh/100km</t>
        </is>
      </c>
      <c r="H416" s="18">
        <f>IFERROR(ROUND(INDEX(fillups!$N$2:$N$596,MATCH("ev|2024-07-16 23:36",fillups!$O$2:$O$596,0)),2),"—")</f>
        <v/>
      </c>
      <c r="I416" s="2" t="inlineStr">
        <is>
          <t>spreadsheet</t>
        </is>
      </c>
      <c r="J416" s="2" t="n"/>
      <c r="K416" s="14" t="inlineStr">
        <is>
          <t>example formula (Claude): check it, or replace it with your own</t>
        </is>
      </c>
    </row>
    <row r="417">
      <c r="A417" s="2" t="n">
        <v>416</v>
      </c>
      <c r="B417" s="2" t="inlineStr">
        <is>
          <t>economy.segment</t>
        </is>
      </c>
      <c r="C417" s="2" t="inlineStr">
        <is>
          <t>alex</t>
        </is>
      </c>
      <c r="D417" s="2" t="inlineStr">
        <is>
          <t>ev</t>
        </is>
      </c>
      <c r="E417" s="2" t="inlineStr">
        <is>
          <t>segment ending 2024-07-20 23:30</t>
        </is>
      </c>
      <c r="F417" s="2" t="n"/>
      <c r="G417" s="2" t="inlineStr">
        <is>
          <t>kWh/100km</t>
        </is>
      </c>
      <c r="H417" s="18">
        <f>IFERROR(ROUND(INDEX(fillups!$N$2:$N$596,MATCH("ev|2024-07-20 23:30",fillups!$O$2:$O$596,0)),2),"—")</f>
        <v/>
      </c>
      <c r="I417" s="2" t="inlineStr">
        <is>
          <t>spreadsheet</t>
        </is>
      </c>
      <c r="J417" s="2" t="n"/>
      <c r="K417" s="14" t="inlineStr">
        <is>
          <t>example formula (Claude): check it, or replace it with your own</t>
        </is>
      </c>
    </row>
    <row r="418">
      <c r="A418" s="2" t="n">
        <v>417</v>
      </c>
      <c r="B418" s="2" t="inlineStr">
        <is>
          <t>economy.segment</t>
        </is>
      </c>
      <c r="C418" s="2" t="inlineStr">
        <is>
          <t>alex</t>
        </is>
      </c>
      <c r="D418" s="2" t="inlineStr">
        <is>
          <t>ev</t>
        </is>
      </c>
      <c r="E418" s="2" t="inlineStr">
        <is>
          <t>segment ending 2024-07-24 23:32</t>
        </is>
      </c>
      <c r="F418" s="2" t="n"/>
      <c r="G418" s="2" t="inlineStr">
        <is>
          <t>kWh/100km</t>
        </is>
      </c>
      <c r="H418" s="18">
        <f>IFERROR(ROUND(INDEX(fillups!$N$2:$N$596,MATCH("ev|2024-07-24 23:32",fillups!$O$2:$O$596,0)),2),"—")</f>
        <v/>
      </c>
      <c r="I418" s="2" t="inlineStr">
        <is>
          <t>spreadsheet</t>
        </is>
      </c>
      <c r="J418" s="2" t="n"/>
      <c r="K418" s="14" t="inlineStr">
        <is>
          <t>example formula (Claude): check it, or replace it with your own</t>
        </is>
      </c>
    </row>
    <row r="419">
      <c r="A419" s="2" t="n">
        <v>418</v>
      </c>
      <c r="B419" s="2" t="inlineStr">
        <is>
          <t>economy.segment</t>
        </is>
      </c>
      <c r="C419" s="2" t="inlineStr">
        <is>
          <t>alex</t>
        </is>
      </c>
      <c r="D419" s="2" t="inlineStr">
        <is>
          <t>ev</t>
        </is>
      </c>
      <c r="E419" s="2" t="inlineStr">
        <is>
          <t>segment ending 2024-07-27 23:40</t>
        </is>
      </c>
      <c r="F419" s="2" t="n"/>
      <c r="G419" s="2" t="inlineStr">
        <is>
          <t>kWh/100km</t>
        </is>
      </c>
      <c r="H419" s="18">
        <f>IFERROR(ROUND(INDEX(fillups!$N$2:$N$596,MATCH("ev|2024-07-27 23:40",fillups!$O$2:$O$596,0)),2),"—")</f>
        <v/>
      </c>
      <c r="I419" s="2" t="inlineStr">
        <is>
          <t>spreadsheet</t>
        </is>
      </c>
      <c r="J419" s="2" t="n"/>
      <c r="K419" s="14" t="inlineStr">
        <is>
          <t>example formula (Claude): check it, or replace it with your own</t>
        </is>
      </c>
    </row>
    <row r="420">
      <c r="A420" s="2" t="n">
        <v>419</v>
      </c>
      <c r="B420" s="2" t="inlineStr">
        <is>
          <t>economy.segment</t>
        </is>
      </c>
      <c r="C420" s="2" t="inlineStr">
        <is>
          <t>alex</t>
        </is>
      </c>
      <c r="D420" s="2" t="inlineStr">
        <is>
          <t>ev</t>
        </is>
      </c>
      <c r="E420" s="2" t="inlineStr">
        <is>
          <t>segment ending 2024-07-30 23:48</t>
        </is>
      </c>
      <c r="F420" s="2" t="n"/>
      <c r="G420" s="2" t="inlineStr">
        <is>
          <t>kWh/100km</t>
        </is>
      </c>
      <c r="H420" s="18">
        <f>IFERROR(ROUND(INDEX(fillups!$N$2:$N$596,MATCH("ev|2024-07-30 23:48",fillups!$O$2:$O$596,0)),2),"—")</f>
        <v/>
      </c>
      <c r="I420" s="2" t="inlineStr">
        <is>
          <t>spreadsheet</t>
        </is>
      </c>
      <c r="J420" s="2" t="n"/>
      <c r="K420" s="14" t="inlineStr">
        <is>
          <t>example formula (Claude): check it, or replace it with your own</t>
        </is>
      </c>
    </row>
    <row r="421">
      <c r="A421" s="2" t="n">
        <v>420</v>
      </c>
      <c r="B421" s="2" t="inlineStr">
        <is>
          <t>economy.segment</t>
        </is>
      </c>
      <c r="C421" s="2" t="inlineStr">
        <is>
          <t>alex</t>
        </is>
      </c>
      <c r="D421" s="2" t="inlineStr">
        <is>
          <t>ev</t>
        </is>
      </c>
      <c r="E421" s="2" t="inlineStr">
        <is>
          <t>segment ending 2024-08-01 23:42</t>
        </is>
      </c>
      <c r="F421" s="2" t="n"/>
      <c r="G421" s="2" t="inlineStr">
        <is>
          <t>kWh/100km</t>
        </is>
      </c>
      <c r="H421" s="18">
        <f>IFERROR(ROUND(INDEX(fillups!$N$2:$N$596,MATCH("ev|2024-08-01 23:42",fillups!$O$2:$O$596,0)),2),"—")</f>
        <v/>
      </c>
      <c r="I421" s="2" t="inlineStr">
        <is>
          <t>spreadsheet</t>
        </is>
      </c>
      <c r="J421" s="2" t="n"/>
      <c r="K421" s="14" t="inlineStr">
        <is>
          <t>example formula (Claude): check it, or replace it with your own</t>
        </is>
      </c>
    </row>
    <row r="422">
      <c r="A422" s="2" t="n">
        <v>421</v>
      </c>
      <c r="B422" s="2" t="inlineStr">
        <is>
          <t>economy.segment</t>
        </is>
      </c>
      <c r="C422" s="2" t="inlineStr">
        <is>
          <t>alex</t>
        </is>
      </c>
      <c r="D422" s="2" t="inlineStr">
        <is>
          <t>ev</t>
        </is>
      </c>
      <c r="E422" s="2" t="inlineStr">
        <is>
          <t>segment ending 2024-08-05 23:39</t>
        </is>
      </c>
      <c r="F422" s="2" t="n"/>
      <c r="G422" s="2" t="inlineStr">
        <is>
          <t>kWh/100km</t>
        </is>
      </c>
      <c r="H422" s="18">
        <f>IFERROR(ROUND(INDEX(fillups!$N$2:$N$596,MATCH("ev|2024-08-05 23:39",fillups!$O$2:$O$596,0)),2),"—")</f>
        <v/>
      </c>
      <c r="I422" s="2" t="inlineStr">
        <is>
          <t>spreadsheet</t>
        </is>
      </c>
      <c r="J422" s="2" t="n"/>
      <c r="K422" s="14" t="inlineStr">
        <is>
          <t>example formula (Claude): check it, or replace it with your own</t>
        </is>
      </c>
    </row>
    <row r="423">
      <c r="A423" s="2" t="n">
        <v>422</v>
      </c>
      <c r="B423" s="2" t="inlineStr">
        <is>
          <t>economy.segment</t>
        </is>
      </c>
      <c r="C423" s="2" t="inlineStr">
        <is>
          <t>alex</t>
        </is>
      </c>
      <c r="D423" s="2" t="inlineStr">
        <is>
          <t>ev</t>
        </is>
      </c>
      <c r="E423" s="2" t="inlineStr">
        <is>
          <t>segment ending 2024-08-08 23:50</t>
        </is>
      </c>
      <c r="F423" s="2" t="n"/>
      <c r="G423" s="2" t="inlineStr">
        <is>
          <t>kWh/100km</t>
        </is>
      </c>
      <c r="H423" s="18">
        <f>IFERROR(ROUND(INDEX(fillups!$N$2:$N$596,MATCH("ev|2024-08-08 23:50",fillups!$O$2:$O$596,0)),2),"—")</f>
        <v/>
      </c>
      <c r="I423" s="2" t="inlineStr">
        <is>
          <t>spreadsheet</t>
        </is>
      </c>
      <c r="J423" s="2" t="n"/>
      <c r="K423" s="14" t="inlineStr">
        <is>
          <t>example formula (Claude): check it, or replace it with your own</t>
        </is>
      </c>
    </row>
    <row r="424">
      <c r="A424" s="2" t="n">
        <v>423</v>
      </c>
      <c r="B424" s="2" t="inlineStr">
        <is>
          <t>economy.segment</t>
        </is>
      </c>
      <c r="C424" s="2" t="inlineStr">
        <is>
          <t>alex</t>
        </is>
      </c>
      <c r="D424" s="2" t="inlineStr">
        <is>
          <t>ev</t>
        </is>
      </c>
      <c r="E424" s="2" t="inlineStr">
        <is>
          <t>segment ending 2024-08-10 23:55</t>
        </is>
      </c>
      <c r="F424" s="2" t="n"/>
      <c r="G424" s="2" t="inlineStr">
        <is>
          <t>kWh/100km</t>
        </is>
      </c>
      <c r="H424" s="18">
        <f>IFERROR(ROUND(INDEX(fillups!$N$2:$N$596,MATCH("ev|2024-08-10 23:55",fillups!$O$2:$O$596,0)),2),"—")</f>
        <v/>
      </c>
      <c r="I424" s="2" t="inlineStr">
        <is>
          <t>spreadsheet</t>
        </is>
      </c>
      <c r="J424" s="2" t="n"/>
      <c r="K424" s="14" t="inlineStr">
        <is>
          <t>example formula (Claude): check it, or replace it with your own</t>
        </is>
      </c>
    </row>
    <row r="425">
      <c r="A425" s="2" t="n">
        <v>424</v>
      </c>
      <c r="B425" s="2" t="inlineStr">
        <is>
          <t>economy.segment</t>
        </is>
      </c>
      <c r="C425" s="2" t="inlineStr">
        <is>
          <t>alex</t>
        </is>
      </c>
      <c r="D425" s="2" t="inlineStr">
        <is>
          <t>ev</t>
        </is>
      </c>
      <c r="E425" s="2" t="inlineStr">
        <is>
          <t>segment ending 2024-08-14 23:55</t>
        </is>
      </c>
      <c r="F425" s="2" t="n"/>
      <c r="G425" s="2" t="inlineStr">
        <is>
          <t>kWh/100km</t>
        </is>
      </c>
      <c r="H425" s="18">
        <f>IFERROR(ROUND(INDEX(fillups!$N$2:$N$596,MATCH("ev|2024-08-14 23:55",fillups!$O$2:$O$596,0)),2),"—")</f>
        <v/>
      </c>
      <c r="I425" s="2" t="inlineStr">
        <is>
          <t>spreadsheet</t>
        </is>
      </c>
      <c r="J425" s="2" t="n"/>
      <c r="K425" s="14" t="inlineStr">
        <is>
          <t>example formula (Claude): check it, or replace it with your own</t>
        </is>
      </c>
    </row>
    <row r="426">
      <c r="A426" s="2" t="n">
        <v>425</v>
      </c>
      <c r="B426" s="2" t="inlineStr">
        <is>
          <t>economy.segment</t>
        </is>
      </c>
      <c r="C426" s="2" t="inlineStr">
        <is>
          <t>alex</t>
        </is>
      </c>
      <c r="D426" s="2" t="inlineStr">
        <is>
          <t>ev</t>
        </is>
      </c>
      <c r="E426" s="2" t="inlineStr">
        <is>
          <t>segment ending 2024-08-17 23:56</t>
        </is>
      </c>
      <c r="F426" s="2" t="n"/>
      <c r="G426" s="2" t="inlineStr">
        <is>
          <t>kWh/100km</t>
        </is>
      </c>
      <c r="H426" s="18">
        <f>IFERROR(ROUND(INDEX(fillups!$N$2:$N$596,MATCH("ev|2024-08-17 23:56",fillups!$O$2:$O$596,0)),2),"—")</f>
        <v/>
      </c>
      <c r="I426" s="2" t="inlineStr">
        <is>
          <t>spreadsheet</t>
        </is>
      </c>
      <c r="J426" s="2" t="n"/>
      <c r="K426" s="14" t="inlineStr">
        <is>
          <t>example formula (Claude): check it, or replace it with your own</t>
        </is>
      </c>
    </row>
    <row r="427">
      <c r="A427" s="2" t="n">
        <v>426</v>
      </c>
      <c r="B427" s="2" t="inlineStr">
        <is>
          <t>economy.segment</t>
        </is>
      </c>
      <c r="C427" s="2" t="inlineStr">
        <is>
          <t>alex</t>
        </is>
      </c>
      <c r="D427" s="2" t="inlineStr">
        <is>
          <t>ev</t>
        </is>
      </c>
      <c r="E427" s="2" t="inlineStr">
        <is>
          <t>segment ending 2024-08-20 23:43</t>
        </is>
      </c>
      <c r="F427" s="2" t="n"/>
      <c r="G427" s="2" t="inlineStr">
        <is>
          <t>kWh/100km</t>
        </is>
      </c>
      <c r="H427" s="18">
        <f>IFERROR(ROUND(INDEX(fillups!$N$2:$N$596,MATCH("ev|2024-08-20 23:43",fillups!$O$2:$O$596,0)),2),"—")</f>
        <v/>
      </c>
      <c r="I427" s="2" t="inlineStr">
        <is>
          <t>spreadsheet</t>
        </is>
      </c>
      <c r="J427" s="2" t="n"/>
      <c r="K427" s="14" t="inlineStr">
        <is>
          <t>example formula (Claude): check it, or replace it with your own</t>
        </is>
      </c>
    </row>
    <row r="428">
      <c r="A428" s="2" t="n">
        <v>427</v>
      </c>
      <c r="B428" s="2" t="inlineStr">
        <is>
          <t>economy.segment</t>
        </is>
      </c>
      <c r="C428" s="2" t="inlineStr">
        <is>
          <t>alex</t>
        </is>
      </c>
      <c r="D428" s="2" t="inlineStr">
        <is>
          <t>ev</t>
        </is>
      </c>
      <c r="E428" s="2" t="inlineStr">
        <is>
          <t>segment ending 2024-08-22 23:39</t>
        </is>
      </c>
      <c r="F428" s="2" t="n"/>
      <c r="G428" s="2" t="inlineStr">
        <is>
          <t>kWh/100km</t>
        </is>
      </c>
      <c r="H428" s="18">
        <f>IFERROR(ROUND(INDEX(fillups!$N$2:$N$596,MATCH("ev|2024-08-22 23:39",fillups!$O$2:$O$596,0)),2),"—")</f>
        <v/>
      </c>
      <c r="I428" s="2" t="inlineStr">
        <is>
          <t>spreadsheet</t>
        </is>
      </c>
      <c r="J428" s="2" t="n"/>
      <c r="K428" s="14" t="inlineStr">
        <is>
          <t>example formula (Claude): check it, or replace it with your own</t>
        </is>
      </c>
    </row>
    <row r="429">
      <c r="A429" s="2" t="n">
        <v>428</v>
      </c>
      <c r="B429" s="2" t="inlineStr">
        <is>
          <t>economy.segment</t>
        </is>
      </c>
      <c r="C429" s="2" t="inlineStr">
        <is>
          <t>alex</t>
        </is>
      </c>
      <c r="D429" s="2" t="inlineStr">
        <is>
          <t>ev</t>
        </is>
      </c>
      <c r="E429" s="2" t="inlineStr">
        <is>
          <t>segment ending 2024-08-25 23:53</t>
        </is>
      </c>
      <c r="F429" s="2" t="n"/>
      <c r="G429" s="2" t="inlineStr">
        <is>
          <t>kWh/100km</t>
        </is>
      </c>
      <c r="H429" s="18">
        <f>IFERROR(ROUND(INDEX(fillups!$N$2:$N$596,MATCH("ev|2024-08-25 23:53",fillups!$O$2:$O$596,0)),2),"—")</f>
        <v/>
      </c>
      <c r="I429" s="2" t="inlineStr">
        <is>
          <t>spreadsheet</t>
        </is>
      </c>
      <c r="J429" s="2" t="n"/>
      <c r="K429" s="14" t="inlineStr">
        <is>
          <t>example formula (Claude): check it, or replace it with your own</t>
        </is>
      </c>
    </row>
    <row r="430">
      <c r="A430" s="2" t="n">
        <v>429</v>
      </c>
      <c r="B430" s="2" t="inlineStr">
        <is>
          <t>economy.segment</t>
        </is>
      </c>
      <c r="C430" s="2" t="inlineStr">
        <is>
          <t>alex</t>
        </is>
      </c>
      <c r="D430" s="2" t="inlineStr">
        <is>
          <t>ev</t>
        </is>
      </c>
      <c r="E430" s="2" t="inlineStr">
        <is>
          <t>segment ending 2024-08-29 23:36</t>
        </is>
      </c>
      <c r="F430" s="2" t="n"/>
      <c r="G430" s="2" t="inlineStr">
        <is>
          <t>kWh/100km</t>
        </is>
      </c>
      <c r="H430" s="18">
        <f>IFERROR(ROUND(INDEX(fillups!$N$2:$N$596,MATCH("ev|2024-08-29 23:36",fillups!$O$2:$O$596,0)),2),"—")</f>
        <v/>
      </c>
      <c r="I430" s="2" t="inlineStr">
        <is>
          <t>spreadsheet</t>
        </is>
      </c>
      <c r="J430" s="2" t="n"/>
      <c r="K430" s="14" t="inlineStr">
        <is>
          <t>example formula (Claude): check it, or replace it with your own</t>
        </is>
      </c>
    </row>
    <row r="431">
      <c r="A431" s="2" t="n">
        <v>430</v>
      </c>
      <c r="B431" s="2" t="inlineStr">
        <is>
          <t>economy.segment</t>
        </is>
      </c>
      <c r="C431" s="2" t="inlineStr">
        <is>
          <t>alex</t>
        </is>
      </c>
      <c r="D431" s="2" t="inlineStr">
        <is>
          <t>ev</t>
        </is>
      </c>
      <c r="E431" s="2" t="inlineStr">
        <is>
          <t>segment ending 2024-09-02 23:56</t>
        </is>
      </c>
      <c r="F431" s="2" t="n"/>
      <c r="G431" s="2" t="inlineStr">
        <is>
          <t>kWh/100km</t>
        </is>
      </c>
      <c r="H431" s="18">
        <f>IFERROR(ROUND(INDEX(fillups!$N$2:$N$596,MATCH("ev|2024-09-02 23:56",fillups!$O$2:$O$596,0)),2),"—")</f>
        <v/>
      </c>
      <c r="I431" s="2" t="inlineStr">
        <is>
          <t>spreadsheet</t>
        </is>
      </c>
      <c r="J431" s="2" t="n"/>
      <c r="K431" s="14" t="inlineStr">
        <is>
          <t>example formula (Claude): check it, or replace it with your own</t>
        </is>
      </c>
    </row>
    <row r="432">
      <c r="A432" s="2" t="n">
        <v>431</v>
      </c>
      <c r="B432" s="2" t="inlineStr">
        <is>
          <t>economy.segment</t>
        </is>
      </c>
      <c r="C432" s="2" t="inlineStr">
        <is>
          <t>alex</t>
        </is>
      </c>
      <c r="D432" s="2" t="inlineStr">
        <is>
          <t>ev</t>
        </is>
      </c>
      <c r="E432" s="2" t="inlineStr">
        <is>
          <t>segment ending 2024-09-04 23:59</t>
        </is>
      </c>
      <c r="F432" s="2" t="n"/>
      <c r="G432" s="2" t="inlineStr">
        <is>
          <t>kWh/100km</t>
        </is>
      </c>
      <c r="H432" s="18">
        <f>IFERROR(ROUND(INDEX(fillups!$N$2:$N$596,MATCH("ev|2024-09-04 23:59",fillups!$O$2:$O$596,0)),2),"—")</f>
        <v/>
      </c>
      <c r="I432" s="2" t="inlineStr">
        <is>
          <t>spreadsheet</t>
        </is>
      </c>
      <c r="J432" s="2" t="n"/>
      <c r="K432" s="14" t="inlineStr">
        <is>
          <t>example formula (Claude): check it, or replace it with your own</t>
        </is>
      </c>
    </row>
    <row r="433">
      <c r="A433" s="2" t="n">
        <v>432</v>
      </c>
      <c r="B433" s="2" t="inlineStr">
        <is>
          <t>economy.segment</t>
        </is>
      </c>
      <c r="C433" s="2" t="inlineStr">
        <is>
          <t>alex</t>
        </is>
      </c>
      <c r="D433" s="2" t="inlineStr">
        <is>
          <t>ev</t>
        </is>
      </c>
      <c r="E433" s="2" t="inlineStr">
        <is>
          <t>segment ending 2024-09-05 23:31</t>
        </is>
      </c>
      <c r="F433" s="2" t="n"/>
      <c r="G433" s="2" t="inlineStr">
        <is>
          <t>kWh/100km</t>
        </is>
      </c>
      <c r="H433" s="18">
        <f>IFERROR(ROUND(INDEX(fillups!$N$2:$N$596,MATCH("ev|2024-09-05 23:31",fillups!$O$2:$O$596,0)),2),"—")</f>
        <v/>
      </c>
      <c r="I433" s="2" t="inlineStr">
        <is>
          <t>spreadsheet</t>
        </is>
      </c>
      <c r="J433" s="2" t="n"/>
      <c r="K433" s="14" t="inlineStr">
        <is>
          <t>example formula (Claude): check it, or replace it with your own</t>
        </is>
      </c>
    </row>
    <row r="434">
      <c r="A434" s="2" t="n">
        <v>433</v>
      </c>
      <c r="B434" s="2" t="inlineStr">
        <is>
          <t>economy.segment</t>
        </is>
      </c>
      <c r="C434" s="2" t="inlineStr">
        <is>
          <t>alex</t>
        </is>
      </c>
      <c r="D434" s="2" t="inlineStr">
        <is>
          <t>ev</t>
        </is>
      </c>
      <c r="E434" s="2" t="inlineStr">
        <is>
          <t>segment ending 2024-09-11 23:37</t>
        </is>
      </c>
      <c r="F434" s="2" t="n"/>
      <c r="G434" s="2" t="inlineStr">
        <is>
          <t>kWh/100km</t>
        </is>
      </c>
      <c r="H434" s="18">
        <f>IFERROR(ROUND(INDEX(fillups!$N$2:$N$596,MATCH("ev|2024-09-11 23:37",fillups!$O$2:$O$596,0)),2),"—")</f>
        <v/>
      </c>
      <c r="I434" s="2" t="inlineStr">
        <is>
          <t>spreadsheet</t>
        </is>
      </c>
      <c r="J434" s="2" t="n"/>
      <c r="K434" s="14" t="inlineStr">
        <is>
          <t>example formula (Claude): check it, or replace it with your own</t>
        </is>
      </c>
    </row>
    <row r="435">
      <c r="A435" s="2" t="n">
        <v>434</v>
      </c>
      <c r="B435" s="2" t="inlineStr">
        <is>
          <t>economy.segment</t>
        </is>
      </c>
      <c r="C435" s="2" t="inlineStr">
        <is>
          <t>alex</t>
        </is>
      </c>
      <c r="D435" s="2" t="inlineStr">
        <is>
          <t>ev</t>
        </is>
      </c>
      <c r="E435" s="2" t="inlineStr">
        <is>
          <t>segment ending 2024-09-13 23:41</t>
        </is>
      </c>
      <c r="F435" s="2" t="n"/>
      <c r="G435" s="2" t="inlineStr">
        <is>
          <t>kWh/100km</t>
        </is>
      </c>
      <c r="H435" s="18">
        <f>IFERROR(ROUND(INDEX(fillups!$N$2:$N$596,MATCH("ev|2024-09-13 23:41",fillups!$O$2:$O$596,0)),2),"—")</f>
        <v/>
      </c>
      <c r="I435" s="2" t="inlineStr">
        <is>
          <t>spreadsheet</t>
        </is>
      </c>
      <c r="J435" s="2" t="n"/>
      <c r="K435" s="14" t="inlineStr">
        <is>
          <t>example formula (Claude): check it, or replace it with your own</t>
        </is>
      </c>
    </row>
    <row r="436">
      <c r="A436" s="2" t="n">
        <v>435</v>
      </c>
      <c r="B436" s="2" t="inlineStr">
        <is>
          <t>economy.segment</t>
        </is>
      </c>
      <c r="C436" s="2" t="inlineStr">
        <is>
          <t>alex</t>
        </is>
      </c>
      <c r="D436" s="2" t="inlineStr">
        <is>
          <t>ev</t>
        </is>
      </c>
      <c r="E436" s="2" t="inlineStr">
        <is>
          <t>segment ending 2024-09-14 23:51</t>
        </is>
      </c>
      <c r="F436" s="2" t="n"/>
      <c r="G436" s="2" t="inlineStr">
        <is>
          <t>kWh/100km</t>
        </is>
      </c>
      <c r="H436" s="18">
        <f>IFERROR(ROUND(INDEX(fillups!$N$2:$N$596,MATCH("ev|2024-09-14 23:51",fillups!$O$2:$O$596,0)),2),"—")</f>
        <v/>
      </c>
      <c r="I436" s="2" t="inlineStr">
        <is>
          <t>spreadsheet</t>
        </is>
      </c>
      <c r="J436" s="2" t="n"/>
      <c r="K436" s="14" t="inlineStr">
        <is>
          <t>example formula (Claude): check it, or replace it with your own</t>
        </is>
      </c>
    </row>
    <row r="437">
      <c r="A437" s="2" t="n">
        <v>436</v>
      </c>
      <c r="B437" s="2" t="inlineStr">
        <is>
          <t>economy.segment</t>
        </is>
      </c>
      <c r="C437" s="2" t="inlineStr">
        <is>
          <t>alex</t>
        </is>
      </c>
      <c r="D437" s="2" t="inlineStr">
        <is>
          <t>ev</t>
        </is>
      </c>
      <c r="E437" s="2" t="inlineStr">
        <is>
          <t>segment ending 2024-09-16 23:35</t>
        </is>
      </c>
      <c r="F437" s="2" t="n"/>
      <c r="G437" s="2" t="inlineStr">
        <is>
          <t>kWh/100km</t>
        </is>
      </c>
      <c r="H437" s="18">
        <f>IFERROR(ROUND(INDEX(fillups!$N$2:$N$596,MATCH("ev|2024-09-16 23:35",fillups!$O$2:$O$596,0)),2),"—")</f>
        <v/>
      </c>
      <c r="I437" s="2" t="inlineStr">
        <is>
          <t>spreadsheet</t>
        </is>
      </c>
      <c r="J437" s="2" t="n"/>
      <c r="K437" s="14" t="inlineStr">
        <is>
          <t>example formula (Claude): check it, or replace it with your own</t>
        </is>
      </c>
    </row>
    <row r="438">
      <c r="A438" s="2" t="n">
        <v>437</v>
      </c>
      <c r="B438" s="2" t="inlineStr">
        <is>
          <t>economy.segment</t>
        </is>
      </c>
      <c r="C438" s="2" t="inlineStr">
        <is>
          <t>alex</t>
        </is>
      </c>
      <c r="D438" s="2" t="inlineStr">
        <is>
          <t>ev</t>
        </is>
      </c>
      <c r="E438" s="2" t="inlineStr">
        <is>
          <t>segment ending 2024-09-20 23:55</t>
        </is>
      </c>
      <c r="F438" s="2" t="n"/>
      <c r="G438" s="2" t="inlineStr">
        <is>
          <t>kWh/100km</t>
        </is>
      </c>
      <c r="H438" s="18">
        <f>IFERROR(ROUND(INDEX(fillups!$N$2:$N$596,MATCH("ev|2024-09-20 23:55",fillups!$O$2:$O$596,0)),2),"—")</f>
        <v/>
      </c>
      <c r="I438" s="2" t="inlineStr">
        <is>
          <t>spreadsheet</t>
        </is>
      </c>
      <c r="J438" s="2" t="n"/>
      <c r="K438" s="14" t="inlineStr">
        <is>
          <t>example formula (Claude): check it, or replace it with your own</t>
        </is>
      </c>
    </row>
    <row r="439">
      <c r="A439" s="2" t="n">
        <v>438</v>
      </c>
      <c r="B439" s="2" t="inlineStr">
        <is>
          <t>economy.segment</t>
        </is>
      </c>
      <c r="C439" s="2" t="inlineStr">
        <is>
          <t>alex</t>
        </is>
      </c>
      <c r="D439" s="2" t="inlineStr">
        <is>
          <t>ev</t>
        </is>
      </c>
      <c r="E439" s="2" t="inlineStr">
        <is>
          <t>segment ending 2024-09-24 23:45</t>
        </is>
      </c>
      <c r="F439" s="2" t="n"/>
      <c r="G439" s="2" t="inlineStr">
        <is>
          <t>kWh/100km</t>
        </is>
      </c>
      <c r="H439" s="18">
        <f>IFERROR(ROUND(INDEX(fillups!$N$2:$N$596,MATCH("ev|2024-09-24 23:45",fillups!$O$2:$O$596,0)),2),"—")</f>
        <v/>
      </c>
      <c r="I439" s="2" t="inlineStr">
        <is>
          <t>spreadsheet</t>
        </is>
      </c>
      <c r="J439" s="2" t="n"/>
      <c r="K439" s="14" t="inlineStr">
        <is>
          <t>example formula (Claude): check it, or replace it with your own</t>
        </is>
      </c>
    </row>
    <row r="440">
      <c r="A440" s="2" t="n">
        <v>439</v>
      </c>
      <c r="B440" s="2" t="inlineStr">
        <is>
          <t>economy.segment</t>
        </is>
      </c>
      <c r="C440" s="2" t="inlineStr">
        <is>
          <t>alex</t>
        </is>
      </c>
      <c r="D440" s="2" t="inlineStr">
        <is>
          <t>ev</t>
        </is>
      </c>
      <c r="E440" s="2" t="inlineStr">
        <is>
          <t>segment ending 2024-09-27 23:30</t>
        </is>
      </c>
      <c r="F440" s="2" t="n"/>
      <c r="G440" s="2" t="inlineStr">
        <is>
          <t>kWh/100km</t>
        </is>
      </c>
      <c r="H440" s="18">
        <f>IFERROR(ROUND(INDEX(fillups!$N$2:$N$596,MATCH("ev|2024-09-27 23:30",fillups!$O$2:$O$596,0)),2),"—")</f>
        <v/>
      </c>
      <c r="I440" s="2" t="inlineStr">
        <is>
          <t>spreadsheet</t>
        </is>
      </c>
      <c r="J440" s="2" t="n"/>
      <c r="K440" s="14" t="inlineStr">
        <is>
          <t>example formula (Claude): check it, or replace it with your own</t>
        </is>
      </c>
    </row>
    <row r="441">
      <c r="A441" s="2" t="n">
        <v>440</v>
      </c>
      <c r="B441" s="2" t="inlineStr">
        <is>
          <t>economy.segment</t>
        </is>
      </c>
      <c r="C441" s="2" t="inlineStr">
        <is>
          <t>alex</t>
        </is>
      </c>
      <c r="D441" s="2" t="inlineStr">
        <is>
          <t>ev</t>
        </is>
      </c>
      <c r="E441" s="2" t="inlineStr">
        <is>
          <t>segment ending 2024-09-29 23:49</t>
        </is>
      </c>
      <c r="F441" s="2" t="n"/>
      <c r="G441" s="2" t="inlineStr">
        <is>
          <t>kWh/100km</t>
        </is>
      </c>
      <c r="H441" s="18">
        <f>IFERROR(ROUND(INDEX(fillups!$N$2:$N$596,MATCH("ev|2024-09-29 23:49",fillups!$O$2:$O$596,0)),2),"—")</f>
        <v/>
      </c>
      <c r="I441" s="2" t="inlineStr">
        <is>
          <t>spreadsheet</t>
        </is>
      </c>
      <c r="J441" s="2" t="n"/>
      <c r="K441" s="14" t="inlineStr">
        <is>
          <t>example formula (Claude): check it, or replace it with your own</t>
        </is>
      </c>
    </row>
    <row r="442">
      <c r="A442" s="2" t="n">
        <v>441</v>
      </c>
      <c r="B442" s="2" t="inlineStr">
        <is>
          <t>economy.segment</t>
        </is>
      </c>
      <c r="C442" s="2" t="inlineStr">
        <is>
          <t>alex</t>
        </is>
      </c>
      <c r="D442" s="2" t="inlineStr">
        <is>
          <t>ev</t>
        </is>
      </c>
      <c r="E442" s="2" t="inlineStr">
        <is>
          <t>segment ending 2024-10-01 23:55</t>
        </is>
      </c>
      <c r="F442" s="2" t="n"/>
      <c r="G442" s="2" t="inlineStr">
        <is>
          <t>kWh/100km</t>
        </is>
      </c>
      <c r="H442" s="18">
        <f>IFERROR(ROUND(INDEX(fillups!$N$2:$N$596,MATCH("ev|2024-10-01 23:55",fillups!$O$2:$O$596,0)),2),"—")</f>
        <v/>
      </c>
      <c r="I442" s="2" t="inlineStr">
        <is>
          <t>spreadsheet</t>
        </is>
      </c>
      <c r="J442" s="2" t="n"/>
      <c r="K442" s="14" t="inlineStr">
        <is>
          <t>example formula (Claude): check it, or replace it with your own</t>
        </is>
      </c>
    </row>
    <row r="443">
      <c r="A443" s="2" t="n">
        <v>442</v>
      </c>
      <c r="B443" s="2" t="inlineStr">
        <is>
          <t>economy.segment</t>
        </is>
      </c>
      <c r="C443" s="2" t="inlineStr">
        <is>
          <t>alex</t>
        </is>
      </c>
      <c r="D443" s="2" t="inlineStr">
        <is>
          <t>ev</t>
        </is>
      </c>
      <c r="E443" s="2" t="inlineStr">
        <is>
          <t>segment ending 2024-10-04 23:39</t>
        </is>
      </c>
      <c r="F443" s="2" t="n"/>
      <c r="G443" s="2" t="inlineStr">
        <is>
          <t>kWh/100km</t>
        </is>
      </c>
      <c r="H443" s="18">
        <f>IFERROR(ROUND(INDEX(fillups!$N$2:$N$596,MATCH("ev|2024-10-04 23:39",fillups!$O$2:$O$596,0)),2),"—")</f>
        <v/>
      </c>
      <c r="I443" s="2" t="inlineStr">
        <is>
          <t>spreadsheet</t>
        </is>
      </c>
      <c r="J443" s="2" t="n"/>
      <c r="K443" s="14" t="inlineStr">
        <is>
          <t>example formula (Claude): check it, or replace it with your own</t>
        </is>
      </c>
    </row>
    <row r="444">
      <c r="A444" s="2" t="n">
        <v>443</v>
      </c>
      <c r="B444" s="2" t="inlineStr">
        <is>
          <t>economy.segment</t>
        </is>
      </c>
      <c r="C444" s="2" t="inlineStr">
        <is>
          <t>alex</t>
        </is>
      </c>
      <c r="D444" s="2" t="inlineStr">
        <is>
          <t>ev</t>
        </is>
      </c>
      <c r="E444" s="2" t="inlineStr">
        <is>
          <t>segment ending 2024-10-07 23:41</t>
        </is>
      </c>
      <c r="F444" s="2" t="n"/>
      <c r="G444" s="2" t="inlineStr">
        <is>
          <t>kWh/100km</t>
        </is>
      </c>
      <c r="H444" s="18">
        <f>IFERROR(ROUND(INDEX(fillups!$N$2:$N$596,MATCH("ev|2024-10-07 23:41",fillups!$O$2:$O$596,0)),2),"—")</f>
        <v/>
      </c>
      <c r="I444" s="2" t="inlineStr">
        <is>
          <t>spreadsheet</t>
        </is>
      </c>
      <c r="J444" s="2" t="n"/>
      <c r="K444" s="14" t="inlineStr">
        <is>
          <t>example formula (Claude): check it, or replace it with your own</t>
        </is>
      </c>
    </row>
    <row r="445">
      <c r="A445" s="2" t="n">
        <v>444</v>
      </c>
      <c r="B445" s="2" t="inlineStr">
        <is>
          <t>economy.segment</t>
        </is>
      </c>
      <c r="C445" s="2" t="inlineStr">
        <is>
          <t>alex</t>
        </is>
      </c>
      <c r="D445" s="2" t="inlineStr">
        <is>
          <t>ev</t>
        </is>
      </c>
      <c r="E445" s="2" t="inlineStr">
        <is>
          <t>segment ending 2024-10-09 23:45</t>
        </is>
      </c>
      <c r="F445" s="2" t="n"/>
      <c r="G445" s="2" t="inlineStr">
        <is>
          <t>kWh/100km</t>
        </is>
      </c>
      <c r="H445" s="18">
        <f>IFERROR(ROUND(INDEX(fillups!$N$2:$N$596,MATCH("ev|2024-10-09 23:45",fillups!$O$2:$O$596,0)),2),"—")</f>
        <v/>
      </c>
      <c r="I445" s="2" t="inlineStr">
        <is>
          <t>spreadsheet</t>
        </is>
      </c>
      <c r="J445" s="2" t="n"/>
      <c r="K445" s="14" t="inlineStr">
        <is>
          <t>example formula (Claude): check it, or replace it with your own</t>
        </is>
      </c>
    </row>
    <row r="446">
      <c r="A446" s="2" t="n">
        <v>445</v>
      </c>
      <c r="B446" s="2" t="inlineStr">
        <is>
          <t>economy.segment</t>
        </is>
      </c>
      <c r="C446" s="2" t="inlineStr">
        <is>
          <t>alex</t>
        </is>
      </c>
      <c r="D446" s="2" t="inlineStr">
        <is>
          <t>ev</t>
        </is>
      </c>
      <c r="E446" s="2" t="inlineStr">
        <is>
          <t>segment ending 2024-10-11 23:52</t>
        </is>
      </c>
      <c r="F446" s="2" t="n"/>
      <c r="G446" s="2" t="inlineStr">
        <is>
          <t>kWh/100km</t>
        </is>
      </c>
      <c r="H446" s="18">
        <f>IFERROR(ROUND(INDEX(fillups!$N$2:$N$596,MATCH("ev|2024-10-11 23:52",fillups!$O$2:$O$596,0)),2),"—")</f>
        <v/>
      </c>
      <c r="I446" s="2" t="inlineStr">
        <is>
          <t>spreadsheet</t>
        </is>
      </c>
      <c r="J446" s="2" t="n"/>
      <c r="K446" s="14" t="inlineStr">
        <is>
          <t>example formula (Claude): check it, or replace it with your own</t>
        </is>
      </c>
    </row>
    <row r="447">
      <c r="A447" s="2" t="n">
        <v>446</v>
      </c>
      <c r="B447" s="2" t="inlineStr">
        <is>
          <t>economy.segment</t>
        </is>
      </c>
      <c r="C447" s="2" t="inlineStr">
        <is>
          <t>alex</t>
        </is>
      </c>
      <c r="D447" s="2" t="inlineStr">
        <is>
          <t>ev</t>
        </is>
      </c>
      <c r="E447" s="2" t="inlineStr">
        <is>
          <t>segment ending 2024-10-15 23:48</t>
        </is>
      </c>
      <c r="F447" s="2" t="n"/>
      <c r="G447" s="2" t="inlineStr">
        <is>
          <t>kWh/100km</t>
        </is>
      </c>
      <c r="H447" s="18">
        <f>IFERROR(ROUND(INDEX(fillups!$N$2:$N$596,MATCH("ev|2024-10-15 23:48",fillups!$O$2:$O$596,0)),2),"—")</f>
        <v/>
      </c>
      <c r="I447" s="2" t="inlineStr">
        <is>
          <t>spreadsheet</t>
        </is>
      </c>
      <c r="J447" s="2" t="n"/>
      <c r="K447" s="14" t="inlineStr">
        <is>
          <t>example formula (Claude): check it, or replace it with your own</t>
        </is>
      </c>
    </row>
    <row r="448">
      <c r="A448" s="2" t="n">
        <v>447</v>
      </c>
      <c r="B448" s="2" t="inlineStr">
        <is>
          <t>economy.segment</t>
        </is>
      </c>
      <c r="C448" s="2" t="inlineStr">
        <is>
          <t>alex</t>
        </is>
      </c>
      <c r="D448" s="2" t="inlineStr">
        <is>
          <t>ev</t>
        </is>
      </c>
      <c r="E448" s="2" t="inlineStr">
        <is>
          <t>segment ending 2024-10-19 23:32</t>
        </is>
      </c>
      <c r="F448" s="2" t="n"/>
      <c r="G448" s="2" t="inlineStr">
        <is>
          <t>kWh/100km</t>
        </is>
      </c>
      <c r="H448" s="18">
        <f>IFERROR(ROUND(INDEX(fillups!$N$2:$N$596,MATCH("ev|2024-10-19 23:32",fillups!$O$2:$O$596,0)),2),"—")</f>
        <v/>
      </c>
      <c r="I448" s="2" t="inlineStr">
        <is>
          <t>spreadsheet</t>
        </is>
      </c>
      <c r="J448" s="2" t="n"/>
      <c r="K448" s="14" t="inlineStr">
        <is>
          <t>example formula (Claude): check it, or replace it with your own</t>
        </is>
      </c>
    </row>
    <row r="449">
      <c r="A449" s="2" t="n">
        <v>448</v>
      </c>
      <c r="B449" s="2" t="inlineStr">
        <is>
          <t>economy.segment</t>
        </is>
      </c>
      <c r="C449" s="2" t="inlineStr">
        <is>
          <t>alex</t>
        </is>
      </c>
      <c r="D449" s="2" t="inlineStr">
        <is>
          <t>ev</t>
        </is>
      </c>
      <c r="E449" s="2" t="inlineStr">
        <is>
          <t>segment ending 2024-10-23 23:59</t>
        </is>
      </c>
      <c r="F449" s="2" t="n"/>
      <c r="G449" s="2" t="inlineStr">
        <is>
          <t>kWh/100km</t>
        </is>
      </c>
      <c r="H449" s="18">
        <f>IFERROR(ROUND(INDEX(fillups!$N$2:$N$596,MATCH("ev|2024-10-23 23:59",fillups!$O$2:$O$596,0)),2),"—")</f>
        <v/>
      </c>
      <c r="I449" s="2" t="inlineStr">
        <is>
          <t>spreadsheet</t>
        </is>
      </c>
      <c r="J449" s="2" t="n"/>
      <c r="K449" s="14" t="inlineStr">
        <is>
          <t>example formula (Claude): check it, or replace it with your own</t>
        </is>
      </c>
    </row>
    <row r="450">
      <c r="A450" s="2" t="n">
        <v>449</v>
      </c>
      <c r="B450" s="2" t="inlineStr">
        <is>
          <t>economy.segment</t>
        </is>
      </c>
      <c r="C450" s="2" t="inlineStr">
        <is>
          <t>alex</t>
        </is>
      </c>
      <c r="D450" s="2" t="inlineStr">
        <is>
          <t>ev</t>
        </is>
      </c>
      <c r="E450" s="2" t="inlineStr">
        <is>
          <t>segment ending 2024-10-27 23:43</t>
        </is>
      </c>
      <c r="F450" s="2" t="n"/>
      <c r="G450" s="2" t="inlineStr">
        <is>
          <t>kWh/100km</t>
        </is>
      </c>
      <c r="H450" s="18">
        <f>IFERROR(ROUND(INDEX(fillups!$N$2:$N$596,MATCH("ev|2024-10-27 23:43",fillups!$O$2:$O$596,0)),2),"—")</f>
        <v/>
      </c>
      <c r="I450" s="2" t="inlineStr">
        <is>
          <t>spreadsheet</t>
        </is>
      </c>
      <c r="J450" s="2" t="n"/>
      <c r="K450" s="14" t="inlineStr">
        <is>
          <t>example formula (Claude): check it, or replace it with your own</t>
        </is>
      </c>
    </row>
    <row r="451">
      <c r="A451" s="2" t="n">
        <v>450</v>
      </c>
      <c r="B451" s="2" t="inlineStr">
        <is>
          <t>economy.segment</t>
        </is>
      </c>
      <c r="C451" s="2" t="inlineStr">
        <is>
          <t>alex</t>
        </is>
      </c>
      <c r="D451" s="2" t="inlineStr">
        <is>
          <t>ev</t>
        </is>
      </c>
      <c r="E451" s="2" t="inlineStr">
        <is>
          <t>segment ending 2024-10-29 23:57</t>
        </is>
      </c>
      <c r="F451" s="2" t="n"/>
      <c r="G451" s="2" t="inlineStr">
        <is>
          <t>kWh/100km</t>
        </is>
      </c>
      <c r="H451" s="18">
        <f>IFERROR(ROUND(INDEX(fillups!$N$2:$N$596,MATCH("ev|2024-10-29 23:57",fillups!$O$2:$O$596,0)),2),"—")</f>
        <v/>
      </c>
      <c r="I451" s="2" t="inlineStr">
        <is>
          <t>spreadsheet</t>
        </is>
      </c>
      <c r="J451" s="2" t="n"/>
      <c r="K451" s="14" t="inlineStr">
        <is>
          <t>example formula (Claude): check it, or replace it with your own</t>
        </is>
      </c>
    </row>
    <row r="452">
      <c r="A452" s="2" t="n">
        <v>451</v>
      </c>
      <c r="B452" s="2" t="inlineStr">
        <is>
          <t>economy.segment</t>
        </is>
      </c>
      <c r="C452" s="2" t="inlineStr">
        <is>
          <t>alex</t>
        </is>
      </c>
      <c r="D452" s="2" t="inlineStr">
        <is>
          <t>ev</t>
        </is>
      </c>
      <c r="E452" s="2" t="inlineStr">
        <is>
          <t>segment ending 2024-10-31 23:30</t>
        </is>
      </c>
      <c r="F452" s="2" t="n"/>
      <c r="G452" s="2" t="inlineStr">
        <is>
          <t>kWh/100km</t>
        </is>
      </c>
      <c r="H452" s="18">
        <f>IFERROR(ROUND(INDEX(fillups!$N$2:$N$596,MATCH("ev|2024-10-31 23:30",fillups!$O$2:$O$596,0)),2),"—")</f>
        <v/>
      </c>
      <c r="I452" s="2" t="inlineStr">
        <is>
          <t>spreadsheet</t>
        </is>
      </c>
      <c r="J452" s="2" t="n"/>
      <c r="K452" s="14" t="inlineStr">
        <is>
          <t>example formula (Claude): check it, or replace it with your own</t>
        </is>
      </c>
    </row>
    <row r="453">
      <c r="A453" s="2" t="n">
        <v>452</v>
      </c>
      <c r="B453" s="2" t="inlineStr">
        <is>
          <t>economy.segment</t>
        </is>
      </c>
      <c r="C453" s="2" t="inlineStr">
        <is>
          <t>alex</t>
        </is>
      </c>
      <c r="D453" s="2" t="inlineStr">
        <is>
          <t>ev</t>
        </is>
      </c>
      <c r="E453" s="2" t="inlineStr">
        <is>
          <t>segment ending 2024-11-03 23:38</t>
        </is>
      </c>
      <c r="F453" s="2" t="n"/>
      <c r="G453" s="2" t="inlineStr">
        <is>
          <t>kWh/100km</t>
        </is>
      </c>
      <c r="H453" s="18">
        <f>IFERROR(ROUND(INDEX(fillups!$N$2:$N$596,MATCH("ev|2024-11-03 23:38",fillups!$O$2:$O$596,0)),2),"—")</f>
        <v/>
      </c>
      <c r="I453" s="2" t="inlineStr">
        <is>
          <t>spreadsheet</t>
        </is>
      </c>
      <c r="J453" s="2" t="n"/>
      <c r="K453" s="14" t="inlineStr">
        <is>
          <t>example formula (Claude): check it, or replace it with your own</t>
        </is>
      </c>
    </row>
    <row r="454">
      <c r="A454" s="2" t="n">
        <v>453</v>
      </c>
      <c r="B454" s="2" t="inlineStr">
        <is>
          <t>economy.segment</t>
        </is>
      </c>
      <c r="C454" s="2" t="inlineStr">
        <is>
          <t>alex</t>
        </is>
      </c>
      <c r="D454" s="2" t="inlineStr">
        <is>
          <t>ev</t>
        </is>
      </c>
      <c r="E454" s="2" t="inlineStr">
        <is>
          <t>segment ending 2024-11-06 23:46</t>
        </is>
      </c>
      <c r="F454" s="2" t="n"/>
      <c r="G454" s="2" t="inlineStr">
        <is>
          <t>kWh/100km</t>
        </is>
      </c>
      <c r="H454" s="18">
        <f>IFERROR(ROUND(INDEX(fillups!$N$2:$N$596,MATCH("ev|2024-11-06 23:46",fillups!$O$2:$O$596,0)),2),"—")</f>
        <v/>
      </c>
      <c r="I454" s="2" t="inlineStr">
        <is>
          <t>spreadsheet</t>
        </is>
      </c>
      <c r="J454" s="2" t="n"/>
      <c r="K454" s="14" t="inlineStr">
        <is>
          <t>example formula (Claude): check it, or replace it with your own</t>
        </is>
      </c>
    </row>
    <row r="455">
      <c r="A455" s="2" t="n">
        <v>454</v>
      </c>
      <c r="B455" s="2" t="inlineStr">
        <is>
          <t>economy.segment</t>
        </is>
      </c>
      <c r="C455" s="2" t="inlineStr">
        <is>
          <t>alex</t>
        </is>
      </c>
      <c r="D455" s="2" t="inlineStr">
        <is>
          <t>ev</t>
        </is>
      </c>
      <c r="E455" s="2" t="inlineStr">
        <is>
          <t>segment ending 2024-11-09 23:51</t>
        </is>
      </c>
      <c r="F455" s="2" t="n"/>
      <c r="G455" s="2" t="inlineStr">
        <is>
          <t>kWh/100km</t>
        </is>
      </c>
      <c r="H455" s="18">
        <f>IFERROR(ROUND(INDEX(fillups!$N$2:$N$596,MATCH("ev|2024-11-09 23:51",fillups!$O$2:$O$596,0)),2),"—")</f>
        <v/>
      </c>
      <c r="I455" s="2" t="inlineStr">
        <is>
          <t>spreadsheet</t>
        </is>
      </c>
      <c r="J455" s="2" t="n"/>
      <c r="K455" s="14" t="inlineStr">
        <is>
          <t>example formula (Claude): check it, or replace it with your own</t>
        </is>
      </c>
    </row>
    <row r="456">
      <c r="A456" s="2" t="n">
        <v>455</v>
      </c>
      <c r="B456" s="2" t="inlineStr">
        <is>
          <t>economy.segment</t>
        </is>
      </c>
      <c r="C456" s="2" t="inlineStr">
        <is>
          <t>alex</t>
        </is>
      </c>
      <c r="D456" s="2" t="inlineStr">
        <is>
          <t>ev</t>
        </is>
      </c>
      <c r="E456" s="2" t="inlineStr">
        <is>
          <t>segment ending 2024-11-12 23:57</t>
        </is>
      </c>
      <c r="F456" s="2" t="n"/>
      <c r="G456" s="2" t="inlineStr">
        <is>
          <t>kWh/100km</t>
        </is>
      </c>
      <c r="H456" s="18">
        <f>IFERROR(ROUND(INDEX(fillups!$N$2:$N$596,MATCH("ev|2024-11-12 23:57",fillups!$O$2:$O$596,0)),2),"—")</f>
        <v/>
      </c>
      <c r="I456" s="2" t="inlineStr">
        <is>
          <t>spreadsheet</t>
        </is>
      </c>
      <c r="J456" s="2" t="n"/>
      <c r="K456" s="14" t="inlineStr">
        <is>
          <t>example formula (Claude): check it, or replace it with your own</t>
        </is>
      </c>
    </row>
    <row r="457">
      <c r="A457" s="2" t="n">
        <v>456</v>
      </c>
      <c r="B457" s="2" t="inlineStr">
        <is>
          <t>economy.segment</t>
        </is>
      </c>
      <c r="C457" s="2" t="inlineStr">
        <is>
          <t>alex</t>
        </is>
      </c>
      <c r="D457" s="2" t="inlineStr">
        <is>
          <t>ev</t>
        </is>
      </c>
      <c r="E457" s="2" t="inlineStr">
        <is>
          <t>segment ending 2024-11-14 23:48</t>
        </is>
      </c>
      <c r="F457" s="2" t="n"/>
      <c r="G457" s="2" t="inlineStr">
        <is>
          <t>kWh/100km</t>
        </is>
      </c>
      <c r="H457" s="18">
        <f>IFERROR(ROUND(INDEX(fillups!$N$2:$N$596,MATCH("ev|2024-11-14 23:48",fillups!$O$2:$O$596,0)),2),"—")</f>
        <v/>
      </c>
      <c r="I457" s="2" t="inlineStr">
        <is>
          <t>spreadsheet</t>
        </is>
      </c>
      <c r="J457" s="2" t="n"/>
      <c r="K457" s="14" t="inlineStr">
        <is>
          <t>example formula (Claude): check it, or replace it with your own</t>
        </is>
      </c>
    </row>
    <row r="458">
      <c r="A458" s="2" t="n">
        <v>457</v>
      </c>
      <c r="B458" s="2" t="inlineStr">
        <is>
          <t>economy.segment</t>
        </is>
      </c>
      <c r="C458" s="2" t="inlineStr">
        <is>
          <t>alex</t>
        </is>
      </c>
      <c r="D458" s="2" t="inlineStr">
        <is>
          <t>ev</t>
        </is>
      </c>
      <c r="E458" s="2" t="inlineStr">
        <is>
          <t>segment ending 2024-11-20 23:58</t>
        </is>
      </c>
      <c r="F458" s="2" t="n"/>
      <c r="G458" s="2" t="inlineStr">
        <is>
          <t>kWh/100km</t>
        </is>
      </c>
      <c r="H458" s="18">
        <f>IFERROR(ROUND(INDEX(fillups!$N$2:$N$596,MATCH("ev|2024-11-20 23:58",fillups!$O$2:$O$596,0)),2),"—")</f>
        <v/>
      </c>
      <c r="I458" s="2" t="inlineStr">
        <is>
          <t>spreadsheet</t>
        </is>
      </c>
      <c r="J458" s="2" t="n"/>
      <c r="K458" s="14" t="inlineStr">
        <is>
          <t>example formula (Claude): check it, or replace it with your own</t>
        </is>
      </c>
    </row>
    <row r="459">
      <c r="A459" s="2" t="n">
        <v>458</v>
      </c>
      <c r="B459" s="2" t="inlineStr">
        <is>
          <t>economy.segment</t>
        </is>
      </c>
      <c r="C459" s="2" t="inlineStr">
        <is>
          <t>alex</t>
        </is>
      </c>
      <c r="D459" s="2" t="inlineStr">
        <is>
          <t>ev</t>
        </is>
      </c>
      <c r="E459" s="2" t="inlineStr">
        <is>
          <t>segment ending 2024-11-21 23:40</t>
        </is>
      </c>
      <c r="F459" s="2" t="n"/>
      <c r="G459" s="2" t="inlineStr">
        <is>
          <t>kWh/100km</t>
        </is>
      </c>
      <c r="H459" s="18">
        <f>IFERROR(ROUND(INDEX(fillups!$N$2:$N$596,MATCH("ev|2024-11-21 23:40",fillups!$O$2:$O$596,0)),2),"—")</f>
        <v/>
      </c>
      <c r="I459" s="2" t="inlineStr">
        <is>
          <t>spreadsheet</t>
        </is>
      </c>
      <c r="J459" s="2" t="n"/>
      <c r="K459" s="14" t="inlineStr">
        <is>
          <t>example formula (Claude): check it, or replace it with your own</t>
        </is>
      </c>
    </row>
    <row r="460">
      <c r="A460" s="2" t="n">
        <v>459</v>
      </c>
      <c r="B460" s="2" t="inlineStr">
        <is>
          <t>economy.segment</t>
        </is>
      </c>
      <c r="C460" s="2" t="inlineStr">
        <is>
          <t>alex</t>
        </is>
      </c>
      <c r="D460" s="2" t="inlineStr">
        <is>
          <t>ev</t>
        </is>
      </c>
      <c r="E460" s="2" t="inlineStr">
        <is>
          <t>segment ending 2024-11-24 23:33</t>
        </is>
      </c>
      <c r="F460" s="2" t="n"/>
      <c r="G460" s="2" t="inlineStr">
        <is>
          <t>kWh/100km</t>
        </is>
      </c>
      <c r="H460" s="18">
        <f>IFERROR(ROUND(INDEX(fillups!$N$2:$N$596,MATCH("ev|2024-11-24 23:33",fillups!$O$2:$O$596,0)),2),"—")</f>
        <v/>
      </c>
      <c r="I460" s="2" t="inlineStr">
        <is>
          <t>spreadsheet</t>
        </is>
      </c>
      <c r="J460" s="2" t="n"/>
      <c r="K460" s="14" t="inlineStr">
        <is>
          <t>example formula (Claude): check it, or replace it with your own</t>
        </is>
      </c>
    </row>
    <row r="461">
      <c r="A461" s="2" t="n">
        <v>460</v>
      </c>
      <c r="B461" s="2" t="inlineStr">
        <is>
          <t>economy.segment</t>
        </is>
      </c>
      <c r="C461" s="2" t="inlineStr">
        <is>
          <t>alex</t>
        </is>
      </c>
      <c r="D461" s="2" t="inlineStr">
        <is>
          <t>ev</t>
        </is>
      </c>
      <c r="E461" s="2" t="inlineStr">
        <is>
          <t>segment ending 2024-11-28 23:42</t>
        </is>
      </c>
      <c r="F461" s="2" t="n"/>
      <c r="G461" s="2" t="inlineStr">
        <is>
          <t>kWh/100km</t>
        </is>
      </c>
      <c r="H461" s="18">
        <f>IFERROR(ROUND(INDEX(fillups!$N$2:$N$596,MATCH("ev|2024-11-28 23:42",fillups!$O$2:$O$596,0)),2),"—")</f>
        <v/>
      </c>
      <c r="I461" s="2" t="inlineStr">
        <is>
          <t>spreadsheet</t>
        </is>
      </c>
      <c r="J461" s="2" t="n"/>
      <c r="K461" s="14" t="inlineStr">
        <is>
          <t>example formula (Claude): check it, or replace it with your own</t>
        </is>
      </c>
    </row>
    <row r="462">
      <c r="A462" s="2" t="n">
        <v>461</v>
      </c>
      <c r="B462" s="2" t="inlineStr">
        <is>
          <t>economy.segment</t>
        </is>
      </c>
      <c r="C462" s="2" t="inlineStr">
        <is>
          <t>alex</t>
        </is>
      </c>
      <c r="D462" s="2" t="inlineStr">
        <is>
          <t>ev</t>
        </is>
      </c>
      <c r="E462" s="2" t="inlineStr">
        <is>
          <t>segment ending 2024-12-01 23:57</t>
        </is>
      </c>
      <c r="F462" s="2" t="n"/>
      <c r="G462" s="2" t="inlineStr">
        <is>
          <t>kWh/100km</t>
        </is>
      </c>
      <c r="H462" s="18">
        <f>IFERROR(ROUND(INDEX(fillups!$N$2:$N$596,MATCH("ev|2024-12-01 23:57",fillups!$O$2:$O$596,0)),2),"—")</f>
        <v/>
      </c>
      <c r="I462" s="2" t="inlineStr">
        <is>
          <t>spreadsheet</t>
        </is>
      </c>
      <c r="J462" s="2" t="n"/>
      <c r="K462" s="14" t="inlineStr">
        <is>
          <t>example formula (Claude): check it, or replace it with your own</t>
        </is>
      </c>
    </row>
    <row r="463">
      <c r="A463" s="2" t="n">
        <v>462</v>
      </c>
      <c r="B463" s="2" t="inlineStr">
        <is>
          <t>economy.segment</t>
        </is>
      </c>
      <c r="C463" s="2" t="inlineStr">
        <is>
          <t>alex</t>
        </is>
      </c>
      <c r="D463" s="2" t="inlineStr">
        <is>
          <t>ev</t>
        </is>
      </c>
      <c r="E463" s="2" t="inlineStr">
        <is>
          <t>segment ending 2024-12-04 23:43</t>
        </is>
      </c>
      <c r="F463" s="2" t="n"/>
      <c r="G463" s="2" t="inlineStr">
        <is>
          <t>kWh/100km</t>
        </is>
      </c>
      <c r="H463" s="18">
        <f>IFERROR(ROUND(INDEX(fillups!$N$2:$N$596,MATCH("ev|2024-12-04 23:43",fillups!$O$2:$O$596,0)),2),"—")</f>
        <v/>
      </c>
      <c r="I463" s="2" t="inlineStr">
        <is>
          <t>spreadsheet</t>
        </is>
      </c>
      <c r="J463" s="2" t="n"/>
      <c r="K463" s="14" t="inlineStr">
        <is>
          <t>example formula (Claude): check it, or replace it with your own</t>
        </is>
      </c>
    </row>
    <row r="464">
      <c r="A464" s="2" t="n">
        <v>463</v>
      </c>
      <c r="B464" s="2" t="inlineStr">
        <is>
          <t>economy.segment</t>
        </is>
      </c>
      <c r="C464" s="2" t="inlineStr">
        <is>
          <t>alex</t>
        </is>
      </c>
      <c r="D464" s="2" t="inlineStr">
        <is>
          <t>ev</t>
        </is>
      </c>
      <c r="E464" s="2" t="inlineStr">
        <is>
          <t>segment ending 2024-12-08 23:33</t>
        </is>
      </c>
      <c r="F464" s="2" t="n"/>
      <c r="G464" s="2" t="inlineStr">
        <is>
          <t>kWh/100km</t>
        </is>
      </c>
      <c r="H464" s="18">
        <f>IFERROR(ROUND(INDEX(fillups!$N$2:$N$596,MATCH("ev|2024-12-08 23:33",fillups!$O$2:$O$596,0)),2),"—")</f>
        <v/>
      </c>
      <c r="I464" s="2" t="inlineStr">
        <is>
          <t>spreadsheet</t>
        </is>
      </c>
      <c r="J464" s="2" t="n"/>
      <c r="K464" s="14" t="inlineStr">
        <is>
          <t>example formula (Claude): check it, or replace it with your own</t>
        </is>
      </c>
    </row>
    <row r="465">
      <c r="A465" s="2" t="n">
        <v>464</v>
      </c>
      <c r="B465" s="2" t="inlineStr">
        <is>
          <t>economy.segment</t>
        </is>
      </c>
      <c r="C465" s="2" t="inlineStr">
        <is>
          <t>alex</t>
        </is>
      </c>
      <c r="D465" s="2" t="inlineStr">
        <is>
          <t>ev</t>
        </is>
      </c>
      <c r="E465" s="2" t="inlineStr">
        <is>
          <t>segment ending 2024-12-13 23:53</t>
        </is>
      </c>
      <c r="F465" s="2" t="n"/>
      <c r="G465" s="2" t="inlineStr">
        <is>
          <t>kWh/100km</t>
        </is>
      </c>
      <c r="H465" s="18">
        <f>IFERROR(ROUND(INDEX(fillups!$N$2:$N$596,MATCH("ev|2024-12-13 23:53",fillups!$O$2:$O$596,0)),2),"—")</f>
        <v/>
      </c>
      <c r="I465" s="2" t="inlineStr">
        <is>
          <t>spreadsheet</t>
        </is>
      </c>
      <c r="J465" s="2" t="n"/>
      <c r="K465" s="14" t="inlineStr">
        <is>
          <t>example formula (Claude): check it, or replace it with your own</t>
        </is>
      </c>
    </row>
    <row r="466">
      <c r="A466" s="2" t="n">
        <v>465</v>
      </c>
      <c r="B466" s="2" t="inlineStr">
        <is>
          <t>economy.segment</t>
        </is>
      </c>
      <c r="C466" s="2" t="inlineStr">
        <is>
          <t>alex</t>
        </is>
      </c>
      <c r="D466" s="2" t="inlineStr">
        <is>
          <t>ev</t>
        </is>
      </c>
      <c r="E466" s="2" t="inlineStr">
        <is>
          <t>segment ending 2024-12-18 23:58</t>
        </is>
      </c>
      <c r="F466" s="2" t="n"/>
      <c r="G466" s="2" t="inlineStr">
        <is>
          <t>kWh/100km</t>
        </is>
      </c>
      <c r="H466" s="18">
        <f>IFERROR(ROUND(INDEX(fillups!$N$2:$N$596,MATCH("ev|2024-12-18 23:58",fillups!$O$2:$O$596,0)),2),"—")</f>
        <v/>
      </c>
      <c r="I466" s="2" t="inlineStr">
        <is>
          <t>spreadsheet</t>
        </is>
      </c>
      <c r="J466" s="2" t="n"/>
      <c r="K466" s="14" t="inlineStr">
        <is>
          <t>example formula (Claude): check it, or replace it with your own</t>
        </is>
      </c>
    </row>
    <row r="467">
      <c r="A467" s="2" t="n">
        <v>466</v>
      </c>
      <c r="B467" s="2" t="inlineStr">
        <is>
          <t>economy.segment</t>
        </is>
      </c>
      <c r="C467" s="2" t="inlineStr">
        <is>
          <t>alex</t>
        </is>
      </c>
      <c r="D467" s="2" t="inlineStr">
        <is>
          <t>ev</t>
        </is>
      </c>
      <c r="E467" s="2" t="inlineStr">
        <is>
          <t>segment ending 2024-12-21 23:53</t>
        </is>
      </c>
      <c r="F467" s="2" t="n"/>
      <c r="G467" s="2" t="inlineStr">
        <is>
          <t>kWh/100km</t>
        </is>
      </c>
      <c r="H467" s="18">
        <f>IFERROR(ROUND(INDEX(fillups!$N$2:$N$596,MATCH("ev|2024-12-21 23:53",fillups!$O$2:$O$596,0)),2),"—")</f>
        <v/>
      </c>
      <c r="I467" s="2" t="inlineStr">
        <is>
          <t>spreadsheet</t>
        </is>
      </c>
      <c r="J467" s="2" t="n"/>
      <c r="K467" s="14" t="inlineStr">
        <is>
          <t>example formula (Claude): check it, or replace it with your own</t>
        </is>
      </c>
    </row>
    <row r="468">
      <c r="A468" s="2" t="n">
        <v>467</v>
      </c>
      <c r="B468" s="2" t="inlineStr">
        <is>
          <t>economy.segment</t>
        </is>
      </c>
      <c r="C468" s="2" t="inlineStr">
        <is>
          <t>alex</t>
        </is>
      </c>
      <c r="D468" s="2" t="inlineStr">
        <is>
          <t>ev</t>
        </is>
      </c>
      <c r="E468" s="2" t="inlineStr">
        <is>
          <t>segment ending 2024-12-24 23:42</t>
        </is>
      </c>
      <c r="F468" s="2" t="n"/>
      <c r="G468" s="2" t="inlineStr">
        <is>
          <t>kWh/100km</t>
        </is>
      </c>
      <c r="H468" s="18">
        <f>IFERROR(ROUND(INDEX(fillups!$N$2:$N$596,MATCH("ev|2024-12-24 23:42",fillups!$O$2:$O$596,0)),2),"—")</f>
        <v/>
      </c>
      <c r="I468" s="2" t="inlineStr">
        <is>
          <t>spreadsheet</t>
        </is>
      </c>
      <c r="J468" s="2" t="n"/>
      <c r="K468" s="14" t="inlineStr">
        <is>
          <t>example formula (Claude): check it, or replace it with your own</t>
        </is>
      </c>
    </row>
    <row r="469">
      <c r="A469" s="2" t="n">
        <v>468</v>
      </c>
      <c r="B469" s="2" t="inlineStr">
        <is>
          <t>economy.segment</t>
        </is>
      </c>
      <c r="C469" s="2" t="inlineStr">
        <is>
          <t>alex</t>
        </is>
      </c>
      <c r="D469" s="2" t="inlineStr">
        <is>
          <t>ev</t>
        </is>
      </c>
      <c r="E469" s="2" t="inlineStr">
        <is>
          <t>segment ending 2025-01-05 23:33</t>
        </is>
      </c>
      <c r="F469" s="2" t="n"/>
      <c r="G469" s="2" t="inlineStr">
        <is>
          <t>kWh/100km</t>
        </is>
      </c>
      <c r="H469" s="18">
        <f>IFERROR(ROUND(INDEX(fillups!$N$2:$N$596,MATCH("ev|2025-01-05 23:33",fillups!$O$2:$O$596,0)),2),"—")</f>
        <v/>
      </c>
      <c r="I469" s="2" t="inlineStr">
        <is>
          <t>spreadsheet</t>
        </is>
      </c>
      <c r="J469" s="2" t="n"/>
      <c r="K469" s="14" t="inlineStr">
        <is>
          <t>example formula (Claude): check it, or replace it with your own</t>
        </is>
      </c>
    </row>
    <row r="470">
      <c r="A470" s="2" t="n">
        <v>469</v>
      </c>
      <c r="B470" s="2" t="inlineStr">
        <is>
          <t>economy.segment</t>
        </is>
      </c>
      <c r="C470" s="2" t="inlineStr">
        <is>
          <t>alex</t>
        </is>
      </c>
      <c r="D470" s="2" t="inlineStr">
        <is>
          <t>ev</t>
        </is>
      </c>
      <c r="E470" s="2" t="inlineStr">
        <is>
          <t>segment ending 2025-01-09 23:35</t>
        </is>
      </c>
      <c r="F470" s="2" t="n"/>
      <c r="G470" s="2" t="inlineStr">
        <is>
          <t>kWh/100km</t>
        </is>
      </c>
      <c r="H470" s="18">
        <f>IFERROR(ROUND(INDEX(fillups!$N$2:$N$596,MATCH("ev|2025-01-09 23:35",fillups!$O$2:$O$596,0)),2),"—")</f>
        <v/>
      </c>
      <c r="I470" s="2" t="inlineStr">
        <is>
          <t>spreadsheet</t>
        </is>
      </c>
      <c r="J470" s="2" t="n"/>
      <c r="K470" s="14" t="inlineStr">
        <is>
          <t>example formula (Claude): check it, or replace it with your own</t>
        </is>
      </c>
    </row>
    <row r="471">
      <c r="A471" s="2" t="n">
        <v>470</v>
      </c>
      <c r="B471" s="2" t="inlineStr">
        <is>
          <t>economy.segment</t>
        </is>
      </c>
      <c r="C471" s="2" t="inlineStr">
        <is>
          <t>alex</t>
        </is>
      </c>
      <c r="D471" s="2" t="inlineStr">
        <is>
          <t>ev</t>
        </is>
      </c>
      <c r="E471" s="2" t="inlineStr">
        <is>
          <t>segment ending 2025-01-10 23:42</t>
        </is>
      </c>
      <c r="F471" s="2" t="n"/>
      <c r="G471" s="2" t="inlineStr">
        <is>
          <t>kWh/100km</t>
        </is>
      </c>
      <c r="H471" s="18">
        <f>IFERROR(ROUND(INDEX(fillups!$N$2:$N$596,MATCH("ev|2025-01-10 23:42",fillups!$O$2:$O$596,0)),2),"—")</f>
        <v/>
      </c>
      <c r="I471" s="2" t="inlineStr">
        <is>
          <t>spreadsheet</t>
        </is>
      </c>
      <c r="J471" s="2" t="n"/>
      <c r="K471" s="14" t="inlineStr">
        <is>
          <t>example formula (Claude): check it, or replace it with your own</t>
        </is>
      </c>
    </row>
    <row r="472">
      <c r="A472" s="2" t="n">
        <v>471</v>
      </c>
      <c r="B472" s="2" t="inlineStr">
        <is>
          <t>economy.segment</t>
        </is>
      </c>
      <c r="C472" s="2" t="inlineStr">
        <is>
          <t>alex</t>
        </is>
      </c>
      <c r="D472" s="2" t="inlineStr">
        <is>
          <t>ev</t>
        </is>
      </c>
      <c r="E472" s="2" t="inlineStr">
        <is>
          <t>segment ending 2025-01-13 23:56</t>
        </is>
      </c>
      <c r="F472" s="2" t="n"/>
      <c r="G472" s="2" t="inlineStr">
        <is>
          <t>kWh/100km</t>
        </is>
      </c>
      <c r="H472" s="18">
        <f>IFERROR(ROUND(INDEX(fillups!$N$2:$N$596,MATCH("ev|2025-01-13 23:56",fillups!$O$2:$O$596,0)),2),"—")</f>
        <v/>
      </c>
      <c r="I472" s="2" t="inlineStr">
        <is>
          <t>spreadsheet</t>
        </is>
      </c>
      <c r="J472" s="2" t="n"/>
      <c r="K472" s="14" t="inlineStr">
        <is>
          <t>example formula (Claude): check it, or replace it with your own</t>
        </is>
      </c>
    </row>
    <row r="473">
      <c r="A473" s="2" t="n">
        <v>472</v>
      </c>
      <c r="B473" s="2" t="inlineStr">
        <is>
          <t>economy.segment</t>
        </is>
      </c>
      <c r="C473" s="2" t="inlineStr">
        <is>
          <t>alex</t>
        </is>
      </c>
      <c r="D473" s="2" t="inlineStr">
        <is>
          <t>ev</t>
        </is>
      </c>
      <c r="E473" s="2" t="inlineStr">
        <is>
          <t>segment ending 2025-01-15 23:57</t>
        </is>
      </c>
      <c r="F473" s="2" t="n"/>
      <c r="G473" s="2" t="inlineStr">
        <is>
          <t>kWh/100km</t>
        </is>
      </c>
      <c r="H473" s="18">
        <f>IFERROR(ROUND(INDEX(fillups!$N$2:$N$596,MATCH("ev|2025-01-15 23:57",fillups!$O$2:$O$596,0)),2),"—")</f>
        <v/>
      </c>
      <c r="I473" s="2" t="inlineStr">
        <is>
          <t>spreadsheet</t>
        </is>
      </c>
      <c r="J473" s="2" t="n"/>
      <c r="K473" s="14" t="inlineStr">
        <is>
          <t>example formula (Claude): check it, or replace it with your own</t>
        </is>
      </c>
    </row>
    <row r="474">
      <c r="A474" s="2" t="n">
        <v>473</v>
      </c>
      <c r="B474" s="2" t="inlineStr">
        <is>
          <t>economy.segment</t>
        </is>
      </c>
      <c r="C474" s="2" t="inlineStr">
        <is>
          <t>alex</t>
        </is>
      </c>
      <c r="D474" s="2" t="inlineStr">
        <is>
          <t>ev</t>
        </is>
      </c>
      <c r="E474" s="2" t="inlineStr">
        <is>
          <t>segment ending 2025-01-18 23:54</t>
        </is>
      </c>
      <c r="F474" s="2" t="n"/>
      <c r="G474" s="2" t="inlineStr">
        <is>
          <t>kWh/100km</t>
        </is>
      </c>
      <c r="H474" s="18">
        <f>IFERROR(ROUND(INDEX(fillups!$N$2:$N$596,MATCH("ev|2025-01-18 23:54",fillups!$O$2:$O$596,0)),2),"—")</f>
        <v/>
      </c>
      <c r="I474" s="2" t="inlineStr">
        <is>
          <t>spreadsheet</t>
        </is>
      </c>
      <c r="J474" s="2" t="n"/>
      <c r="K474" s="14" t="inlineStr">
        <is>
          <t>example formula (Claude): check it, or replace it with your own</t>
        </is>
      </c>
    </row>
    <row r="475">
      <c r="A475" s="2" t="n">
        <v>474</v>
      </c>
      <c r="B475" s="2" t="inlineStr">
        <is>
          <t>economy.segment</t>
        </is>
      </c>
      <c r="C475" s="2" t="inlineStr">
        <is>
          <t>alex</t>
        </is>
      </c>
      <c r="D475" s="2" t="inlineStr">
        <is>
          <t>ev</t>
        </is>
      </c>
      <c r="E475" s="2" t="inlineStr">
        <is>
          <t>segment ending 2025-01-21 23:57</t>
        </is>
      </c>
      <c r="F475" s="2" t="n"/>
      <c r="G475" s="2" t="inlineStr">
        <is>
          <t>kWh/100km</t>
        </is>
      </c>
      <c r="H475" s="18">
        <f>IFERROR(ROUND(INDEX(fillups!$N$2:$N$596,MATCH("ev|2025-01-21 23:57",fillups!$O$2:$O$596,0)),2),"—")</f>
        <v/>
      </c>
      <c r="I475" s="2" t="inlineStr">
        <is>
          <t>spreadsheet</t>
        </is>
      </c>
      <c r="J475" s="2" t="n"/>
      <c r="K475" s="14" t="inlineStr">
        <is>
          <t>example formula (Claude): check it, or replace it with your own</t>
        </is>
      </c>
    </row>
    <row r="476">
      <c r="A476" s="2" t="n">
        <v>475</v>
      </c>
      <c r="B476" s="2" t="inlineStr">
        <is>
          <t>economy.segment</t>
        </is>
      </c>
      <c r="C476" s="2" t="inlineStr">
        <is>
          <t>alex</t>
        </is>
      </c>
      <c r="D476" s="2" t="inlineStr">
        <is>
          <t>ev</t>
        </is>
      </c>
      <c r="E476" s="2" t="inlineStr">
        <is>
          <t>segment ending 2025-01-24 23:42</t>
        </is>
      </c>
      <c r="F476" s="2" t="n"/>
      <c r="G476" s="2" t="inlineStr">
        <is>
          <t>kWh/100km</t>
        </is>
      </c>
      <c r="H476" s="18">
        <f>IFERROR(ROUND(INDEX(fillups!$N$2:$N$596,MATCH("ev|2025-01-24 23:42",fillups!$O$2:$O$596,0)),2),"—")</f>
        <v/>
      </c>
      <c r="I476" s="2" t="inlineStr">
        <is>
          <t>spreadsheet</t>
        </is>
      </c>
      <c r="J476" s="2" t="n"/>
      <c r="K476" s="14" t="inlineStr">
        <is>
          <t>example formula (Claude): check it, or replace it with your own</t>
        </is>
      </c>
    </row>
    <row r="477">
      <c r="A477" s="2" t="n">
        <v>476</v>
      </c>
      <c r="B477" s="2" t="inlineStr">
        <is>
          <t>economy.segment</t>
        </is>
      </c>
      <c r="C477" s="2" t="inlineStr">
        <is>
          <t>alex</t>
        </is>
      </c>
      <c r="D477" s="2" t="inlineStr">
        <is>
          <t>ev</t>
        </is>
      </c>
      <c r="E477" s="2" t="inlineStr">
        <is>
          <t>segment ending 2025-01-26 23:59</t>
        </is>
      </c>
      <c r="F477" s="2" t="n"/>
      <c r="G477" s="2" t="inlineStr">
        <is>
          <t>kWh/100km</t>
        </is>
      </c>
      <c r="H477" s="18">
        <f>IFERROR(ROUND(INDEX(fillups!$N$2:$N$596,MATCH("ev|2025-01-26 23:59",fillups!$O$2:$O$596,0)),2),"—")</f>
        <v/>
      </c>
      <c r="I477" s="2" t="inlineStr">
        <is>
          <t>spreadsheet</t>
        </is>
      </c>
      <c r="J477" s="2" t="n"/>
      <c r="K477" s="14" t="inlineStr">
        <is>
          <t>example formula (Claude): check it, or replace it with your own</t>
        </is>
      </c>
    </row>
    <row r="478">
      <c r="A478" s="2" t="n">
        <v>477</v>
      </c>
      <c r="B478" s="2" t="inlineStr">
        <is>
          <t>economy.segment</t>
        </is>
      </c>
      <c r="C478" s="2" t="inlineStr">
        <is>
          <t>alex</t>
        </is>
      </c>
      <c r="D478" s="2" t="inlineStr">
        <is>
          <t>ev</t>
        </is>
      </c>
      <c r="E478" s="2" t="inlineStr">
        <is>
          <t>segment ending 2025-02-02 23:58</t>
        </is>
      </c>
      <c r="F478" s="2" t="n"/>
      <c r="G478" s="2" t="inlineStr">
        <is>
          <t>kWh/100km</t>
        </is>
      </c>
      <c r="H478" s="18">
        <f>IFERROR(ROUND(INDEX(fillups!$N$2:$N$596,MATCH("ev|2025-02-02 23:58",fillups!$O$2:$O$596,0)),2),"—")</f>
        <v/>
      </c>
      <c r="I478" s="2" t="inlineStr">
        <is>
          <t>spreadsheet</t>
        </is>
      </c>
      <c r="J478" s="2" t="n"/>
      <c r="K478" s="14" t="inlineStr">
        <is>
          <t>example formula (Claude): check it, or replace it with your own</t>
        </is>
      </c>
    </row>
    <row r="479">
      <c r="A479" s="2" t="n">
        <v>478</v>
      </c>
      <c r="B479" s="2" t="inlineStr">
        <is>
          <t>economy.segment</t>
        </is>
      </c>
      <c r="C479" s="2" t="inlineStr">
        <is>
          <t>alex</t>
        </is>
      </c>
      <c r="D479" s="2" t="inlineStr">
        <is>
          <t>ev</t>
        </is>
      </c>
      <c r="E479" s="2" t="inlineStr">
        <is>
          <t>segment ending 2025-02-05 23:54</t>
        </is>
      </c>
      <c r="F479" s="2" t="n"/>
      <c r="G479" s="2" t="inlineStr">
        <is>
          <t>kWh/100km</t>
        </is>
      </c>
      <c r="H479" s="18">
        <f>IFERROR(ROUND(INDEX(fillups!$N$2:$N$596,MATCH("ev|2025-02-05 23:54",fillups!$O$2:$O$596,0)),2),"—")</f>
        <v/>
      </c>
      <c r="I479" s="2" t="inlineStr">
        <is>
          <t>spreadsheet</t>
        </is>
      </c>
      <c r="J479" s="2" t="n"/>
      <c r="K479" s="14" t="inlineStr">
        <is>
          <t>example formula (Claude): check it, or replace it with your own</t>
        </is>
      </c>
    </row>
    <row r="480">
      <c r="A480" s="2" t="n">
        <v>479</v>
      </c>
      <c r="B480" s="2" t="inlineStr">
        <is>
          <t>economy.segment</t>
        </is>
      </c>
      <c r="C480" s="2" t="inlineStr">
        <is>
          <t>alex</t>
        </is>
      </c>
      <c r="D480" s="2" t="inlineStr">
        <is>
          <t>ev</t>
        </is>
      </c>
      <c r="E480" s="2" t="inlineStr">
        <is>
          <t>segment ending 2025-02-09 23:56</t>
        </is>
      </c>
      <c r="F480" s="2" t="n"/>
      <c r="G480" s="2" t="inlineStr">
        <is>
          <t>kWh/100km</t>
        </is>
      </c>
      <c r="H480" s="18">
        <f>IFERROR(ROUND(INDEX(fillups!$N$2:$N$596,MATCH("ev|2025-02-09 23:56",fillups!$O$2:$O$596,0)),2),"—")</f>
        <v/>
      </c>
      <c r="I480" s="2" t="inlineStr">
        <is>
          <t>spreadsheet</t>
        </is>
      </c>
      <c r="J480" s="2" t="n"/>
      <c r="K480" s="14" t="inlineStr">
        <is>
          <t>example formula (Claude): check it, or replace it with your own</t>
        </is>
      </c>
    </row>
    <row r="481">
      <c r="A481" s="2" t="n">
        <v>480</v>
      </c>
      <c r="B481" s="2" t="inlineStr">
        <is>
          <t>economy.segment</t>
        </is>
      </c>
      <c r="C481" s="2" t="inlineStr">
        <is>
          <t>alex</t>
        </is>
      </c>
      <c r="D481" s="2" t="inlineStr">
        <is>
          <t>ev</t>
        </is>
      </c>
      <c r="E481" s="2" t="inlineStr">
        <is>
          <t>segment ending 2025-02-11 23:49</t>
        </is>
      </c>
      <c r="F481" s="2" t="n"/>
      <c r="G481" s="2" t="inlineStr">
        <is>
          <t>kWh/100km</t>
        </is>
      </c>
      <c r="H481" s="18">
        <f>IFERROR(ROUND(INDEX(fillups!$N$2:$N$596,MATCH("ev|2025-02-11 23:49",fillups!$O$2:$O$596,0)),2),"—")</f>
        <v/>
      </c>
      <c r="I481" s="2" t="inlineStr">
        <is>
          <t>spreadsheet</t>
        </is>
      </c>
      <c r="J481" s="2" t="n"/>
      <c r="K481" s="14" t="inlineStr">
        <is>
          <t>example formula (Claude): check it, or replace it with your own</t>
        </is>
      </c>
    </row>
    <row r="482">
      <c r="A482" s="2" t="n">
        <v>481</v>
      </c>
      <c r="B482" s="2" t="inlineStr">
        <is>
          <t>economy.segment</t>
        </is>
      </c>
      <c r="C482" s="2" t="inlineStr">
        <is>
          <t>alex</t>
        </is>
      </c>
      <c r="D482" s="2" t="inlineStr">
        <is>
          <t>ev</t>
        </is>
      </c>
      <c r="E482" s="2" t="inlineStr">
        <is>
          <t>segment ending 2025-02-16 23:49</t>
        </is>
      </c>
      <c r="F482" s="2" t="n"/>
      <c r="G482" s="2" t="inlineStr">
        <is>
          <t>kWh/100km</t>
        </is>
      </c>
      <c r="H482" s="18">
        <f>IFERROR(ROUND(INDEX(fillups!$N$2:$N$596,MATCH("ev|2025-02-16 23:49",fillups!$O$2:$O$596,0)),2),"—")</f>
        <v/>
      </c>
      <c r="I482" s="2" t="inlineStr">
        <is>
          <t>spreadsheet</t>
        </is>
      </c>
      <c r="J482" s="2" t="n"/>
      <c r="K482" s="14" t="inlineStr">
        <is>
          <t>example formula (Claude): check it, or replace it with your own</t>
        </is>
      </c>
    </row>
    <row r="483">
      <c r="A483" s="2" t="n">
        <v>482</v>
      </c>
      <c r="B483" s="2" t="inlineStr">
        <is>
          <t>economy.segment</t>
        </is>
      </c>
      <c r="C483" s="2" t="inlineStr">
        <is>
          <t>alex</t>
        </is>
      </c>
      <c r="D483" s="2" t="inlineStr">
        <is>
          <t>ev</t>
        </is>
      </c>
      <c r="E483" s="2" t="inlineStr">
        <is>
          <t>segment ending 2025-02-18 23:52</t>
        </is>
      </c>
      <c r="F483" s="2" t="n"/>
      <c r="G483" s="2" t="inlineStr">
        <is>
          <t>kWh/100km</t>
        </is>
      </c>
      <c r="H483" s="18">
        <f>IFERROR(ROUND(INDEX(fillups!$N$2:$N$596,MATCH("ev|2025-02-18 23:52",fillups!$O$2:$O$596,0)),2),"—")</f>
        <v/>
      </c>
      <c r="I483" s="2" t="inlineStr">
        <is>
          <t>spreadsheet</t>
        </is>
      </c>
      <c r="J483" s="2" t="n"/>
      <c r="K483" s="14" t="inlineStr">
        <is>
          <t>example formula (Claude): check it, or replace it with your own</t>
        </is>
      </c>
    </row>
    <row r="484">
      <c r="A484" s="2" t="n">
        <v>483</v>
      </c>
      <c r="B484" s="2" t="inlineStr">
        <is>
          <t>economy.segment</t>
        </is>
      </c>
      <c r="C484" s="2" t="inlineStr">
        <is>
          <t>alex</t>
        </is>
      </c>
      <c r="D484" s="2" t="inlineStr">
        <is>
          <t>ev</t>
        </is>
      </c>
      <c r="E484" s="2" t="inlineStr">
        <is>
          <t>segment ending 2025-02-19 23:38</t>
        </is>
      </c>
      <c r="F484" s="2" t="n"/>
      <c r="G484" s="2" t="inlineStr">
        <is>
          <t>kWh/100km</t>
        </is>
      </c>
      <c r="H484" s="18">
        <f>IFERROR(ROUND(INDEX(fillups!$N$2:$N$596,MATCH("ev|2025-02-19 23:38",fillups!$O$2:$O$596,0)),2),"—")</f>
        <v/>
      </c>
      <c r="I484" s="2" t="inlineStr">
        <is>
          <t>spreadsheet</t>
        </is>
      </c>
      <c r="J484" s="2" t="n"/>
      <c r="K484" s="14" t="inlineStr">
        <is>
          <t>example formula (Claude): check it, or replace it with your own</t>
        </is>
      </c>
    </row>
    <row r="485">
      <c r="A485" s="2" t="n">
        <v>484</v>
      </c>
      <c r="B485" s="2" t="inlineStr">
        <is>
          <t>economy.segment</t>
        </is>
      </c>
      <c r="C485" s="2" t="inlineStr">
        <is>
          <t>alex</t>
        </is>
      </c>
      <c r="D485" s="2" t="inlineStr">
        <is>
          <t>ev</t>
        </is>
      </c>
      <c r="E485" s="2" t="inlineStr">
        <is>
          <t>segment ending 2025-02-22 23:42</t>
        </is>
      </c>
      <c r="F485" s="2" t="n"/>
      <c r="G485" s="2" t="inlineStr">
        <is>
          <t>kWh/100km</t>
        </is>
      </c>
      <c r="H485" s="18">
        <f>IFERROR(ROUND(INDEX(fillups!$N$2:$N$596,MATCH("ev|2025-02-22 23:42",fillups!$O$2:$O$596,0)),2),"—")</f>
        <v/>
      </c>
      <c r="I485" s="2" t="inlineStr">
        <is>
          <t>spreadsheet</t>
        </is>
      </c>
      <c r="J485" s="2" t="n"/>
      <c r="K485" s="14" t="inlineStr">
        <is>
          <t>example formula (Claude): check it, or replace it with your own</t>
        </is>
      </c>
    </row>
    <row r="486">
      <c r="A486" s="2" t="n">
        <v>485</v>
      </c>
      <c r="B486" s="2" t="inlineStr">
        <is>
          <t>economy.segment</t>
        </is>
      </c>
      <c r="C486" s="2" t="inlineStr">
        <is>
          <t>alex</t>
        </is>
      </c>
      <c r="D486" s="2" t="inlineStr">
        <is>
          <t>ev</t>
        </is>
      </c>
      <c r="E486" s="2" t="inlineStr">
        <is>
          <t>segment ending 2025-02-25 23:41</t>
        </is>
      </c>
      <c r="F486" s="2" t="n"/>
      <c r="G486" s="2" t="inlineStr">
        <is>
          <t>kWh/100km</t>
        </is>
      </c>
      <c r="H486" s="18">
        <f>IFERROR(ROUND(INDEX(fillups!$N$2:$N$596,MATCH("ev|2025-02-25 23:41",fillups!$O$2:$O$596,0)),2),"—")</f>
        <v/>
      </c>
      <c r="I486" s="2" t="inlineStr">
        <is>
          <t>spreadsheet</t>
        </is>
      </c>
      <c r="J486" s="2" t="n"/>
      <c r="K486" s="14" t="inlineStr">
        <is>
          <t>example formula (Claude): check it, or replace it with your own</t>
        </is>
      </c>
    </row>
    <row r="487">
      <c r="A487" s="2" t="n">
        <v>486</v>
      </c>
      <c r="B487" s="2" t="inlineStr">
        <is>
          <t>economy.segment</t>
        </is>
      </c>
      <c r="C487" s="2" t="inlineStr">
        <is>
          <t>alex</t>
        </is>
      </c>
      <c r="D487" s="2" t="inlineStr">
        <is>
          <t>ev</t>
        </is>
      </c>
      <c r="E487" s="2" t="inlineStr">
        <is>
          <t>segment ending 2025-02-28 23:30</t>
        </is>
      </c>
      <c r="F487" s="2" t="n"/>
      <c r="G487" s="2" t="inlineStr">
        <is>
          <t>kWh/100km</t>
        </is>
      </c>
      <c r="H487" s="18">
        <f>IFERROR(ROUND(INDEX(fillups!$N$2:$N$596,MATCH("ev|2025-02-28 23:30",fillups!$O$2:$O$596,0)),2),"—")</f>
        <v/>
      </c>
      <c r="I487" s="2" t="inlineStr">
        <is>
          <t>spreadsheet</t>
        </is>
      </c>
      <c r="J487" s="2" t="n"/>
      <c r="K487" s="14" t="inlineStr">
        <is>
          <t>example formula (Claude): check it, or replace it with your own</t>
        </is>
      </c>
    </row>
    <row r="488">
      <c r="A488" s="2" t="n">
        <v>487</v>
      </c>
      <c r="B488" s="2" t="inlineStr">
        <is>
          <t>economy.segment</t>
        </is>
      </c>
      <c r="C488" s="2" t="inlineStr">
        <is>
          <t>alex</t>
        </is>
      </c>
      <c r="D488" s="2" t="inlineStr">
        <is>
          <t>ev</t>
        </is>
      </c>
      <c r="E488" s="2" t="inlineStr">
        <is>
          <t>segment ending 2025-03-03 23:44</t>
        </is>
      </c>
      <c r="F488" s="2" t="n"/>
      <c r="G488" s="2" t="inlineStr">
        <is>
          <t>kWh/100km</t>
        </is>
      </c>
      <c r="H488" s="18">
        <f>IFERROR(ROUND(INDEX(fillups!$N$2:$N$596,MATCH("ev|2025-03-03 23:44",fillups!$O$2:$O$596,0)),2),"—")</f>
        <v/>
      </c>
      <c r="I488" s="2" t="inlineStr">
        <is>
          <t>spreadsheet</t>
        </is>
      </c>
      <c r="J488" s="2" t="n"/>
      <c r="K488" s="14" t="inlineStr">
        <is>
          <t>example formula (Claude): check it, or replace it with your own</t>
        </is>
      </c>
    </row>
    <row r="489">
      <c r="A489" s="2" t="n">
        <v>488</v>
      </c>
      <c r="B489" s="2" t="inlineStr">
        <is>
          <t>economy.segment</t>
        </is>
      </c>
      <c r="C489" s="2" t="inlineStr">
        <is>
          <t>alex</t>
        </is>
      </c>
      <c r="D489" s="2" t="inlineStr">
        <is>
          <t>ev</t>
        </is>
      </c>
      <c r="E489" s="2" t="inlineStr">
        <is>
          <t>segment ending 2025-03-07 23:52</t>
        </is>
      </c>
      <c r="F489" s="2" t="n"/>
      <c r="G489" s="2" t="inlineStr">
        <is>
          <t>kWh/100km</t>
        </is>
      </c>
      <c r="H489" s="18">
        <f>IFERROR(ROUND(INDEX(fillups!$N$2:$N$596,MATCH("ev|2025-03-07 23:52",fillups!$O$2:$O$596,0)),2),"—")</f>
        <v/>
      </c>
      <c r="I489" s="2" t="inlineStr">
        <is>
          <t>spreadsheet</t>
        </is>
      </c>
      <c r="J489" s="2" t="n"/>
      <c r="K489" s="14" t="inlineStr">
        <is>
          <t>example formula (Claude): check it, or replace it with your own</t>
        </is>
      </c>
    </row>
    <row r="490">
      <c r="A490" s="2" t="n">
        <v>489</v>
      </c>
      <c r="B490" s="2" t="inlineStr">
        <is>
          <t>economy.segment</t>
        </is>
      </c>
      <c r="C490" s="2" t="inlineStr">
        <is>
          <t>alex</t>
        </is>
      </c>
      <c r="D490" s="2" t="inlineStr">
        <is>
          <t>ev</t>
        </is>
      </c>
      <c r="E490" s="2" t="inlineStr">
        <is>
          <t>segment ending 2025-03-13 23:35</t>
        </is>
      </c>
      <c r="F490" s="2" t="n"/>
      <c r="G490" s="2" t="inlineStr">
        <is>
          <t>kWh/100km</t>
        </is>
      </c>
      <c r="H490" s="18">
        <f>IFERROR(ROUND(INDEX(fillups!$N$2:$N$596,MATCH("ev|2025-03-13 23:35",fillups!$O$2:$O$596,0)),2),"—")</f>
        <v/>
      </c>
      <c r="I490" s="2" t="inlineStr">
        <is>
          <t>spreadsheet</t>
        </is>
      </c>
      <c r="J490" s="2" t="n"/>
      <c r="K490" s="14" t="inlineStr">
        <is>
          <t>example formula (Claude): check it, or replace it with your own</t>
        </is>
      </c>
    </row>
    <row r="491">
      <c r="A491" s="2" t="n">
        <v>490</v>
      </c>
      <c r="B491" s="2" t="inlineStr">
        <is>
          <t>economy.segment</t>
        </is>
      </c>
      <c r="C491" s="2" t="inlineStr">
        <is>
          <t>alex</t>
        </is>
      </c>
      <c r="D491" s="2" t="inlineStr">
        <is>
          <t>ev</t>
        </is>
      </c>
      <c r="E491" s="2" t="inlineStr">
        <is>
          <t>segment ending 2025-03-16 23:30</t>
        </is>
      </c>
      <c r="F491" s="2" t="n"/>
      <c r="G491" s="2" t="inlineStr">
        <is>
          <t>kWh/100km</t>
        </is>
      </c>
      <c r="H491" s="18">
        <f>IFERROR(ROUND(INDEX(fillups!$N$2:$N$596,MATCH("ev|2025-03-16 23:30",fillups!$O$2:$O$596,0)),2),"—")</f>
        <v/>
      </c>
      <c r="I491" s="2" t="inlineStr">
        <is>
          <t>spreadsheet</t>
        </is>
      </c>
      <c r="J491" s="2" t="n"/>
      <c r="K491" s="14" t="inlineStr">
        <is>
          <t>example formula (Claude): check it, or replace it with your own</t>
        </is>
      </c>
    </row>
    <row r="492">
      <c r="A492" s="2" t="n">
        <v>491</v>
      </c>
      <c r="B492" s="2" t="inlineStr">
        <is>
          <t>economy.segment</t>
        </is>
      </c>
      <c r="C492" s="2" t="inlineStr">
        <is>
          <t>alex</t>
        </is>
      </c>
      <c r="D492" s="2" t="inlineStr">
        <is>
          <t>ev</t>
        </is>
      </c>
      <c r="E492" s="2" t="inlineStr">
        <is>
          <t>segment ending 2025-03-20 23:55</t>
        </is>
      </c>
      <c r="F492" s="2" t="n"/>
      <c r="G492" s="2" t="inlineStr">
        <is>
          <t>kWh/100km</t>
        </is>
      </c>
      <c r="H492" s="18">
        <f>IFERROR(ROUND(INDEX(fillups!$N$2:$N$596,MATCH("ev|2025-03-20 23:55",fillups!$O$2:$O$596,0)),2),"—")</f>
        <v/>
      </c>
      <c r="I492" s="2" t="inlineStr">
        <is>
          <t>spreadsheet</t>
        </is>
      </c>
      <c r="J492" s="2" t="n"/>
      <c r="K492" s="14" t="inlineStr">
        <is>
          <t>example formula (Claude): check it, or replace it with your own</t>
        </is>
      </c>
    </row>
    <row r="493">
      <c r="A493" s="2" t="n">
        <v>492</v>
      </c>
      <c r="B493" s="2" t="inlineStr">
        <is>
          <t>economy.segment</t>
        </is>
      </c>
      <c r="C493" s="2" t="inlineStr">
        <is>
          <t>alex</t>
        </is>
      </c>
      <c r="D493" s="2" t="inlineStr">
        <is>
          <t>ev</t>
        </is>
      </c>
      <c r="E493" s="2" t="inlineStr">
        <is>
          <t>segment ending 2025-03-22 23:46</t>
        </is>
      </c>
      <c r="F493" s="2" t="n"/>
      <c r="G493" s="2" t="inlineStr">
        <is>
          <t>kWh/100km</t>
        </is>
      </c>
      <c r="H493" s="18">
        <f>IFERROR(ROUND(INDEX(fillups!$N$2:$N$596,MATCH("ev|2025-03-22 23:46",fillups!$O$2:$O$596,0)),2),"—")</f>
        <v/>
      </c>
      <c r="I493" s="2" t="inlineStr">
        <is>
          <t>spreadsheet</t>
        </is>
      </c>
      <c r="J493" s="2" t="n"/>
      <c r="K493" s="14" t="inlineStr">
        <is>
          <t>example formula (Claude): check it, or replace it with your own</t>
        </is>
      </c>
    </row>
    <row r="494">
      <c r="A494" s="2" t="n">
        <v>493</v>
      </c>
      <c r="B494" s="2" t="inlineStr">
        <is>
          <t>economy.segment</t>
        </is>
      </c>
      <c r="C494" s="2" t="inlineStr">
        <is>
          <t>alex</t>
        </is>
      </c>
      <c r="D494" s="2" t="inlineStr">
        <is>
          <t>ev</t>
        </is>
      </c>
      <c r="E494" s="2" t="inlineStr">
        <is>
          <t>segment ending 2025-03-26 23:40</t>
        </is>
      </c>
      <c r="F494" s="2" t="n"/>
      <c r="G494" s="2" t="inlineStr">
        <is>
          <t>kWh/100km</t>
        </is>
      </c>
      <c r="H494" s="18">
        <f>IFERROR(ROUND(INDEX(fillups!$N$2:$N$596,MATCH("ev|2025-03-26 23:40",fillups!$O$2:$O$596,0)),2),"—")</f>
        <v/>
      </c>
      <c r="I494" s="2" t="inlineStr">
        <is>
          <t>spreadsheet</t>
        </is>
      </c>
      <c r="J494" s="2" t="n"/>
      <c r="K494" s="14" t="inlineStr">
        <is>
          <t>example formula (Claude): check it, or replace it with your own</t>
        </is>
      </c>
    </row>
    <row r="495">
      <c r="A495" s="2" t="n">
        <v>494</v>
      </c>
      <c r="B495" s="2" t="inlineStr">
        <is>
          <t>economy.segment</t>
        </is>
      </c>
      <c r="C495" s="2" t="inlineStr">
        <is>
          <t>alex</t>
        </is>
      </c>
      <c r="D495" s="2" t="inlineStr">
        <is>
          <t>ev</t>
        </is>
      </c>
      <c r="E495" s="2" t="inlineStr">
        <is>
          <t>segment ending 2025-03-29 23:48</t>
        </is>
      </c>
      <c r="F495" s="2" t="n"/>
      <c r="G495" s="2" t="inlineStr">
        <is>
          <t>kWh/100km</t>
        </is>
      </c>
      <c r="H495" s="18">
        <f>IFERROR(ROUND(INDEX(fillups!$N$2:$N$596,MATCH("ev|2025-03-29 23:48",fillups!$O$2:$O$596,0)),2),"—")</f>
        <v/>
      </c>
      <c r="I495" s="2" t="inlineStr">
        <is>
          <t>spreadsheet</t>
        </is>
      </c>
      <c r="J495" s="2" t="n"/>
      <c r="K495" s="14" t="inlineStr">
        <is>
          <t>example formula (Claude): check it, or replace it with your own</t>
        </is>
      </c>
    </row>
    <row r="496">
      <c r="A496" s="2" t="n">
        <v>495</v>
      </c>
      <c r="B496" s="2" t="inlineStr">
        <is>
          <t>economy.segment</t>
        </is>
      </c>
      <c r="C496" s="2" t="inlineStr">
        <is>
          <t>alex</t>
        </is>
      </c>
      <c r="D496" s="2" t="inlineStr">
        <is>
          <t>ev</t>
        </is>
      </c>
      <c r="E496" s="2" t="inlineStr">
        <is>
          <t>segment ending 2025-03-31 23:35</t>
        </is>
      </c>
      <c r="F496" s="2" t="n"/>
      <c r="G496" s="2" t="inlineStr">
        <is>
          <t>kWh/100km</t>
        </is>
      </c>
      <c r="H496" s="18">
        <f>IFERROR(ROUND(INDEX(fillups!$N$2:$N$596,MATCH("ev|2025-03-31 23:35",fillups!$O$2:$O$596,0)),2),"—")</f>
        <v/>
      </c>
      <c r="I496" s="2" t="inlineStr">
        <is>
          <t>spreadsheet</t>
        </is>
      </c>
      <c r="J496" s="2" t="n"/>
      <c r="K496" s="14" t="inlineStr">
        <is>
          <t>example formula (Claude): check it, or replace it with your own</t>
        </is>
      </c>
    </row>
    <row r="497">
      <c r="A497" s="2" t="n">
        <v>496</v>
      </c>
      <c r="B497" s="2" t="inlineStr">
        <is>
          <t>economy.segment</t>
        </is>
      </c>
      <c r="C497" s="2" t="inlineStr">
        <is>
          <t>alex</t>
        </is>
      </c>
      <c r="D497" s="2" t="inlineStr">
        <is>
          <t>ev</t>
        </is>
      </c>
      <c r="E497" s="2" t="inlineStr">
        <is>
          <t>segment ending 2025-04-04 23:50</t>
        </is>
      </c>
      <c r="F497" s="2" t="n"/>
      <c r="G497" s="2" t="inlineStr">
        <is>
          <t>kWh/100km</t>
        </is>
      </c>
      <c r="H497" s="18">
        <f>IFERROR(ROUND(INDEX(fillups!$N$2:$N$596,MATCH("ev|2025-04-04 23:50",fillups!$O$2:$O$596,0)),2),"—")</f>
        <v/>
      </c>
      <c r="I497" s="2" t="inlineStr">
        <is>
          <t>spreadsheet</t>
        </is>
      </c>
      <c r="J497" s="2" t="n"/>
      <c r="K497" s="14" t="inlineStr">
        <is>
          <t>example formula (Claude): check it, or replace it with your own</t>
        </is>
      </c>
    </row>
    <row r="498">
      <c r="A498" s="2" t="n">
        <v>497</v>
      </c>
      <c r="B498" s="2" t="inlineStr">
        <is>
          <t>economy.segment</t>
        </is>
      </c>
      <c r="C498" s="2" t="inlineStr">
        <is>
          <t>alex</t>
        </is>
      </c>
      <c r="D498" s="2" t="inlineStr">
        <is>
          <t>ev</t>
        </is>
      </c>
      <c r="E498" s="2" t="inlineStr">
        <is>
          <t>segment ending 2025-04-07 23:43</t>
        </is>
      </c>
      <c r="F498" s="2" t="n"/>
      <c r="G498" s="2" t="inlineStr">
        <is>
          <t>kWh/100km</t>
        </is>
      </c>
      <c r="H498" s="18">
        <f>IFERROR(ROUND(INDEX(fillups!$N$2:$N$596,MATCH("ev|2025-04-07 23:43",fillups!$O$2:$O$596,0)),2),"—")</f>
        <v/>
      </c>
      <c r="I498" s="2" t="inlineStr">
        <is>
          <t>spreadsheet</t>
        </is>
      </c>
      <c r="J498" s="2" t="n"/>
      <c r="K498" s="14" t="inlineStr">
        <is>
          <t>example formula (Claude): check it, or replace it with your own</t>
        </is>
      </c>
    </row>
    <row r="499">
      <c r="A499" s="2" t="n">
        <v>498</v>
      </c>
      <c r="B499" s="2" t="inlineStr">
        <is>
          <t>economy.segment</t>
        </is>
      </c>
      <c r="C499" s="2" t="inlineStr">
        <is>
          <t>alex</t>
        </is>
      </c>
      <c r="D499" s="2" t="inlineStr">
        <is>
          <t>ev</t>
        </is>
      </c>
      <c r="E499" s="2" t="inlineStr">
        <is>
          <t>segment ending 2025-04-10 23:56</t>
        </is>
      </c>
      <c r="F499" s="2" t="n"/>
      <c r="G499" s="2" t="inlineStr">
        <is>
          <t>kWh/100km</t>
        </is>
      </c>
      <c r="H499" s="18">
        <f>IFERROR(ROUND(INDEX(fillups!$N$2:$N$596,MATCH("ev|2025-04-10 23:56",fillups!$O$2:$O$596,0)),2),"—")</f>
        <v/>
      </c>
      <c r="I499" s="2" t="inlineStr">
        <is>
          <t>spreadsheet</t>
        </is>
      </c>
      <c r="J499" s="2" t="n"/>
      <c r="K499" s="14" t="inlineStr">
        <is>
          <t>example formula (Claude): check it, or replace it with your own</t>
        </is>
      </c>
    </row>
    <row r="500">
      <c r="A500" s="2" t="n">
        <v>499</v>
      </c>
      <c r="B500" s="2" t="inlineStr">
        <is>
          <t>economy.segment</t>
        </is>
      </c>
      <c r="C500" s="2" t="inlineStr">
        <is>
          <t>alex</t>
        </is>
      </c>
      <c r="D500" s="2" t="inlineStr">
        <is>
          <t>ev</t>
        </is>
      </c>
      <c r="E500" s="2" t="inlineStr">
        <is>
          <t>segment ending 2025-04-12 23:55</t>
        </is>
      </c>
      <c r="F500" s="2" t="n"/>
      <c r="G500" s="2" t="inlineStr">
        <is>
          <t>kWh/100km</t>
        </is>
      </c>
      <c r="H500" s="18">
        <f>IFERROR(ROUND(INDEX(fillups!$N$2:$N$596,MATCH("ev|2025-04-12 23:55",fillups!$O$2:$O$596,0)),2),"—")</f>
        <v/>
      </c>
      <c r="I500" s="2" t="inlineStr">
        <is>
          <t>spreadsheet</t>
        </is>
      </c>
      <c r="J500" s="2" t="n"/>
      <c r="K500" s="14" t="inlineStr">
        <is>
          <t>example formula (Claude): check it, or replace it with your own</t>
        </is>
      </c>
    </row>
    <row r="501">
      <c r="A501" s="2" t="n">
        <v>500</v>
      </c>
      <c r="B501" s="2" t="inlineStr">
        <is>
          <t>economy.segment</t>
        </is>
      </c>
      <c r="C501" s="2" t="inlineStr">
        <is>
          <t>alex</t>
        </is>
      </c>
      <c r="D501" s="2" t="inlineStr">
        <is>
          <t>ev</t>
        </is>
      </c>
      <c r="E501" s="2" t="inlineStr">
        <is>
          <t>segment ending 2025-04-15 23:34</t>
        </is>
      </c>
      <c r="F501" s="2" t="n"/>
      <c r="G501" s="2" t="inlineStr">
        <is>
          <t>kWh/100km</t>
        </is>
      </c>
      <c r="H501" s="18">
        <f>IFERROR(ROUND(INDEX(fillups!$N$2:$N$596,MATCH("ev|2025-04-15 23:34",fillups!$O$2:$O$596,0)),2),"—")</f>
        <v/>
      </c>
      <c r="I501" s="2" t="inlineStr">
        <is>
          <t>spreadsheet</t>
        </is>
      </c>
      <c r="J501" s="2" t="n"/>
      <c r="K501" s="14" t="inlineStr">
        <is>
          <t>example formula (Claude): check it, or replace it with your own</t>
        </is>
      </c>
    </row>
    <row r="502">
      <c r="A502" s="2" t="n">
        <v>501</v>
      </c>
      <c r="B502" s="2" t="inlineStr">
        <is>
          <t>economy.segment</t>
        </is>
      </c>
      <c r="C502" s="2" t="inlineStr">
        <is>
          <t>alex</t>
        </is>
      </c>
      <c r="D502" s="2" t="inlineStr">
        <is>
          <t>ev</t>
        </is>
      </c>
      <c r="E502" s="2" t="inlineStr">
        <is>
          <t>segment ending 2025-04-18 23:50</t>
        </is>
      </c>
      <c r="F502" s="2" t="n"/>
      <c r="G502" s="2" t="inlineStr">
        <is>
          <t>kWh/100km</t>
        </is>
      </c>
      <c r="H502" s="18">
        <f>IFERROR(ROUND(INDEX(fillups!$N$2:$N$596,MATCH("ev|2025-04-18 23:50",fillups!$O$2:$O$596,0)),2),"—")</f>
        <v/>
      </c>
      <c r="I502" s="2" t="inlineStr">
        <is>
          <t>spreadsheet</t>
        </is>
      </c>
      <c r="J502" s="2" t="n"/>
      <c r="K502" s="14" t="inlineStr">
        <is>
          <t>example formula (Claude): check it, or replace it with your own</t>
        </is>
      </c>
    </row>
    <row r="503">
      <c r="A503" s="2" t="n">
        <v>502</v>
      </c>
      <c r="B503" s="2" t="inlineStr">
        <is>
          <t>economy.segment</t>
        </is>
      </c>
      <c r="C503" s="2" t="inlineStr">
        <is>
          <t>alex</t>
        </is>
      </c>
      <c r="D503" s="2" t="inlineStr">
        <is>
          <t>ev</t>
        </is>
      </c>
      <c r="E503" s="2" t="inlineStr">
        <is>
          <t>segment ending 2025-04-22 23:53</t>
        </is>
      </c>
      <c r="F503" s="2" t="n"/>
      <c r="G503" s="2" t="inlineStr">
        <is>
          <t>kWh/100km</t>
        </is>
      </c>
      <c r="H503" s="18">
        <f>IFERROR(ROUND(INDEX(fillups!$N$2:$N$596,MATCH("ev|2025-04-22 23:53",fillups!$O$2:$O$596,0)),2),"—")</f>
        <v/>
      </c>
      <c r="I503" s="2" t="inlineStr">
        <is>
          <t>spreadsheet</t>
        </is>
      </c>
      <c r="J503" s="2" t="n"/>
      <c r="K503" s="14" t="inlineStr">
        <is>
          <t>example formula (Claude): check it, or replace it with your own</t>
        </is>
      </c>
    </row>
    <row r="504">
      <c r="A504" s="2" t="n">
        <v>503</v>
      </c>
      <c r="B504" s="2" t="inlineStr">
        <is>
          <t>economy.segment</t>
        </is>
      </c>
      <c r="C504" s="2" t="inlineStr">
        <is>
          <t>alex</t>
        </is>
      </c>
      <c r="D504" s="2" t="inlineStr">
        <is>
          <t>ev</t>
        </is>
      </c>
      <c r="E504" s="2" t="inlineStr">
        <is>
          <t>segment ending 2025-04-29 23:58</t>
        </is>
      </c>
      <c r="F504" s="2" t="n"/>
      <c r="G504" s="2" t="inlineStr">
        <is>
          <t>kWh/100km</t>
        </is>
      </c>
      <c r="H504" s="18">
        <f>IFERROR(ROUND(INDEX(fillups!$N$2:$N$596,MATCH("ev|2025-04-29 23:58",fillups!$O$2:$O$596,0)),2),"—")</f>
        <v/>
      </c>
      <c r="I504" s="2" t="inlineStr">
        <is>
          <t>spreadsheet</t>
        </is>
      </c>
      <c r="J504" s="2" t="n"/>
      <c r="K504" s="14" t="inlineStr">
        <is>
          <t>example formula (Claude): check it, or replace it with your own</t>
        </is>
      </c>
    </row>
    <row r="505">
      <c r="A505" s="2" t="n">
        <v>504</v>
      </c>
      <c r="B505" s="2" t="inlineStr">
        <is>
          <t>economy.segment</t>
        </is>
      </c>
      <c r="C505" s="2" t="inlineStr">
        <is>
          <t>alex</t>
        </is>
      </c>
      <c r="D505" s="2" t="inlineStr">
        <is>
          <t>ev</t>
        </is>
      </c>
      <c r="E505" s="2" t="inlineStr">
        <is>
          <t>segment ending 2025-05-03 23:54</t>
        </is>
      </c>
      <c r="F505" s="2" t="n"/>
      <c r="G505" s="2" t="inlineStr">
        <is>
          <t>kWh/100km</t>
        </is>
      </c>
      <c r="H505" s="18">
        <f>IFERROR(ROUND(INDEX(fillups!$N$2:$N$596,MATCH("ev|2025-05-03 23:54",fillups!$O$2:$O$596,0)),2),"—")</f>
        <v/>
      </c>
      <c r="I505" s="2" t="inlineStr">
        <is>
          <t>spreadsheet</t>
        </is>
      </c>
      <c r="J505" s="2" t="n"/>
      <c r="K505" s="14" t="inlineStr">
        <is>
          <t>example formula (Claude): check it, or replace it with your own</t>
        </is>
      </c>
    </row>
    <row r="506">
      <c r="A506" s="2" t="n">
        <v>505</v>
      </c>
      <c r="B506" s="2" t="inlineStr">
        <is>
          <t>economy.segment</t>
        </is>
      </c>
      <c r="C506" s="2" t="inlineStr">
        <is>
          <t>alex</t>
        </is>
      </c>
      <c r="D506" s="2" t="inlineStr">
        <is>
          <t>ev</t>
        </is>
      </c>
      <c r="E506" s="2" t="inlineStr">
        <is>
          <t>segment ending 2025-05-05 23:31</t>
        </is>
      </c>
      <c r="F506" s="2" t="n"/>
      <c r="G506" s="2" t="inlineStr">
        <is>
          <t>kWh/100km</t>
        </is>
      </c>
      <c r="H506" s="18">
        <f>IFERROR(ROUND(INDEX(fillups!$N$2:$N$596,MATCH("ev|2025-05-05 23:31",fillups!$O$2:$O$596,0)),2),"—")</f>
        <v/>
      </c>
      <c r="I506" s="2" t="inlineStr">
        <is>
          <t>spreadsheet</t>
        </is>
      </c>
      <c r="J506" s="2" t="n"/>
      <c r="K506" s="14" t="inlineStr">
        <is>
          <t>example formula (Claude): check it, or replace it with your own</t>
        </is>
      </c>
    </row>
    <row r="507">
      <c r="A507" s="2" t="n">
        <v>506</v>
      </c>
      <c r="B507" s="2" t="inlineStr">
        <is>
          <t>economy.segment</t>
        </is>
      </c>
      <c r="C507" s="2" t="inlineStr">
        <is>
          <t>alex</t>
        </is>
      </c>
      <c r="D507" s="2" t="inlineStr">
        <is>
          <t>ev</t>
        </is>
      </c>
      <c r="E507" s="2" t="inlineStr">
        <is>
          <t>segment ending 2025-05-12 23:47</t>
        </is>
      </c>
      <c r="F507" s="2" t="n"/>
      <c r="G507" s="2" t="inlineStr">
        <is>
          <t>kWh/100km</t>
        </is>
      </c>
      <c r="H507" s="18">
        <f>IFERROR(ROUND(INDEX(fillups!$N$2:$N$596,MATCH("ev|2025-05-12 23:47",fillups!$O$2:$O$596,0)),2),"—")</f>
        <v/>
      </c>
      <c r="I507" s="2" t="inlineStr">
        <is>
          <t>spreadsheet</t>
        </is>
      </c>
      <c r="J507" s="2" t="n"/>
      <c r="K507" s="14" t="inlineStr">
        <is>
          <t>example formula (Claude): check it, or replace it with your own</t>
        </is>
      </c>
    </row>
    <row r="508">
      <c r="A508" s="2" t="n">
        <v>507</v>
      </c>
      <c r="B508" s="2" t="inlineStr">
        <is>
          <t>economy.segment</t>
        </is>
      </c>
      <c r="C508" s="2" t="inlineStr">
        <is>
          <t>alex</t>
        </is>
      </c>
      <c r="D508" s="2" t="inlineStr">
        <is>
          <t>ev</t>
        </is>
      </c>
      <c r="E508" s="2" t="inlineStr">
        <is>
          <t>segment ending 2025-05-16 23:58</t>
        </is>
      </c>
      <c r="F508" s="2" t="n"/>
      <c r="G508" s="2" t="inlineStr">
        <is>
          <t>kWh/100km</t>
        </is>
      </c>
      <c r="H508" s="18">
        <f>IFERROR(ROUND(INDEX(fillups!$N$2:$N$596,MATCH("ev|2025-05-16 23:58",fillups!$O$2:$O$596,0)),2),"—")</f>
        <v/>
      </c>
      <c r="I508" s="2" t="inlineStr">
        <is>
          <t>spreadsheet</t>
        </is>
      </c>
      <c r="J508" s="2" t="n"/>
      <c r="K508" s="14" t="inlineStr">
        <is>
          <t>example formula (Claude): check it, or replace it with your own</t>
        </is>
      </c>
    </row>
    <row r="509">
      <c r="A509" s="2" t="n">
        <v>508</v>
      </c>
      <c r="B509" s="2" t="inlineStr">
        <is>
          <t>economy.segment</t>
        </is>
      </c>
      <c r="C509" s="2" t="inlineStr">
        <is>
          <t>alex</t>
        </is>
      </c>
      <c r="D509" s="2" t="inlineStr">
        <is>
          <t>ev</t>
        </is>
      </c>
      <c r="E509" s="2" t="inlineStr">
        <is>
          <t>segment ending 2025-05-20 23:41</t>
        </is>
      </c>
      <c r="F509" s="2" t="n"/>
      <c r="G509" s="2" t="inlineStr">
        <is>
          <t>kWh/100km</t>
        </is>
      </c>
      <c r="H509" s="18">
        <f>IFERROR(ROUND(INDEX(fillups!$N$2:$N$596,MATCH("ev|2025-05-20 23:41",fillups!$O$2:$O$596,0)),2),"—")</f>
        <v/>
      </c>
      <c r="I509" s="2" t="inlineStr">
        <is>
          <t>spreadsheet</t>
        </is>
      </c>
      <c r="J509" s="2" t="n"/>
      <c r="K509" s="14" t="inlineStr">
        <is>
          <t>example formula (Claude): check it, or replace it with your own</t>
        </is>
      </c>
    </row>
    <row r="510">
      <c r="A510" s="2" t="n">
        <v>509</v>
      </c>
      <c r="B510" s="2" t="inlineStr">
        <is>
          <t>economy.segment</t>
        </is>
      </c>
      <c r="C510" s="2" t="inlineStr">
        <is>
          <t>alex</t>
        </is>
      </c>
      <c r="D510" s="2" t="inlineStr">
        <is>
          <t>ev</t>
        </is>
      </c>
      <c r="E510" s="2" t="inlineStr">
        <is>
          <t>segment ending 2025-05-24 23:57</t>
        </is>
      </c>
      <c r="F510" s="2" t="n"/>
      <c r="G510" s="2" t="inlineStr">
        <is>
          <t>kWh/100km</t>
        </is>
      </c>
      <c r="H510" s="18">
        <f>IFERROR(ROUND(INDEX(fillups!$N$2:$N$596,MATCH("ev|2025-05-24 23:57",fillups!$O$2:$O$596,0)),2),"—")</f>
        <v/>
      </c>
      <c r="I510" s="2" t="inlineStr">
        <is>
          <t>spreadsheet</t>
        </is>
      </c>
      <c r="J510" s="2" t="n"/>
      <c r="K510" s="14" t="inlineStr">
        <is>
          <t>example formula (Claude): check it, or replace it with your own</t>
        </is>
      </c>
    </row>
    <row r="511">
      <c r="A511" s="2" t="n">
        <v>510</v>
      </c>
      <c r="B511" s="2" t="inlineStr">
        <is>
          <t>economy.segment</t>
        </is>
      </c>
      <c r="C511" s="2" t="inlineStr">
        <is>
          <t>alex</t>
        </is>
      </c>
      <c r="D511" s="2" t="inlineStr">
        <is>
          <t>ev</t>
        </is>
      </c>
      <c r="E511" s="2" t="inlineStr">
        <is>
          <t>segment ending 2025-05-30 23:39</t>
        </is>
      </c>
      <c r="F511" s="2" t="n"/>
      <c r="G511" s="2" t="inlineStr">
        <is>
          <t>kWh/100km</t>
        </is>
      </c>
      <c r="H511" s="18">
        <f>IFERROR(ROUND(INDEX(fillups!$N$2:$N$596,MATCH("ev|2025-05-30 23:39",fillups!$O$2:$O$596,0)),2),"—")</f>
        <v/>
      </c>
      <c r="I511" s="2" t="inlineStr">
        <is>
          <t>spreadsheet</t>
        </is>
      </c>
      <c r="J511" s="2" t="n"/>
      <c r="K511" s="14" t="inlineStr">
        <is>
          <t>example formula (Claude): check it, or replace it with your own</t>
        </is>
      </c>
    </row>
    <row r="512">
      <c r="A512" s="2" t="n">
        <v>511</v>
      </c>
      <c r="B512" s="2" t="inlineStr">
        <is>
          <t>economy.segment</t>
        </is>
      </c>
      <c r="C512" s="2" t="inlineStr">
        <is>
          <t>alex</t>
        </is>
      </c>
      <c r="D512" s="2" t="inlineStr">
        <is>
          <t>ev</t>
        </is>
      </c>
      <c r="E512" s="2" t="inlineStr">
        <is>
          <t>segment ending 2025-06-02 23:59</t>
        </is>
      </c>
      <c r="F512" s="2" t="n"/>
      <c r="G512" s="2" t="inlineStr">
        <is>
          <t>kWh/100km</t>
        </is>
      </c>
      <c r="H512" s="18">
        <f>IFERROR(ROUND(INDEX(fillups!$N$2:$N$596,MATCH("ev|2025-06-02 23:59",fillups!$O$2:$O$596,0)),2),"—")</f>
        <v/>
      </c>
      <c r="I512" s="2" t="inlineStr">
        <is>
          <t>spreadsheet</t>
        </is>
      </c>
      <c r="J512" s="2" t="n"/>
      <c r="K512" s="14" t="inlineStr">
        <is>
          <t>example formula (Claude): check it, or replace it with your own</t>
        </is>
      </c>
    </row>
    <row r="513">
      <c r="A513" s="2" t="n">
        <v>512</v>
      </c>
      <c r="B513" s="2" t="inlineStr">
        <is>
          <t>economy.segment</t>
        </is>
      </c>
      <c r="C513" s="2" t="inlineStr">
        <is>
          <t>alex</t>
        </is>
      </c>
      <c r="D513" s="2" t="inlineStr">
        <is>
          <t>ev</t>
        </is>
      </c>
      <c r="E513" s="2" t="inlineStr">
        <is>
          <t>segment ending 2025-06-09 23:46</t>
        </is>
      </c>
      <c r="F513" s="2" t="n"/>
      <c r="G513" s="2" t="inlineStr">
        <is>
          <t>kWh/100km</t>
        </is>
      </c>
      <c r="H513" s="18">
        <f>IFERROR(ROUND(INDEX(fillups!$N$2:$N$596,MATCH("ev|2025-06-09 23:46",fillups!$O$2:$O$596,0)),2),"—")</f>
        <v/>
      </c>
      <c r="I513" s="2" t="inlineStr">
        <is>
          <t>spreadsheet</t>
        </is>
      </c>
      <c r="J513" s="2" t="n"/>
      <c r="K513" s="14" t="inlineStr">
        <is>
          <t>example formula (Claude): check it, or replace it with your own</t>
        </is>
      </c>
    </row>
    <row r="514">
      <c r="A514" s="2" t="n">
        <v>513</v>
      </c>
      <c r="B514" s="2" t="inlineStr">
        <is>
          <t>economy.segment</t>
        </is>
      </c>
      <c r="C514" s="2" t="inlineStr">
        <is>
          <t>alex</t>
        </is>
      </c>
      <c r="D514" s="2" t="inlineStr">
        <is>
          <t>ev</t>
        </is>
      </c>
      <c r="E514" s="2" t="inlineStr">
        <is>
          <t>segment ending 2025-06-13 23:49</t>
        </is>
      </c>
      <c r="F514" s="2" t="n"/>
      <c r="G514" s="2" t="inlineStr">
        <is>
          <t>kWh/100km</t>
        </is>
      </c>
      <c r="H514" s="18">
        <f>IFERROR(ROUND(INDEX(fillups!$N$2:$N$596,MATCH("ev|2025-06-13 23:49",fillups!$O$2:$O$596,0)),2),"—")</f>
        <v/>
      </c>
      <c r="I514" s="2" t="inlineStr">
        <is>
          <t>spreadsheet</t>
        </is>
      </c>
      <c r="J514" s="2" t="n"/>
      <c r="K514" s="14" t="inlineStr">
        <is>
          <t>example formula (Claude): check it, or replace it with your own</t>
        </is>
      </c>
    </row>
    <row r="515">
      <c r="A515" s="2" t="n">
        <v>514</v>
      </c>
      <c r="B515" s="2" t="inlineStr">
        <is>
          <t>economy.segment</t>
        </is>
      </c>
      <c r="C515" s="2" t="inlineStr">
        <is>
          <t>alex</t>
        </is>
      </c>
      <c r="D515" s="2" t="inlineStr">
        <is>
          <t>ev</t>
        </is>
      </c>
      <c r="E515" s="2" t="inlineStr">
        <is>
          <t>segment ending 2025-06-17 23:33</t>
        </is>
      </c>
      <c r="F515" s="2" t="n"/>
      <c r="G515" s="2" t="inlineStr">
        <is>
          <t>kWh/100km</t>
        </is>
      </c>
      <c r="H515" s="18">
        <f>IFERROR(ROUND(INDEX(fillups!$N$2:$N$596,MATCH("ev|2025-06-17 23:33",fillups!$O$2:$O$596,0)),2),"—")</f>
        <v/>
      </c>
      <c r="I515" s="2" t="inlineStr">
        <is>
          <t>spreadsheet</t>
        </is>
      </c>
      <c r="J515" s="2" t="n"/>
      <c r="K515" s="14" t="inlineStr">
        <is>
          <t>example formula (Claude): check it, or replace it with your own</t>
        </is>
      </c>
    </row>
    <row r="516">
      <c r="A516" s="2" t="n">
        <v>515</v>
      </c>
      <c r="B516" s="2" t="inlineStr">
        <is>
          <t>economy.segment</t>
        </is>
      </c>
      <c r="C516" s="2" t="inlineStr">
        <is>
          <t>alex</t>
        </is>
      </c>
      <c r="D516" s="2" t="inlineStr">
        <is>
          <t>ev</t>
        </is>
      </c>
      <c r="E516" s="2" t="inlineStr">
        <is>
          <t>segment ending 2025-06-24 23:58</t>
        </is>
      </c>
      <c r="F516" s="2" t="n"/>
      <c r="G516" s="2" t="inlineStr">
        <is>
          <t>kWh/100km</t>
        </is>
      </c>
      <c r="H516" s="18">
        <f>IFERROR(ROUND(INDEX(fillups!$N$2:$N$596,MATCH("ev|2025-06-24 23:58",fillups!$O$2:$O$596,0)),2),"—")</f>
        <v/>
      </c>
      <c r="I516" s="2" t="inlineStr">
        <is>
          <t>spreadsheet</t>
        </is>
      </c>
      <c r="J516" s="2" t="n"/>
      <c r="K516" s="14" t="inlineStr">
        <is>
          <t>example formula (Claude): check it, or replace it with your own</t>
        </is>
      </c>
    </row>
    <row r="517">
      <c r="A517" s="2" t="n">
        <v>516</v>
      </c>
      <c r="B517" s="2" t="inlineStr">
        <is>
          <t>economy.segment</t>
        </is>
      </c>
      <c r="C517" s="2" t="inlineStr">
        <is>
          <t>alex</t>
        </is>
      </c>
      <c r="D517" s="2" t="inlineStr">
        <is>
          <t>ev</t>
        </is>
      </c>
      <c r="E517" s="2" t="inlineStr">
        <is>
          <t>segment ending 2025-06-28 23:36</t>
        </is>
      </c>
      <c r="F517" s="2" t="n"/>
      <c r="G517" s="2" t="inlineStr">
        <is>
          <t>kWh/100km</t>
        </is>
      </c>
      <c r="H517" s="18">
        <f>IFERROR(ROUND(INDEX(fillups!$N$2:$N$596,MATCH("ev|2025-06-28 23:36",fillups!$O$2:$O$596,0)),2),"—")</f>
        <v/>
      </c>
      <c r="I517" s="2" t="inlineStr">
        <is>
          <t>spreadsheet</t>
        </is>
      </c>
      <c r="J517" s="2" t="n"/>
      <c r="K517" s="14" t="inlineStr">
        <is>
          <t>example formula (Claude): check it, or replace it with your own</t>
        </is>
      </c>
    </row>
    <row r="518">
      <c r="A518" s="2" t="n">
        <v>517</v>
      </c>
      <c r="B518" s="2" t="inlineStr">
        <is>
          <t>economy.segment</t>
        </is>
      </c>
      <c r="C518" s="2" t="inlineStr">
        <is>
          <t>alex</t>
        </is>
      </c>
      <c r="D518" s="2" t="inlineStr">
        <is>
          <t>ev</t>
        </is>
      </c>
      <c r="E518" s="2" t="inlineStr">
        <is>
          <t>segment ending 2025-07-01 23:58</t>
        </is>
      </c>
      <c r="F518" s="2" t="n"/>
      <c r="G518" s="2" t="inlineStr">
        <is>
          <t>kWh/100km</t>
        </is>
      </c>
      <c r="H518" s="18">
        <f>IFERROR(ROUND(INDEX(fillups!$N$2:$N$596,MATCH("ev|2025-07-01 23:58",fillups!$O$2:$O$596,0)),2),"—")</f>
        <v/>
      </c>
      <c r="I518" s="2" t="inlineStr">
        <is>
          <t>spreadsheet</t>
        </is>
      </c>
      <c r="J518" s="2" t="n"/>
      <c r="K518" s="14" t="inlineStr">
        <is>
          <t>example formula (Claude): check it, or replace it with your own</t>
        </is>
      </c>
    </row>
    <row r="519">
      <c r="A519" s="2" t="n">
        <v>518</v>
      </c>
      <c r="B519" s="2" t="inlineStr">
        <is>
          <t>economy.segment</t>
        </is>
      </c>
      <c r="C519" s="2" t="inlineStr">
        <is>
          <t>alex</t>
        </is>
      </c>
      <c r="D519" s="2" t="inlineStr">
        <is>
          <t>ev</t>
        </is>
      </c>
      <c r="E519" s="2" t="inlineStr">
        <is>
          <t>segment ending 2025-07-05 23:47</t>
        </is>
      </c>
      <c r="F519" s="2" t="n"/>
      <c r="G519" s="2" t="inlineStr">
        <is>
          <t>kWh/100km</t>
        </is>
      </c>
      <c r="H519" s="18">
        <f>IFERROR(ROUND(INDEX(fillups!$N$2:$N$596,MATCH("ev|2025-07-05 23:47",fillups!$O$2:$O$596,0)),2),"—")</f>
        <v/>
      </c>
      <c r="I519" s="2" t="inlineStr">
        <is>
          <t>spreadsheet</t>
        </is>
      </c>
      <c r="J519" s="2" t="n"/>
      <c r="K519" s="14" t="inlineStr">
        <is>
          <t>example formula (Claude): check it, or replace it with your own</t>
        </is>
      </c>
    </row>
    <row r="520">
      <c r="A520" s="2" t="n">
        <v>519</v>
      </c>
      <c r="B520" s="2" t="inlineStr">
        <is>
          <t>economy.segment</t>
        </is>
      </c>
      <c r="C520" s="2" t="inlineStr">
        <is>
          <t>alex</t>
        </is>
      </c>
      <c r="D520" s="2" t="inlineStr">
        <is>
          <t>ev</t>
        </is>
      </c>
      <c r="E520" s="2" t="inlineStr">
        <is>
          <t>segment ending 2025-07-08 23:57</t>
        </is>
      </c>
      <c r="F520" s="2" t="n"/>
      <c r="G520" s="2" t="inlineStr">
        <is>
          <t>kWh/100km</t>
        </is>
      </c>
      <c r="H520" s="18">
        <f>IFERROR(ROUND(INDEX(fillups!$N$2:$N$596,MATCH("ev|2025-07-08 23:57",fillups!$O$2:$O$596,0)),2),"—")</f>
        <v/>
      </c>
      <c r="I520" s="2" t="inlineStr">
        <is>
          <t>spreadsheet</t>
        </is>
      </c>
      <c r="J520" s="2" t="n"/>
      <c r="K520" s="14" t="inlineStr">
        <is>
          <t>example formula (Claude): check it, or replace it with your own</t>
        </is>
      </c>
    </row>
    <row r="521">
      <c r="A521" s="2" t="n">
        <v>520</v>
      </c>
      <c r="B521" s="2" t="inlineStr">
        <is>
          <t>economy.segment</t>
        </is>
      </c>
      <c r="C521" s="2" t="inlineStr">
        <is>
          <t>alex</t>
        </is>
      </c>
      <c r="D521" s="2" t="inlineStr">
        <is>
          <t>ev</t>
        </is>
      </c>
      <c r="E521" s="2" t="inlineStr">
        <is>
          <t>segment ending 2025-07-15 23:45</t>
        </is>
      </c>
      <c r="F521" s="2" t="n"/>
      <c r="G521" s="2" t="inlineStr">
        <is>
          <t>kWh/100km</t>
        </is>
      </c>
      <c r="H521" s="18">
        <f>IFERROR(ROUND(INDEX(fillups!$N$2:$N$596,MATCH("ev|2025-07-15 23:45",fillups!$O$2:$O$596,0)),2),"—")</f>
        <v/>
      </c>
      <c r="I521" s="2" t="inlineStr">
        <is>
          <t>spreadsheet</t>
        </is>
      </c>
      <c r="J521" s="2" t="n"/>
      <c r="K521" s="14" t="inlineStr">
        <is>
          <t>example formula (Claude): check it, or replace it with your own</t>
        </is>
      </c>
    </row>
    <row r="522">
      <c r="A522" s="2" t="n">
        <v>521</v>
      </c>
      <c r="B522" s="2" t="inlineStr">
        <is>
          <t>economy.segment</t>
        </is>
      </c>
      <c r="C522" s="2" t="inlineStr">
        <is>
          <t>alex</t>
        </is>
      </c>
      <c r="D522" s="2" t="inlineStr">
        <is>
          <t>ev</t>
        </is>
      </c>
      <c r="E522" s="2" t="inlineStr">
        <is>
          <t>segment ending 2025-07-18 23:34</t>
        </is>
      </c>
      <c r="F522" s="2" t="n"/>
      <c r="G522" s="2" t="inlineStr">
        <is>
          <t>kWh/100km</t>
        </is>
      </c>
      <c r="H522" s="18">
        <f>IFERROR(ROUND(INDEX(fillups!$N$2:$N$596,MATCH("ev|2025-07-18 23:34",fillups!$O$2:$O$596,0)),2),"—")</f>
        <v/>
      </c>
      <c r="I522" s="2" t="inlineStr">
        <is>
          <t>spreadsheet</t>
        </is>
      </c>
      <c r="J522" s="2" t="n"/>
      <c r="K522" s="14" t="inlineStr">
        <is>
          <t>example formula (Claude): check it, or replace it with your own</t>
        </is>
      </c>
    </row>
    <row r="523">
      <c r="A523" s="2" t="n">
        <v>522</v>
      </c>
      <c r="B523" s="2" t="inlineStr">
        <is>
          <t>economy.segment</t>
        </is>
      </c>
      <c r="C523" s="2" t="inlineStr">
        <is>
          <t>alex</t>
        </is>
      </c>
      <c r="D523" s="2" t="inlineStr">
        <is>
          <t>ev</t>
        </is>
      </c>
      <c r="E523" s="2" t="inlineStr">
        <is>
          <t>segment ending 2025-07-21 23:53</t>
        </is>
      </c>
      <c r="F523" s="2" t="n"/>
      <c r="G523" s="2" t="inlineStr">
        <is>
          <t>kWh/100km</t>
        </is>
      </c>
      <c r="H523" s="18">
        <f>IFERROR(ROUND(INDEX(fillups!$N$2:$N$596,MATCH("ev|2025-07-21 23:53",fillups!$O$2:$O$596,0)),2),"—")</f>
        <v/>
      </c>
      <c r="I523" s="2" t="inlineStr">
        <is>
          <t>spreadsheet</t>
        </is>
      </c>
      <c r="J523" s="2" t="n"/>
      <c r="K523" s="14" t="inlineStr">
        <is>
          <t>example formula (Claude): check it, or replace it with your own</t>
        </is>
      </c>
    </row>
    <row r="524">
      <c r="A524" s="2" t="n">
        <v>523</v>
      </c>
      <c r="B524" s="2" t="inlineStr">
        <is>
          <t>economy.segment</t>
        </is>
      </c>
      <c r="C524" s="2" t="inlineStr">
        <is>
          <t>alex</t>
        </is>
      </c>
      <c r="D524" s="2" t="inlineStr">
        <is>
          <t>ev</t>
        </is>
      </c>
      <c r="E524" s="2" t="inlineStr">
        <is>
          <t>segment ending 2025-07-25 23:46</t>
        </is>
      </c>
      <c r="F524" s="2" t="n"/>
      <c r="G524" s="2" t="inlineStr">
        <is>
          <t>kWh/100km</t>
        </is>
      </c>
      <c r="H524" s="18">
        <f>IFERROR(ROUND(INDEX(fillups!$N$2:$N$596,MATCH("ev|2025-07-25 23:46",fillups!$O$2:$O$596,0)),2),"—")</f>
        <v/>
      </c>
      <c r="I524" s="2" t="inlineStr">
        <is>
          <t>spreadsheet</t>
        </is>
      </c>
      <c r="J524" s="2" t="n"/>
      <c r="K524" s="14" t="inlineStr">
        <is>
          <t>example formula (Claude): check it, or replace it with your own</t>
        </is>
      </c>
    </row>
    <row r="525">
      <c r="A525" s="2" t="n">
        <v>524</v>
      </c>
      <c r="B525" s="2" t="inlineStr">
        <is>
          <t>economy.segment</t>
        </is>
      </c>
      <c r="C525" s="2" t="inlineStr">
        <is>
          <t>alex</t>
        </is>
      </c>
      <c r="D525" s="2" t="inlineStr">
        <is>
          <t>ev</t>
        </is>
      </c>
      <c r="E525" s="2" t="inlineStr">
        <is>
          <t>segment ending 2025-07-27 23:40</t>
        </is>
      </c>
      <c r="F525" s="2" t="n"/>
      <c r="G525" s="2" t="inlineStr">
        <is>
          <t>kWh/100km</t>
        </is>
      </c>
      <c r="H525" s="18">
        <f>IFERROR(ROUND(INDEX(fillups!$N$2:$N$596,MATCH("ev|2025-07-27 23:40",fillups!$O$2:$O$596,0)),2),"—")</f>
        <v/>
      </c>
      <c r="I525" s="2" t="inlineStr">
        <is>
          <t>spreadsheet</t>
        </is>
      </c>
      <c r="J525" s="2" t="n"/>
      <c r="K525" s="14" t="inlineStr">
        <is>
          <t>example formula (Claude): check it, or replace it with your own</t>
        </is>
      </c>
    </row>
    <row r="526">
      <c r="A526" s="2" t="n">
        <v>525</v>
      </c>
      <c r="B526" s="2" t="inlineStr">
        <is>
          <t>economy.segment</t>
        </is>
      </c>
      <c r="C526" s="2" t="inlineStr">
        <is>
          <t>alex</t>
        </is>
      </c>
      <c r="D526" s="2" t="inlineStr">
        <is>
          <t>ev</t>
        </is>
      </c>
      <c r="E526" s="2" t="inlineStr">
        <is>
          <t>segment ending 2025-07-30 23:36</t>
        </is>
      </c>
      <c r="F526" s="2" t="n"/>
      <c r="G526" s="2" t="inlineStr">
        <is>
          <t>kWh/100km</t>
        </is>
      </c>
      <c r="H526" s="18">
        <f>IFERROR(ROUND(INDEX(fillups!$N$2:$N$596,MATCH("ev|2025-07-30 23:36",fillups!$O$2:$O$596,0)),2),"—")</f>
        <v/>
      </c>
      <c r="I526" s="2" t="inlineStr">
        <is>
          <t>spreadsheet</t>
        </is>
      </c>
      <c r="J526" s="2" t="n"/>
      <c r="K526" s="14" t="inlineStr">
        <is>
          <t>example formula (Claude): check it, or replace it with your own</t>
        </is>
      </c>
    </row>
    <row r="527">
      <c r="A527" s="2" t="n">
        <v>526</v>
      </c>
      <c r="B527" s="2" t="inlineStr">
        <is>
          <t>economy.segment</t>
        </is>
      </c>
      <c r="C527" s="2" t="inlineStr">
        <is>
          <t>alex</t>
        </is>
      </c>
      <c r="D527" s="2" t="inlineStr">
        <is>
          <t>ev</t>
        </is>
      </c>
      <c r="E527" s="2" t="inlineStr">
        <is>
          <t>segment ending 2025-08-01 23:34</t>
        </is>
      </c>
      <c r="F527" s="2" t="n"/>
      <c r="G527" s="2" t="inlineStr">
        <is>
          <t>kWh/100km</t>
        </is>
      </c>
      <c r="H527" s="18">
        <f>IFERROR(ROUND(INDEX(fillups!$N$2:$N$596,MATCH("ev|2025-08-01 23:34",fillups!$O$2:$O$596,0)),2),"—")</f>
        <v/>
      </c>
      <c r="I527" s="2" t="inlineStr">
        <is>
          <t>spreadsheet</t>
        </is>
      </c>
      <c r="J527" s="2" t="n"/>
      <c r="K527" s="14" t="inlineStr">
        <is>
          <t>example formula (Claude): check it, or replace it with your own</t>
        </is>
      </c>
    </row>
    <row r="528">
      <c r="A528" s="2" t="n">
        <v>527</v>
      </c>
      <c r="B528" s="2" t="inlineStr">
        <is>
          <t>economy.segment</t>
        </is>
      </c>
      <c r="C528" s="2" t="inlineStr">
        <is>
          <t>alex</t>
        </is>
      </c>
      <c r="D528" s="2" t="inlineStr">
        <is>
          <t>ev</t>
        </is>
      </c>
      <c r="E528" s="2" t="inlineStr">
        <is>
          <t>segment ending 2025-08-02 23:35</t>
        </is>
      </c>
      <c r="F528" s="2" t="n"/>
      <c r="G528" s="2" t="inlineStr">
        <is>
          <t>kWh/100km</t>
        </is>
      </c>
      <c r="H528" s="18">
        <f>IFERROR(ROUND(INDEX(fillups!$N$2:$N$596,MATCH("ev|2025-08-02 23:35",fillups!$O$2:$O$596,0)),2),"—")</f>
        <v/>
      </c>
      <c r="I528" s="2" t="inlineStr">
        <is>
          <t>spreadsheet</t>
        </is>
      </c>
      <c r="J528" s="2" t="n"/>
      <c r="K528" s="14" t="inlineStr">
        <is>
          <t>example formula (Claude): check it, or replace it with your own</t>
        </is>
      </c>
    </row>
    <row r="529">
      <c r="A529" s="2" t="n">
        <v>528</v>
      </c>
      <c r="B529" s="2" t="inlineStr">
        <is>
          <t>economy.segment</t>
        </is>
      </c>
      <c r="C529" s="2" t="inlineStr">
        <is>
          <t>alex</t>
        </is>
      </c>
      <c r="D529" s="2" t="inlineStr">
        <is>
          <t>ev</t>
        </is>
      </c>
      <c r="E529" s="2" t="inlineStr">
        <is>
          <t>segment ending 2025-08-07 23:49</t>
        </is>
      </c>
      <c r="F529" s="2" t="n"/>
      <c r="G529" s="2" t="inlineStr">
        <is>
          <t>kWh/100km</t>
        </is>
      </c>
      <c r="H529" s="18">
        <f>IFERROR(ROUND(INDEX(fillups!$N$2:$N$596,MATCH("ev|2025-08-07 23:49",fillups!$O$2:$O$596,0)),2),"—")</f>
        <v/>
      </c>
      <c r="I529" s="2" t="inlineStr">
        <is>
          <t>spreadsheet</t>
        </is>
      </c>
      <c r="J529" s="2" t="n"/>
      <c r="K529" s="14" t="inlineStr">
        <is>
          <t>example formula (Claude): check it, or replace it with your own</t>
        </is>
      </c>
    </row>
    <row r="530">
      <c r="A530" s="2" t="n">
        <v>529</v>
      </c>
      <c r="B530" s="2" t="inlineStr">
        <is>
          <t>economy.segment</t>
        </is>
      </c>
      <c r="C530" s="2" t="inlineStr">
        <is>
          <t>alex</t>
        </is>
      </c>
      <c r="D530" s="2" t="inlineStr">
        <is>
          <t>ev</t>
        </is>
      </c>
      <c r="E530" s="2" t="inlineStr">
        <is>
          <t>segment ending 2025-08-10 23:33</t>
        </is>
      </c>
      <c r="F530" s="2" t="n"/>
      <c r="G530" s="2" t="inlineStr">
        <is>
          <t>kWh/100km</t>
        </is>
      </c>
      <c r="H530" s="18">
        <f>IFERROR(ROUND(INDEX(fillups!$N$2:$N$596,MATCH("ev|2025-08-10 23:33",fillups!$O$2:$O$596,0)),2),"—")</f>
        <v/>
      </c>
      <c r="I530" s="2" t="inlineStr">
        <is>
          <t>spreadsheet</t>
        </is>
      </c>
      <c r="J530" s="2" t="n"/>
      <c r="K530" s="14" t="inlineStr">
        <is>
          <t>example formula (Claude): check it, or replace it with your own</t>
        </is>
      </c>
    </row>
    <row r="531">
      <c r="A531" s="2" t="n">
        <v>530</v>
      </c>
      <c r="B531" s="2" t="inlineStr">
        <is>
          <t>economy.segment</t>
        </is>
      </c>
      <c r="C531" s="2" t="inlineStr">
        <is>
          <t>alex</t>
        </is>
      </c>
      <c r="D531" s="2" t="inlineStr">
        <is>
          <t>ev</t>
        </is>
      </c>
      <c r="E531" s="2" t="inlineStr">
        <is>
          <t>segment ending 2025-08-13 23:51</t>
        </is>
      </c>
      <c r="F531" s="2" t="n"/>
      <c r="G531" s="2" t="inlineStr">
        <is>
          <t>kWh/100km</t>
        </is>
      </c>
      <c r="H531" s="18">
        <f>IFERROR(ROUND(INDEX(fillups!$N$2:$N$596,MATCH("ev|2025-08-13 23:51",fillups!$O$2:$O$596,0)),2),"—")</f>
        <v/>
      </c>
      <c r="I531" s="2" t="inlineStr">
        <is>
          <t>spreadsheet</t>
        </is>
      </c>
      <c r="J531" s="2" t="n"/>
      <c r="K531" s="14" t="inlineStr">
        <is>
          <t>example formula (Claude): check it, or replace it with your own</t>
        </is>
      </c>
    </row>
    <row r="532">
      <c r="A532" s="2" t="n">
        <v>531</v>
      </c>
      <c r="B532" s="2" t="inlineStr">
        <is>
          <t>economy.segment</t>
        </is>
      </c>
      <c r="C532" s="2" t="inlineStr">
        <is>
          <t>alex</t>
        </is>
      </c>
      <c r="D532" s="2" t="inlineStr">
        <is>
          <t>ev</t>
        </is>
      </c>
      <c r="E532" s="2" t="inlineStr">
        <is>
          <t>segment ending 2025-08-18 23:54</t>
        </is>
      </c>
      <c r="F532" s="2" t="n"/>
      <c r="G532" s="2" t="inlineStr">
        <is>
          <t>kWh/100km</t>
        </is>
      </c>
      <c r="H532" s="18">
        <f>IFERROR(ROUND(INDEX(fillups!$N$2:$N$596,MATCH("ev|2025-08-18 23:54",fillups!$O$2:$O$596,0)),2),"—")</f>
        <v/>
      </c>
      <c r="I532" s="2" t="inlineStr">
        <is>
          <t>spreadsheet</t>
        </is>
      </c>
      <c r="J532" s="2" t="n"/>
      <c r="K532" s="14" t="inlineStr">
        <is>
          <t>example formula (Claude): check it, or replace it with your own</t>
        </is>
      </c>
    </row>
    <row r="533">
      <c r="A533" s="2" t="n">
        <v>532</v>
      </c>
      <c r="B533" s="2" t="inlineStr">
        <is>
          <t>economy.segment</t>
        </is>
      </c>
      <c r="C533" s="2" t="inlineStr">
        <is>
          <t>alex</t>
        </is>
      </c>
      <c r="D533" s="2" t="inlineStr">
        <is>
          <t>ev</t>
        </is>
      </c>
      <c r="E533" s="2" t="inlineStr">
        <is>
          <t>segment ending 2025-08-26 23:47</t>
        </is>
      </c>
      <c r="F533" s="2" t="n"/>
      <c r="G533" s="2" t="inlineStr">
        <is>
          <t>kWh/100km</t>
        </is>
      </c>
      <c r="H533" s="18">
        <f>IFERROR(ROUND(INDEX(fillups!$N$2:$N$596,MATCH("ev|2025-08-26 23:47",fillups!$O$2:$O$596,0)),2),"—")</f>
        <v/>
      </c>
      <c r="I533" s="2" t="inlineStr">
        <is>
          <t>spreadsheet</t>
        </is>
      </c>
      <c r="J533" s="2" t="n"/>
      <c r="K533" s="14" t="inlineStr">
        <is>
          <t>example formula (Claude): check it, or replace it with your own</t>
        </is>
      </c>
    </row>
    <row r="534">
      <c r="A534" s="2" t="n">
        <v>533</v>
      </c>
      <c r="B534" s="2" t="inlineStr">
        <is>
          <t>economy.segment</t>
        </is>
      </c>
      <c r="C534" s="2" t="inlineStr">
        <is>
          <t>alex</t>
        </is>
      </c>
      <c r="D534" s="2" t="inlineStr">
        <is>
          <t>ev</t>
        </is>
      </c>
      <c r="E534" s="2" t="inlineStr">
        <is>
          <t>segment ending 2025-08-27 23:57</t>
        </is>
      </c>
      <c r="F534" s="2" t="n"/>
      <c r="G534" s="2" t="inlineStr">
        <is>
          <t>kWh/100km</t>
        </is>
      </c>
      <c r="H534" s="18">
        <f>IFERROR(ROUND(INDEX(fillups!$N$2:$N$596,MATCH("ev|2025-08-27 23:57",fillups!$O$2:$O$596,0)),2),"—")</f>
        <v/>
      </c>
      <c r="I534" s="2" t="inlineStr">
        <is>
          <t>spreadsheet</t>
        </is>
      </c>
      <c r="J534" s="2" t="n"/>
      <c r="K534" s="14" t="inlineStr">
        <is>
          <t>example formula (Claude): check it, or replace it with your own</t>
        </is>
      </c>
    </row>
    <row r="535">
      <c r="A535" s="2" t="n">
        <v>534</v>
      </c>
      <c r="B535" s="2" t="inlineStr">
        <is>
          <t>economy.segment</t>
        </is>
      </c>
      <c r="C535" s="2" t="inlineStr">
        <is>
          <t>alex</t>
        </is>
      </c>
      <c r="D535" s="2" t="inlineStr">
        <is>
          <t>ev</t>
        </is>
      </c>
      <c r="E535" s="2" t="inlineStr">
        <is>
          <t>segment ending 2025-09-01 23:54</t>
        </is>
      </c>
      <c r="F535" s="2" t="n"/>
      <c r="G535" s="2" t="inlineStr">
        <is>
          <t>kWh/100km</t>
        </is>
      </c>
      <c r="H535" s="18">
        <f>IFERROR(ROUND(INDEX(fillups!$N$2:$N$596,MATCH("ev|2025-09-01 23:54",fillups!$O$2:$O$596,0)),2),"—")</f>
        <v/>
      </c>
      <c r="I535" s="2" t="inlineStr">
        <is>
          <t>spreadsheet</t>
        </is>
      </c>
      <c r="J535" s="2" t="n"/>
      <c r="K535" s="14" t="inlineStr">
        <is>
          <t>example formula (Claude): check it, or replace it with your own</t>
        </is>
      </c>
    </row>
    <row r="536">
      <c r="A536" s="2" t="n">
        <v>535</v>
      </c>
      <c r="B536" s="2" t="inlineStr">
        <is>
          <t>economy.segment</t>
        </is>
      </c>
      <c r="C536" s="2" t="inlineStr">
        <is>
          <t>alex</t>
        </is>
      </c>
      <c r="D536" s="2" t="inlineStr">
        <is>
          <t>ev</t>
        </is>
      </c>
      <c r="E536" s="2" t="inlineStr">
        <is>
          <t>segment ending 2025-09-04 23:38</t>
        </is>
      </c>
      <c r="F536" s="2" t="n"/>
      <c r="G536" s="2" t="inlineStr">
        <is>
          <t>kWh/100km</t>
        </is>
      </c>
      <c r="H536" s="18">
        <f>IFERROR(ROUND(INDEX(fillups!$N$2:$N$596,MATCH("ev|2025-09-04 23:38",fillups!$O$2:$O$596,0)),2),"—")</f>
        <v/>
      </c>
      <c r="I536" s="2" t="inlineStr">
        <is>
          <t>spreadsheet</t>
        </is>
      </c>
      <c r="J536" s="2" t="n"/>
      <c r="K536" s="14" t="inlineStr">
        <is>
          <t>example formula (Claude): check it, or replace it with your own</t>
        </is>
      </c>
    </row>
    <row r="537">
      <c r="A537" s="2" t="n">
        <v>536</v>
      </c>
      <c r="B537" s="2" t="inlineStr">
        <is>
          <t>economy.segment</t>
        </is>
      </c>
      <c r="C537" s="2" t="inlineStr">
        <is>
          <t>alex</t>
        </is>
      </c>
      <c r="D537" s="2" t="inlineStr">
        <is>
          <t>ev</t>
        </is>
      </c>
      <c r="E537" s="2" t="inlineStr">
        <is>
          <t>segment ending 2025-09-10 23:34</t>
        </is>
      </c>
      <c r="F537" s="2" t="n"/>
      <c r="G537" s="2" t="inlineStr">
        <is>
          <t>kWh/100km</t>
        </is>
      </c>
      <c r="H537" s="18">
        <f>IFERROR(ROUND(INDEX(fillups!$N$2:$N$596,MATCH("ev|2025-09-10 23:34",fillups!$O$2:$O$596,0)),2),"—")</f>
        <v/>
      </c>
      <c r="I537" s="2" t="inlineStr">
        <is>
          <t>spreadsheet</t>
        </is>
      </c>
      <c r="J537" s="2" t="n"/>
      <c r="K537" s="14" t="inlineStr">
        <is>
          <t>example formula (Claude): check it, or replace it with your own</t>
        </is>
      </c>
    </row>
    <row r="538">
      <c r="A538" s="2" t="n">
        <v>537</v>
      </c>
      <c r="B538" s="2" t="inlineStr">
        <is>
          <t>economy.segment</t>
        </is>
      </c>
      <c r="C538" s="2" t="inlineStr">
        <is>
          <t>alex</t>
        </is>
      </c>
      <c r="D538" s="2" t="inlineStr">
        <is>
          <t>ev</t>
        </is>
      </c>
      <c r="E538" s="2" t="inlineStr">
        <is>
          <t>segment ending 2025-09-12 23:40</t>
        </is>
      </c>
      <c r="F538" s="2" t="n"/>
      <c r="G538" s="2" t="inlineStr">
        <is>
          <t>kWh/100km</t>
        </is>
      </c>
      <c r="H538" s="18">
        <f>IFERROR(ROUND(INDEX(fillups!$N$2:$N$596,MATCH("ev|2025-09-12 23:40",fillups!$O$2:$O$596,0)),2),"—")</f>
        <v/>
      </c>
      <c r="I538" s="2" t="inlineStr">
        <is>
          <t>spreadsheet</t>
        </is>
      </c>
      <c r="J538" s="2" t="n"/>
      <c r="K538" s="14" t="inlineStr">
        <is>
          <t>example formula (Claude): check it, or replace it with your own</t>
        </is>
      </c>
    </row>
    <row r="539">
      <c r="A539" s="2" t="n">
        <v>538</v>
      </c>
      <c r="B539" s="2" t="inlineStr">
        <is>
          <t>economy.segment</t>
        </is>
      </c>
      <c r="C539" s="2" t="inlineStr">
        <is>
          <t>alex</t>
        </is>
      </c>
      <c r="D539" s="2" t="inlineStr">
        <is>
          <t>ev</t>
        </is>
      </c>
      <c r="E539" s="2" t="inlineStr">
        <is>
          <t>segment ending 2025-09-14 23:37</t>
        </is>
      </c>
      <c r="F539" s="2" t="n"/>
      <c r="G539" s="2" t="inlineStr">
        <is>
          <t>kWh/100km</t>
        </is>
      </c>
      <c r="H539" s="18">
        <f>IFERROR(ROUND(INDEX(fillups!$N$2:$N$596,MATCH("ev|2025-09-14 23:37",fillups!$O$2:$O$596,0)),2),"—")</f>
        <v/>
      </c>
      <c r="I539" s="2" t="inlineStr">
        <is>
          <t>spreadsheet</t>
        </is>
      </c>
      <c r="J539" s="2" t="n"/>
      <c r="K539" s="14" t="inlineStr">
        <is>
          <t>example formula (Claude): check it, or replace it with your own</t>
        </is>
      </c>
    </row>
    <row r="540">
      <c r="A540" s="2" t="n">
        <v>539</v>
      </c>
      <c r="B540" s="2" t="inlineStr">
        <is>
          <t>economy.segment</t>
        </is>
      </c>
      <c r="C540" s="2" t="inlineStr">
        <is>
          <t>alex</t>
        </is>
      </c>
      <c r="D540" s="2" t="inlineStr">
        <is>
          <t>ev</t>
        </is>
      </c>
      <c r="E540" s="2" t="inlineStr">
        <is>
          <t>segment ending 2025-09-16 23:53</t>
        </is>
      </c>
      <c r="F540" s="2" t="n"/>
      <c r="G540" s="2" t="inlineStr">
        <is>
          <t>kWh/100km</t>
        </is>
      </c>
      <c r="H540" s="18">
        <f>IFERROR(ROUND(INDEX(fillups!$N$2:$N$596,MATCH("ev|2025-09-16 23:53",fillups!$O$2:$O$596,0)),2),"—")</f>
        <v/>
      </c>
      <c r="I540" s="2" t="inlineStr">
        <is>
          <t>spreadsheet</t>
        </is>
      </c>
      <c r="J540" s="2" t="n"/>
      <c r="K540" s="14" t="inlineStr">
        <is>
          <t>example formula (Claude): check it, or replace it with your own</t>
        </is>
      </c>
    </row>
    <row r="541">
      <c r="A541" s="2" t="n">
        <v>540</v>
      </c>
      <c r="B541" s="2" t="inlineStr">
        <is>
          <t>economy.segment</t>
        </is>
      </c>
      <c r="C541" s="2" t="inlineStr">
        <is>
          <t>alex</t>
        </is>
      </c>
      <c r="D541" s="2" t="inlineStr">
        <is>
          <t>ev</t>
        </is>
      </c>
      <c r="E541" s="2" t="inlineStr">
        <is>
          <t>segment ending 2025-09-18 23:43</t>
        </is>
      </c>
      <c r="F541" s="2" t="n"/>
      <c r="G541" s="2" t="inlineStr">
        <is>
          <t>kWh/100km</t>
        </is>
      </c>
      <c r="H541" s="18">
        <f>IFERROR(ROUND(INDEX(fillups!$N$2:$N$596,MATCH("ev|2025-09-18 23:43",fillups!$O$2:$O$596,0)),2),"—")</f>
        <v/>
      </c>
      <c r="I541" s="2" t="inlineStr">
        <is>
          <t>spreadsheet</t>
        </is>
      </c>
      <c r="J541" s="2" t="n"/>
      <c r="K541" s="14" t="inlineStr">
        <is>
          <t>example formula (Claude): check it, or replace it with your own</t>
        </is>
      </c>
    </row>
    <row r="542">
      <c r="A542" s="2" t="n">
        <v>541</v>
      </c>
      <c r="B542" s="2" t="inlineStr">
        <is>
          <t>economy.segment</t>
        </is>
      </c>
      <c r="C542" s="2" t="inlineStr">
        <is>
          <t>alex</t>
        </is>
      </c>
      <c r="D542" s="2" t="inlineStr">
        <is>
          <t>ev</t>
        </is>
      </c>
      <c r="E542" s="2" t="inlineStr">
        <is>
          <t>segment ending 2025-09-21 23:30</t>
        </is>
      </c>
      <c r="F542" s="2" t="n"/>
      <c r="G542" s="2" t="inlineStr">
        <is>
          <t>kWh/100km</t>
        </is>
      </c>
      <c r="H542" s="18">
        <f>IFERROR(ROUND(INDEX(fillups!$N$2:$N$596,MATCH("ev|2025-09-21 23:30",fillups!$O$2:$O$596,0)),2),"—")</f>
        <v/>
      </c>
      <c r="I542" s="2" t="inlineStr">
        <is>
          <t>spreadsheet</t>
        </is>
      </c>
      <c r="J542" s="2" t="n"/>
      <c r="K542" s="14" t="inlineStr">
        <is>
          <t>example formula (Claude): check it, or replace it with your own</t>
        </is>
      </c>
    </row>
    <row r="543">
      <c r="A543" s="2" t="n">
        <v>542</v>
      </c>
      <c r="B543" s="2" t="inlineStr">
        <is>
          <t>economy.segment</t>
        </is>
      </c>
      <c r="C543" s="2" t="inlineStr">
        <is>
          <t>alex</t>
        </is>
      </c>
      <c r="D543" s="2" t="inlineStr">
        <is>
          <t>ev</t>
        </is>
      </c>
      <c r="E543" s="2" t="inlineStr">
        <is>
          <t>segment ending 2025-09-24 23:41</t>
        </is>
      </c>
      <c r="F543" s="2" t="n"/>
      <c r="G543" s="2" t="inlineStr">
        <is>
          <t>kWh/100km</t>
        </is>
      </c>
      <c r="H543" s="18">
        <f>IFERROR(ROUND(INDEX(fillups!$N$2:$N$596,MATCH("ev|2025-09-24 23:41",fillups!$O$2:$O$596,0)),2),"—")</f>
        <v/>
      </c>
      <c r="I543" s="2" t="inlineStr">
        <is>
          <t>spreadsheet</t>
        </is>
      </c>
      <c r="J543" s="2" t="n"/>
      <c r="K543" s="14" t="inlineStr">
        <is>
          <t>example formula (Claude): check it, or replace it with your own</t>
        </is>
      </c>
    </row>
    <row r="544">
      <c r="A544" s="2" t="n">
        <v>543</v>
      </c>
      <c r="B544" s="2" t="inlineStr">
        <is>
          <t>economy.segment</t>
        </is>
      </c>
      <c r="C544" s="2" t="inlineStr">
        <is>
          <t>alex</t>
        </is>
      </c>
      <c r="D544" s="2" t="inlineStr">
        <is>
          <t>ev</t>
        </is>
      </c>
      <c r="E544" s="2" t="inlineStr">
        <is>
          <t>segment ending 2025-09-27 23:51</t>
        </is>
      </c>
      <c r="F544" s="2" t="n"/>
      <c r="G544" s="2" t="inlineStr">
        <is>
          <t>kWh/100km</t>
        </is>
      </c>
      <c r="H544" s="18">
        <f>IFERROR(ROUND(INDEX(fillups!$N$2:$N$596,MATCH("ev|2025-09-27 23:51",fillups!$O$2:$O$596,0)),2),"—")</f>
        <v/>
      </c>
      <c r="I544" s="2" t="inlineStr">
        <is>
          <t>spreadsheet</t>
        </is>
      </c>
      <c r="J544" s="2" t="n"/>
      <c r="K544" s="14" t="inlineStr">
        <is>
          <t>example formula (Claude): check it, or replace it with your own</t>
        </is>
      </c>
    </row>
    <row r="545">
      <c r="A545" s="2" t="n">
        <v>544</v>
      </c>
      <c r="B545" s="2" t="inlineStr">
        <is>
          <t>economy.segment</t>
        </is>
      </c>
      <c r="C545" s="2" t="inlineStr">
        <is>
          <t>alex</t>
        </is>
      </c>
      <c r="D545" s="2" t="inlineStr">
        <is>
          <t>ev</t>
        </is>
      </c>
      <c r="E545" s="2" t="inlineStr">
        <is>
          <t>segment ending 2025-09-30 23:31</t>
        </is>
      </c>
      <c r="F545" s="2" t="n"/>
      <c r="G545" s="2" t="inlineStr">
        <is>
          <t>kWh/100km</t>
        </is>
      </c>
      <c r="H545" s="18">
        <f>IFERROR(ROUND(INDEX(fillups!$N$2:$N$596,MATCH("ev|2025-09-30 23:31",fillups!$O$2:$O$596,0)),2),"—")</f>
        <v/>
      </c>
      <c r="I545" s="2" t="inlineStr">
        <is>
          <t>spreadsheet</t>
        </is>
      </c>
      <c r="J545" s="2" t="n"/>
      <c r="K545" s="14" t="inlineStr">
        <is>
          <t>example formula (Claude): check it, or replace it with your own</t>
        </is>
      </c>
    </row>
    <row r="546">
      <c r="A546" s="2" t="n">
        <v>545</v>
      </c>
      <c r="B546" s="2" t="inlineStr">
        <is>
          <t>economy.segment</t>
        </is>
      </c>
      <c r="C546" s="2" t="inlineStr">
        <is>
          <t>alex</t>
        </is>
      </c>
      <c r="D546" s="2" t="inlineStr">
        <is>
          <t>ev</t>
        </is>
      </c>
      <c r="E546" s="2" t="inlineStr">
        <is>
          <t>segment ending 2025-10-02 23:43</t>
        </is>
      </c>
      <c r="F546" s="2" t="n"/>
      <c r="G546" s="2" t="inlineStr">
        <is>
          <t>kWh/100km</t>
        </is>
      </c>
      <c r="H546" s="18">
        <f>IFERROR(ROUND(INDEX(fillups!$N$2:$N$596,MATCH("ev|2025-10-02 23:43",fillups!$O$2:$O$596,0)),2),"—")</f>
        <v/>
      </c>
      <c r="I546" s="2" t="inlineStr">
        <is>
          <t>spreadsheet</t>
        </is>
      </c>
      <c r="J546" s="2" t="n"/>
      <c r="K546" s="14" t="inlineStr">
        <is>
          <t>example formula (Claude): check it, or replace it with your own</t>
        </is>
      </c>
    </row>
    <row r="547">
      <c r="A547" s="2" t="n">
        <v>546</v>
      </c>
      <c r="B547" s="2" t="inlineStr">
        <is>
          <t>economy.segment</t>
        </is>
      </c>
      <c r="C547" s="2" t="inlineStr">
        <is>
          <t>alex</t>
        </is>
      </c>
      <c r="D547" s="2" t="inlineStr">
        <is>
          <t>ev</t>
        </is>
      </c>
      <c r="E547" s="2" t="inlineStr">
        <is>
          <t>segment ending 2025-10-05 23:52</t>
        </is>
      </c>
      <c r="F547" s="2" t="n"/>
      <c r="G547" s="2" t="inlineStr">
        <is>
          <t>kWh/100km</t>
        </is>
      </c>
      <c r="H547" s="18">
        <f>IFERROR(ROUND(INDEX(fillups!$N$2:$N$596,MATCH("ev|2025-10-05 23:52",fillups!$O$2:$O$596,0)),2),"—")</f>
        <v/>
      </c>
      <c r="I547" s="2" t="inlineStr">
        <is>
          <t>spreadsheet</t>
        </is>
      </c>
      <c r="J547" s="2" t="n"/>
      <c r="K547" s="14" t="inlineStr">
        <is>
          <t>example formula (Claude): check it, or replace it with your own</t>
        </is>
      </c>
    </row>
    <row r="548">
      <c r="A548" s="2" t="n">
        <v>547</v>
      </c>
      <c r="B548" s="2" t="inlineStr">
        <is>
          <t>economy.segment</t>
        </is>
      </c>
      <c r="C548" s="2" t="inlineStr">
        <is>
          <t>alex</t>
        </is>
      </c>
      <c r="D548" s="2" t="inlineStr">
        <is>
          <t>ev</t>
        </is>
      </c>
      <c r="E548" s="2" t="inlineStr">
        <is>
          <t>segment ending 2025-10-08 23:52</t>
        </is>
      </c>
      <c r="F548" s="2" t="n"/>
      <c r="G548" s="2" t="inlineStr">
        <is>
          <t>kWh/100km</t>
        </is>
      </c>
      <c r="H548" s="18">
        <f>IFERROR(ROUND(INDEX(fillups!$N$2:$N$596,MATCH("ev|2025-10-08 23:52",fillups!$O$2:$O$596,0)),2),"—")</f>
        <v/>
      </c>
      <c r="I548" s="2" t="inlineStr">
        <is>
          <t>spreadsheet</t>
        </is>
      </c>
      <c r="J548" s="2" t="n"/>
      <c r="K548" s="14" t="inlineStr">
        <is>
          <t>example formula (Claude): check it, or replace it with your own</t>
        </is>
      </c>
    </row>
    <row r="549">
      <c r="A549" s="2" t="n">
        <v>548</v>
      </c>
      <c r="B549" s="2" t="inlineStr">
        <is>
          <t>economy.segment</t>
        </is>
      </c>
      <c r="C549" s="2" t="inlineStr">
        <is>
          <t>alex</t>
        </is>
      </c>
      <c r="D549" s="2" t="inlineStr">
        <is>
          <t>ev</t>
        </is>
      </c>
      <c r="E549" s="2" t="inlineStr">
        <is>
          <t>segment ending 2025-10-09 23:51</t>
        </is>
      </c>
      <c r="F549" s="2" t="n"/>
      <c r="G549" s="2" t="inlineStr">
        <is>
          <t>kWh/100km</t>
        </is>
      </c>
      <c r="H549" s="18">
        <f>IFERROR(ROUND(INDEX(fillups!$N$2:$N$596,MATCH("ev|2025-10-09 23:51",fillups!$O$2:$O$596,0)),2),"—")</f>
        <v/>
      </c>
      <c r="I549" s="2" t="inlineStr">
        <is>
          <t>spreadsheet</t>
        </is>
      </c>
      <c r="J549" s="2" t="n"/>
      <c r="K549" s="14" t="inlineStr">
        <is>
          <t>example formula (Claude): check it, or replace it with your own</t>
        </is>
      </c>
    </row>
    <row r="550">
      <c r="A550" s="2" t="n">
        <v>549</v>
      </c>
      <c r="B550" s="2" t="inlineStr">
        <is>
          <t>economy.segment</t>
        </is>
      </c>
      <c r="C550" s="2" t="inlineStr">
        <is>
          <t>alex</t>
        </is>
      </c>
      <c r="D550" s="2" t="inlineStr">
        <is>
          <t>ev</t>
        </is>
      </c>
      <c r="E550" s="2" t="inlineStr">
        <is>
          <t>segment ending 2025-10-12 23:34</t>
        </is>
      </c>
      <c r="F550" s="2" t="n"/>
      <c r="G550" s="2" t="inlineStr">
        <is>
          <t>kWh/100km</t>
        </is>
      </c>
      <c r="H550" s="18">
        <f>IFERROR(ROUND(INDEX(fillups!$N$2:$N$596,MATCH("ev|2025-10-12 23:34",fillups!$O$2:$O$596,0)),2),"—")</f>
        <v/>
      </c>
      <c r="I550" s="2" t="inlineStr">
        <is>
          <t>spreadsheet</t>
        </is>
      </c>
      <c r="J550" s="2" t="n"/>
      <c r="K550" s="14" t="inlineStr">
        <is>
          <t>example formula (Claude): check it, or replace it with your own</t>
        </is>
      </c>
    </row>
    <row r="551">
      <c r="A551" s="2" t="n">
        <v>550</v>
      </c>
      <c r="B551" s="2" t="inlineStr">
        <is>
          <t>economy.segment</t>
        </is>
      </c>
      <c r="C551" s="2" t="inlineStr">
        <is>
          <t>alex</t>
        </is>
      </c>
      <c r="D551" s="2" t="inlineStr">
        <is>
          <t>ev</t>
        </is>
      </c>
      <c r="E551" s="2" t="inlineStr">
        <is>
          <t>segment ending 2025-10-17 23:31</t>
        </is>
      </c>
      <c r="F551" s="2" t="n"/>
      <c r="G551" s="2" t="inlineStr">
        <is>
          <t>kWh/100km</t>
        </is>
      </c>
      <c r="H551" s="18">
        <f>IFERROR(ROUND(INDEX(fillups!$N$2:$N$596,MATCH("ev|2025-10-17 23:31",fillups!$O$2:$O$596,0)),2),"—")</f>
        <v/>
      </c>
      <c r="I551" s="2" t="inlineStr">
        <is>
          <t>spreadsheet</t>
        </is>
      </c>
      <c r="J551" s="2" t="n"/>
      <c r="K551" s="14" t="inlineStr">
        <is>
          <t>example formula (Claude): check it, or replace it with your own</t>
        </is>
      </c>
    </row>
    <row r="552">
      <c r="A552" s="2" t="n">
        <v>551</v>
      </c>
      <c r="B552" s="2" t="inlineStr">
        <is>
          <t>economy.segment</t>
        </is>
      </c>
      <c r="C552" s="2" t="inlineStr">
        <is>
          <t>alex</t>
        </is>
      </c>
      <c r="D552" s="2" t="inlineStr">
        <is>
          <t>ev</t>
        </is>
      </c>
      <c r="E552" s="2" t="inlineStr">
        <is>
          <t>segment ending 2025-10-22 23:45</t>
        </is>
      </c>
      <c r="F552" s="2" t="n"/>
      <c r="G552" s="2" t="inlineStr">
        <is>
          <t>kWh/100km</t>
        </is>
      </c>
      <c r="H552" s="18">
        <f>IFERROR(ROUND(INDEX(fillups!$N$2:$N$596,MATCH("ev|2025-10-22 23:45",fillups!$O$2:$O$596,0)),2),"—")</f>
        <v/>
      </c>
      <c r="I552" s="2" t="inlineStr">
        <is>
          <t>spreadsheet</t>
        </is>
      </c>
      <c r="J552" s="2" t="n"/>
      <c r="K552" s="14" t="inlineStr">
        <is>
          <t>example formula (Claude): check it, or replace it with your own</t>
        </is>
      </c>
    </row>
    <row r="553">
      <c r="A553" s="2" t="n">
        <v>552</v>
      </c>
      <c r="B553" s="2" t="inlineStr">
        <is>
          <t>economy.segment</t>
        </is>
      </c>
      <c r="C553" s="2" t="inlineStr">
        <is>
          <t>alex</t>
        </is>
      </c>
      <c r="D553" s="2" t="inlineStr">
        <is>
          <t>ev</t>
        </is>
      </c>
      <c r="E553" s="2" t="inlineStr">
        <is>
          <t>segment ending 2025-10-25 23:58</t>
        </is>
      </c>
      <c r="F553" s="2" t="n"/>
      <c r="G553" s="2" t="inlineStr">
        <is>
          <t>kWh/100km</t>
        </is>
      </c>
      <c r="H553" s="18">
        <f>IFERROR(ROUND(INDEX(fillups!$N$2:$N$596,MATCH("ev|2025-10-25 23:58",fillups!$O$2:$O$596,0)),2),"—")</f>
        <v/>
      </c>
      <c r="I553" s="2" t="inlineStr">
        <is>
          <t>spreadsheet</t>
        </is>
      </c>
      <c r="J553" s="2" t="n"/>
      <c r="K553" s="14" t="inlineStr">
        <is>
          <t>example formula (Claude): check it, or replace it with your own</t>
        </is>
      </c>
    </row>
    <row r="554">
      <c r="A554" s="2" t="n">
        <v>553</v>
      </c>
      <c r="B554" s="2" t="inlineStr">
        <is>
          <t>economy.segment</t>
        </is>
      </c>
      <c r="C554" s="2" t="inlineStr">
        <is>
          <t>alex</t>
        </is>
      </c>
      <c r="D554" s="2" t="inlineStr">
        <is>
          <t>ev</t>
        </is>
      </c>
      <c r="E554" s="2" t="inlineStr">
        <is>
          <t>segment ending 2025-10-30 23:34</t>
        </is>
      </c>
      <c r="F554" s="2" t="n"/>
      <c r="G554" s="2" t="inlineStr">
        <is>
          <t>kWh/100km</t>
        </is>
      </c>
      <c r="H554" s="18">
        <f>IFERROR(ROUND(INDEX(fillups!$N$2:$N$596,MATCH("ev|2025-10-30 23:34",fillups!$O$2:$O$596,0)),2),"—")</f>
        <v/>
      </c>
      <c r="I554" s="2" t="inlineStr">
        <is>
          <t>spreadsheet</t>
        </is>
      </c>
      <c r="J554" s="2" t="n"/>
      <c r="K554" s="14" t="inlineStr">
        <is>
          <t>example formula (Claude): check it, or replace it with your own</t>
        </is>
      </c>
    </row>
    <row r="555">
      <c r="A555" s="2" t="n">
        <v>554</v>
      </c>
      <c r="B555" s="2" t="inlineStr">
        <is>
          <t>economy.segment</t>
        </is>
      </c>
      <c r="C555" s="2" t="inlineStr">
        <is>
          <t>alex</t>
        </is>
      </c>
      <c r="D555" s="2" t="inlineStr">
        <is>
          <t>ev</t>
        </is>
      </c>
      <c r="E555" s="2" t="inlineStr">
        <is>
          <t>segment ending 2025-10-31 23:41</t>
        </is>
      </c>
      <c r="F555" s="2" t="n"/>
      <c r="G555" s="2" t="inlineStr">
        <is>
          <t>kWh/100km</t>
        </is>
      </c>
      <c r="H555" s="18">
        <f>IFERROR(ROUND(INDEX(fillups!$N$2:$N$596,MATCH("ev|2025-10-31 23:41",fillups!$O$2:$O$596,0)),2),"—")</f>
        <v/>
      </c>
      <c r="I555" s="2" t="inlineStr">
        <is>
          <t>spreadsheet</t>
        </is>
      </c>
      <c r="J555" s="2" t="n"/>
      <c r="K555" s="14" t="inlineStr">
        <is>
          <t>example formula (Claude): check it, or replace it with your own</t>
        </is>
      </c>
    </row>
    <row r="556">
      <c r="A556" s="2" t="n">
        <v>555</v>
      </c>
      <c r="B556" s="2" t="inlineStr">
        <is>
          <t>economy.segment</t>
        </is>
      </c>
      <c r="C556" s="2" t="inlineStr">
        <is>
          <t>alex</t>
        </is>
      </c>
      <c r="D556" s="2" t="inlineStr">
        <is>
          <t>ev</t>
        </is>
      </c>
      <c r="E556" s="2" t="inlineStr">
        <is>
          <t>segment ending 2025-11-04 23:50</t>
        </is>
      </c>
      <c r="F556" s="2" t="n"/>
      <c r="G556" s="2" t="inlineStr">
        <is>
          <t>kWh/100km</t>
        </is>
      </c>
      <c r="H556" s="18">
        <f>IFERROR(ROUND(INDEX(fillups!$N$2:$N$596,MATCH("ev|2025-11-04 23:50",fillups!$O$2:$O$596,0)),2),"—")</f>
        <v/>
      </c>
      <c r="I556" s="2" t="inlineStr">
        <is>
          <t>spreadsheet</t>
        </is>
      </c>
      <c r="J556" s="2" t="n"/>
      <c r="K556" s="14" t="inlineStr">
        <is>
          <t>example formula (Claude): check it, or replace it with your own</t>
        </is>
      </c>
    </row>
    <row r="557">
      <c r="A557" s="2" t="n">
        <v>556</v>
      </c>
      <c r="B557" s="2" t="inlineStr">
        <is>
          <t>economy.segment</t>
        </is>
      </c>
      <c r="C557" s="2" t="inlineStr">
        <is>
          <t>alex</t>
        </is>
      </c>
      <c r="D557" s="2" t="inlineStr">
        <is>
          <t>ev</t>
        </is>
      </c>
      <c r="E557" s="2" t="inlineStr">
        <is>
          <t>segment ending 2025-11-08 23:46</t>
        </is>
      </c>
      <c r="F557" s="2" t="n"/>
      <c r="G557" s="2" t="inlineStr">
        <is>
          <t>kWh/100km</t>
        </is>
      </c>
      <c r="H557" s="18">
        <f>IFERROR(ROUND(INDEX(fillups!$N$2:$N$596,MATCH("ev|2025-11-08 23:46",fillups!$O$2:$O$596,0)),2),"—")</f>
        <v/>
      </c>
      <c r="I557" s="2" t="inlineStr">
        <is>
          <t>spreadsheet</t>
        </is>
      </c>
      <c r="J557" s="2" t="n"/>
      <c r="K557" s="14" t="inlineStr">
        <is>
          <t>example formula (Claude): check it, or replace it with your own</t>
        </is>
      </c>
    </row>
    <row r="558">
      <c r="A558" s="2" t="n">
        <v>557</v>
      </c>
      <c r="B558" s="2" t="inlineStr">
        <is>
          <t>economy.segment</t>
        </is>
      </c>
      <c r="C558" s="2" t="inlineStr">
        <is>
          <t>alex</t>
        </is>
      </c>
      <c r="D558" s="2" t="inlineStr">
        <is>
          <t>ev</t>
        </is>
      </c>
      <c r="E558" s="2" t="inlineStr">
        <is>
          <t>segment ending 2025-11-10 23:33</t>
        </is>
      </c>
      <c r="F558" s="2" t="n"/>
      <c r="G558" s="2" t="inlineStr">
        <is>
          <t>kWh/100km</t>
        </is>
      </c>
      <c r="H558" s="18">
        <f>IFERROR(ROUND(INDEX(fillups!$N$2:$N$596,MATCH("ev|2025-11-10 23:33",fillups!$O$2:$O$596,0)),2),"—")</f>
        <v/>
      </c>
      <c r="I558" s="2" t="inlineStr">
        <is>
          <t>spreadsheet</t>
        </is>
      </c>
      <c r="J558" s="2" t="n"/>
      <c r="K558" s="14" t="inlineStr">
        <is>
          <t>example formula (Claude): check it, or replace it with your own</t>
        </is>
      </c>
    </row>
    <row r="559">
      <c r="A559" s="2" t="n">
        <v>558</v>
      </c>
      <c r="B559" s="2" t="inlineStr">
        <is>
          <t>economy.segment</t>
        </is>
      </c>
      <c r="C559" s="2" t="inlineStr">
        <is>
          <t>alex</t>
        </is>
      </c>
      <c r="D559" s="2" t="inlineStr">
        <is>
          <t>ev</t>
        </is>
      </c>
      <c r="E559" s="2" t="inlineStr">
        <is>
          <t>segment ending 2025-11-16 23:34</t>
        </is>
      </c>
      <c r="F559" s="2" t="n"/>
      <c r="G559" s="2" t="inlineStr">
        <is>
          <t>kWh/100km</t>
        </is>
      </c>
      <c r="H559" s="18">
        <f>IFERROR(ROUND(INDEX(fillups!$N$2:$N$596,MATCH("ev|2025-11-16 23:34",fillups!$O$2:$O$596,0)),2),"—")</f>
        <v/>
      </c>
      <c r="I559" s="2" t="inlineStr">
        <is>
          <t>spreadsheet</t>
        </is>
      </c>
      <c r="J559" s="2" t="n"/>
      <c r="K559" s="14" t="inlineStr">
        <is>
          <t>example formula (Claude): check it, or replace it with your own</t>
        </is>
      </c>
    </row>
    <row r="560">
      <c r="A560" s="2" t="n">
        <v>559</v>
      </c>
      <c r="B560" s="2" t="inlineStr">
        <is>
          <t>economy.segment</t>
        </is>
      </c>
      <c r="C560" s="2" t="inlineStr">
        <is>
          <t>alex</t>
        </is>
      </c>
      <c r="D560" s="2" t="inlineStr">
        <is>
          <t>ev</t>
        </is>
      </c>
      <c r="E560" s="2" t="inlineStr">
        <is>
          <t>segment ending 2025-11-20 23:53</t>
        </is>
      </c>
      <c r="F560" s="2" t="n"/>
      <c r="G560" s="2" t="inlineStr">
        <is>
          <t>kWh/100km</t>
        </is>
      </c>
      <c r="H560" s="18">
        <f>IFERROR(ROUND(INDEX(fillups!$N$2:$N$596,MATCH("ev|2025-11-20 23:53",fillups!$O$2:$O$596,0)),2),"—")</f>
        <v/>
      </c>
      <c r="I560" s="2" t="inlineStr">
        <is>
          <t>spreadsheet</t>
        </is>
      </c>
      <c r="J560" s="2" t="n"/>
      <c r="K560" s="14" t="inlineStr">
        <is>
          <t>example formula (Claude): check it, or replace it with your own</t>
        </is>
      </c>
    </row>
    <row r="561">
      <c r="A561" s="2" t="n">
        <v>560</v>
      </c>
      <c r="B561" s="2" t="inlineStr">
        <is>
          <t>economy.segment</t>
        </is>
      </c>
      <c r="C561" s="2" t="inlineStr">
        <is>
          <t>alex</t>
        </is>
      </c>
      <c r="D561" s="2" t="inlineStr">
        <is>
          <t>ev</t>
        </is>
      </c>
      <c r="E561" s="2" t="inlineStr">
        <is>
          <t>segment ending 2025-11-21 23:43</t>
        </is>
      </c>
      <c r="F561" s="2" t="n"/>
      <c r="G561" s="2" t="inlineStr">
        <is>
          <t>kWh/100km</t>
        </is>
      </c>
      <c r="H561" s="18">
        <f>IFERROR(ROUND(INDEX(fillups!$N$2:$N$596,MATCH("ev|2025-11-21 23:43",fillups!$O$2:$O$596,0)),2),"—")</f>
        <v/>
      </c>
      <c r="I561" s="2" t="inlineStr">
        <is>
          <t>spreadsheet</t>
        </is>
      </c>
      <c r="J561" s="2" t="n"/>
      <c r="K561" s="14" t="inlineStr">
        <is>
          <t>example formula (Claude): check it, or replace it with your own</t>
        </is>
      </c>
    </row>
    <row r="562">
      <c r="A562" s="2" t="n">
        <v>561</v>
      </c>
      <c r="B562" s="2" t="inlineStr">
        <is>
          <t>economy.segment</t>
        </is>
      </c>
      <c r="C562" s="2" t="inlineStr">
        <is>
          <t>alex</t>
        </is>
      </c>
      <c r="D562" s="2" t="inlineStr">
        <is>
          <t>ev</t>
        </is>
      </c>
      <c r="E562" s="2" t="inlineStr">
        <is>
          <t>segment ending 2025-11-23 23:33</t>
        </is>
      </c>
      <c r="F562" s="2" t="n"/>
      <c r="G562" s="2" t="inlineStr">
        <is>
          <t>kWh/100km</t>
        </is>
      </c>
      <c r="H562" s="18">
        <f>IFERROR(ROUND(INDEX(fillups!$N$2:$N$596,MATCH("ev|2025-11-23 23:33",fillups!$O$2:$O$596,0)),2),"—")</f>
        <v/>
      </c>
      <c r="I562" s="2" t="inlineStr">
        <is>
          <t>spreadsheet</t>
        </is>
      </c>
      <c r="J562" s="2" t="n"/>
      <c r="K562" s="14" t="inlineStr">
        <is>
          <t>example formula (Claude): check it, or replace it with your own</t>
        </is>
      </c>
    </row>
    <row r="563">
      <c r="A563" s="2" t="n">
        <v>562</v>
      </c>
      <c r="B563" s="2" t="inlineStr">
        <is>
          <t>economy.segment</t>
        </is>
      </c>
      <c r="C563" s="2" t="inlineStr">
        <is>
          <t>alex</t>
        </is>
      </c>
      <c r="D563" s="2" t="inlineStr">
        <is>
          <t>ev</t>
        </is>
      </c>
      <c r="E563" s="2" t="inlineStr">
        <is>
          <t>segment ending 2025-11-26 23:58</t>
        </is>
      </c>
      <c r="F563" s="2" t="n"/>
      <c r="G563" s="2" t="inlineStr">
        <is>
          <t>kWh/100km</t>
        </is>
      </c>
      <c r="H563" s="18">
        <f>IFERROR(ROUND(INDEX(fillups!$N$2:$N$596,MATCH("ev|2025-11-26 23:58",fillups!$O$2:$O$596,0)),2),"—")</f>
        <v/>
      </c>
      <c r="I563" s="2" t="inlineStr">
        <is>
          <t>spreadsheet</t>
        </is>
      </c>
      <c r="J563" s="2" t="n"/>
      <c r="K563" s="14" t="inlineStr">
        <is>
          <t>example formula (Claude): check it, or replace it with your own</t>
        </is>
      </c>
    </row>
    <row r="564">
      <c r="A564" s="2" t="n">
        <v>563</v>
      </c>
      <c r="B564" s="2" t="inlineStr">
        <is>
          <t>economy.segment</t>
        </is>
      </c>
      <c r="C564" s="2" t="inlineStr">
        <is>
          <t>alex</t>
        </is>
      </c>
      <c r="D564" s="2" t="inlineStr">
        <is>
          <t>ev</t>
        </is>
      </c>
      <c r="E564" s="2" t="inlineStr">
        <is>
          <t>segment ending 2025-11-28 23:33</t>
        </is>
      </c>
      <c r="F564" s="2" t="n"/>
      <c r="G564" s="2" t="inlineStr">
        <is>
          <t>kWh/100km</t>
        </is>
      </c>
      <c r="H564" s="18">
        <f>IFERROR(ROUND(INDEX(fillups!$N$2:$N$596,MATCH("ev|2025-11-28 23:33",fillups!$O$2:$O$596,0)),2),"—")</f>
        <v/>
      </c>
      <c r="I564" s="2" t="inlineStr">
        <is>
          <t>spreadsheet</t>
        </is>
      </c>
      <c r="J564" s="2" t="n"/>
      <c r="K564" s="14" t="inlineStr">
        <is>
          <t>example formula (Claude): check it, or replace it with your own</t>
        </is>
      </c>
    </row>
    <row r="565">
      <c r="A565" s="2" t="n">
        <v>564</v>
      </c>
      <c r="B565" s="2" t="inlineStr">
        <is>
          <t>economy.segment</t>
        </is>
      </c>
      <c r="C565" s="2" t="inlineStr">
        <is>
          <t>alex</t>
        </is>
      </c>
      <c r="D565" s="2" t="inlineStr">
        <is>
          <t>ev</t>
        </is>
      </c>
      <c r="E565" s="2" t="inlineStr">
        <is>
          <t>segment ending 2025-11-30 23:41</t>
        </is>
      </c>
      <c r="F565" s="2" t="n"/>
      <c r="G565" s="2" t="inlineStr">
        <is>
          <t>kWh/100km</t>
        </is>
      </c>
      <c r="H565" s="18">
        <f>IFERROR(ROUND(INDEX(fillups!$N$2:$N$596,MATCH("ev|2025-11-30 23:41",fillups!$O$2:$O$596,0)),2),"—")</f>
        <v/>
      </c>
      <c r="I565" s="2" t="inlineStr">
        <is>
          <t>spreadsheet</t>
        </is>
      </c>
      <c r="J565" s="2" t="n"/>
      <c r="K565" s="14" t="inlineStr">
        <is>
          <t>example formula (Claude): check it, or replace it with your own</t>
        </is>
      </c>
    </row>
    <row r="566">
      <c r="A566" s="2" t="n">
        <v>565</v>
      </c>
      <c r="B566" s="2" t="inlineStr">
        <is>
          <t>economy.segment</t>
        </is>
      </c>
      <c r="C566" s="2" t="inlineStr">
        <is>
          <t>alex</t>
        </is>
      </c>
      <c r="D566" s="2" t="inlineStr">
        <is>
          <t>ev</t>
        </is>
      </c>
      <c r="E566" s="2" t="inlineStr">
        <is>
          <t>segment ending 2025-12-02 23:59</t>
        </is>
      </c>
      <c r="F566" s="2" t="n"/>
      <c r="G566" s="2" t="inlineStr">
        <is>
          <t>kWh/100km</t>
        </is>
      </c>
      <c r="H566" s="18">
        <f>IFERROR(ROUND(INDEX(fillups!$N$2:$N$596,MATCH("ev|2025-12-02 23:59",fillups!$O$2:$O$596,0)),2),"—")</f>
        <v/>
      </c>
      <c r="I566" s="2" t="inlineStr">
        <is>
          <t>spreadsheet</t>
        </is>
      </c>
      <c r="J566" s="2" t="n"/>
      <c r="K566" s="14" t="inlineStr">
        <is>
          <t>example formula (Claude): check it, or replace it with your own</t>
        </is>
      </c>
    </row>
    <row r="567">
      <c r="A567" s="2" t="n">
        <v>566</v>
      </c>
      <c r="B567" s="2" t="inlineStr">
        <is>
          <t>economy.segment</t>
        </is>
      </c>
      <c r="C567" s="2" t="inlineStr">
        <is>
          <t>alex</t>
        </is>
      </c>
      <c r="D567" s="2" t="inlineStr">
        <is>
          <t>ev</t>
        </is>
      </c>
      <c r="E567" s="2" t="inlineStr">
        <is>
          <t>segment ending 2025-12-06 23:52</t>
        </is>
      </c>
      <c r="F567" s="2" t="n"/>
      <c r="G567" s="2" t="inlineStr">
        <is>
          <t>kWh/100km</t>
        </is>
      </c>
      <c r="H567" s="18">
        <f>IFERROR(ROUND(INDEX(fillups!$N$2:$N$596,MATCH("ev|2025-12-06 23:52",fillups!$O$2:$O$596,0)),2),"—")</f>
        <v/>
      </c>
      <c r="I567" s="2" t="inlineStr">
        <is>
          <t>spreadsheet</t>
        </is>
      </c>
      <c r="J567" s="2" t="n"/>
      <c r="K567" s="14" t="inlineStr">
        <is>
          <t>example formula (Claude): check it, or replace it with your own</t>
        </is>
      </c>
    </row>
    <row r="568">
      <c r="A568" s="2" t="n">
        <v>567</v>
      </c>
      <c r="B568" s="2" t="inlineStr">
        <is>
          <t>economy.segment</t>
        </is>
      </c>
      <c r="C568" s="2" t="inlineStr">
        <is>
          <t>alex</t>
        </is>
      </c>
      <c r="D568" s="2" t="inlineStr">
        <is>
          <t>ev</t>
        </is>
      </c>
      <c r="E568" s="2" t="inlineStr">
        <is>
          <t>segment ending 2025-12-08 23:47</t>
        </is>
      </c>
      <c r="F568" s="2" t="n"/>
      <c r="G568" s="2" t="inlineStr">
        <is>
          <t>kWh/100km</t>
        </is>
      </c>
      <c r="H568" s="18">
        <f>IFERROR(ROUND(INDEX(fillups!$N$2:$N$596,MATCH("ev|2025-12-08 23:47",fillups!$O$2:$O$596,0)),2),"—")</f>
        <v/>
      </c>
      <c r="I568" s="2" t="inlineStr">
        <is>
          <t>spreadsheet</t>
        </is>
      </c>
      <c r="J568" s="2" t="n"/>
      <c r="K568" s="14" t="inlineStr">
        <is>
          <t>example formula (Claude): check it, or replace it with your own</t>
        </is>
      </c>
    </row>
    <row r="569">
      <c r="A569" s="2" t="n">
        <v>568</v>
      </c>
      <c r="B569" s="2" t="inlineStr">
        <is>
          <t>economy.segment</t>
        </is>
      </c>
      <c r="C569" s="2" t="inlineStr">
        <is>
          <t>alex</t>
        </is>
      </c>
      <c r="D569" s="2" t="inlineStr">
        <is>
          <t>ev</t>
        </is>
      </c>
      <c r="E569" s="2" t="inlineStr">
        <is>
          <t>segment ending 2025-12-11 23:32</t>
        </is>
      </c>
      <c r="F569" s="2" t="n"/>
      <c r="G569" s="2" t="inlineStr">
        <is>
          <t>kWh/100km</t>
        </is>
      </c>
      <c r="H569" s="18">
        <f>IFERROR(ROUND(INDEX(fillups!$N$2:$N$596,MATCH("ev|2025-12-11 23:32",fillups!$O$2:$O$596,0)),2),"—")</f>
        <v/>
      </c>
      <c r="I569" s="2" t="inlineStr">
        <is>
          <t>spreadsheet</t>
        </is>
      </c>
      <c r="J569" s="2" t="n"/>
      <c r="K569" s="14" t="inlineStr">
        <is>
          <t>example formula (Claude): check it, or replace it with your own</t>
        </is>
      </c>
    </row>
    <row r="570">
      <c r="A570" s="2" t="n">
        <v>569</v>
      </c>
      <c r="B570" s="2" t="inlineStr">
        <is>
          <t>economy.segment</t>
        </is>
      </c>
      <c r="C570" s="2" t="inlineStr">
        <is>
          <t>alex</t>
        </is>
      </c>
      <c r="D570" s="2" t="inlineStr">
        <is>
          <t>ev</t>
        </is>
      </c>
      <c r="E570" s="2" t="inlineStr">
        <is>
          <t>segment ending 2025-12-14 23:31</t>
        </is>
      </c>
      <c r="F570" s="2" t="n"/>
      <c r="G570" s="2" t="inlineStr">
        <is>
          <t>kWh/100km</t>
        </is>
      </c>
      <c r="H570" s="18">
        <f>IFERROR(ROUND(INDEX(fillups!$N$2:$N$596,MATCH("ev|2025-12-14 23:31",fillups!$O$2:$O$596,0)),2),"—")</f>
        <v/>
      </c>
      <c r="I570" s="2" t="inlineStr">
        <is>
          <t>spreadsheet</t>
        </is>
      </c>
      <c r="J570" s="2" t="n"/>
      <c r="K570" s="14" t="inlineStr">
        <is>
          <t>example formula (Claude): check it, or replace it with your own</t>
        </is>
      </c>
    </row>
    <row r="571">
      <c r="A571" s="2" t="n">
        <v>570</v>
      </c>
      <c r="B571" s="2" t="inlineStr">
        <is>
          <t>economy.segment</t>
        </is>
      </c>
      <c r="C571" s="2" t="inlineStr">
        <is>
          <t>alex</t>
        </is>
      </c>
      <c r="D571" s="2" t="inlineStr">
        <is>
          <t>ev</t>
        </is>
      </c>
      <c r="E571" s="2" t="inlineStr">
        <is>
          <t>segment ending 2025-12-18 23:47</t>
        </is>
      </c>
      <c r="F571" s="2" t="n"/>
      <c r="G571" s="2" t="inlineStr">
        <is>
          <t>kWh/100km</t>
        </is>
      </c>
      <c r="H571" s="18">
        <f>IFERROR(ROUND(INDEX(fillups!$N$2:$N$596,MATCH("ev|2025-12-18 23:47",fillups!$O$2:$O$596,0)),2),"—")</f>
        <v/>
      </c>
      <c r="I571" s="2" t="inlineStr">
        <is>
          <t>spreadsheet</t>
        </is>
      </c>
      <c r="J571" s="2" t="n"/>
      <c r="K571" s="14" t="inlineStr">
        <is>
          <t>example formula (Claude): check it, or replace it with your own</t>
        </is>
      </c>
    </row>
    <row r="572">
      <c r="A572" s="2" t="n">
        <v>571</v>
      </c>
      <c r="B572" s="2" t="inlineStr">
        <is>
          <t>economy.segment</t>
        </is>
      </c>
      <c r="C572" s="2" t="inlineStr">
        <is>
          <t>alex</t>
        </is>
      </c>
      <c r="D572" s="2" t="inlineStr">
        <is>
          <t>ev</t>
        </is>
      </c>
      <c r="E572" s="2" t="inlineStr">
        <is>
          <t>segment ending 2025-12-21 23:40</t>
        </is>
      </c>
      <c r="F572" s="2" t="n"/>
      <c r="G572" s="2" t="inlineStr">
        <is>
          <t>kWh/100km</t>
        </is>
      </c>
      <c r="H572" s="18">
        <f>IFERROR(ROUND(INDEX(fillups!$N$2:$N$596,MATCH("ev|2025-12-21 23:40",fillups!$O$2:$O$596,0)),2),"—")</f>
        <v/>
      </c>
      <c r="I572" s="2" t="inlineStr">
        <is>
          <t>spreadsheet</t>
        </is>
      </c>
      <c r="J572" s="2" t="n"/>
      <c r="K572" s="14" t="inlineStr">
        <is>
          <t>example formula (Claude): check it, or replace it with your own</t>
        </is>
      </c>
    </row>
    <row r="573">
      <c r="A573" s="2" t="n">
        <v>572</v>
      </c>
      <c r="B573" s="2" t="inlineStr">
        <is>
          <t>economy.segment</t>
        </is>
      </c>
      <c r="C573" s="2" t="inlineStr">
        <is>
          <t>alex</t>
        </is>
      </c>
      <c r="D573" s="2" t="inlineStr">
        <is>
          <t>ev</t>
        </is>
      </c>
      <c r="E573" s="2" t="inlineStr">
        <is>
          <t>segment ending 2025-12-26 23:52</t>
        </is>
      </c>
      <c r="F573" s="2" t="n"/>
      <c r="G573" s="2" t="inlineStr">
        <is>
          <t>kWh/100km</t>
        </is>
      </c>
      <c r="H573" s="18">
        <f>IFERROR(ROUND(INDEX(fillups!$N$2:$N$596,MATCH("ev|2025-12-26 23:52",fillups!$O$2:$O$596,0)),2),"—")</f>
        <v/>
      </c>
      <c r="I573" s="2" t="inlineStr">
        <is>
          <t>spreadsheet</t>
        </is>
      </c>
      <c r="J573" s="2" t="n"/>
      <c r="K573" s="14" t="inlineStr">
        <is>
          <t>example formula (Claude): check it, or replace it with your own</t>
        </is>
      </c>
    </row>
    <row r="574">
      <c r="A574" s="2" t="n">
        <v>573</v>
      </c>
      <c r="B574" s="2" t="inlineStr">
        <is>
          <t>economy.segment</t>
        </is>
      </c>
      <c r="C574" s="2" t="inlineStr">
        <is>
          <t>alex</t>
        </is>
      </c>
      <c r="D574" s="2" t="inlineStr">
        <is>
          <t>ev</t>
        </is>
      </c>
      <c r="E574" s="2" t="inlineStr">
        <is>
          <t>segment ending 2025-12-30 23:39</t>
        </is>
      </c>
      <c r="F574" s="2" t="n"/>
      <c r="G574" s="2" t="inlineStr">
        <is>
          <t>kWh/100km</t>
        </is>
      </c>
      <c r="H574" s="18">
        <f>IFERROR(ROUND(INDEX(fillups!$N$2:$N$596,MATCH("ev|2025-12-30 23:39",fillups!$O$2:$O$596,0)),2),"—")</f>
        <v/>
      </c>
      <c r="I574" s="2" t="inlineStr">
        <is>
          <t>spreadsheet</t>
        </is>
      </c>
      <c r="J574" s="2" t="n"/>
      <c r="K574" s="14" t="inlineStr">
        <is>
          <t>example formula (Claude): check it, or replace it with your own</t>
        </is>
      </c>
    </row>
    <row r="575">
      <c r="A575" s="2" t="n">
        <v>574</v>
      </c>
      <c r="B575" s="2" t="inlineStr">
        <is>
          <t>economy.segment</t>
        </is>
      </c>
      <c r="C575" s="2" t="inlineStr">
        <is>
          <t>alex</t>
        </is>
      </c>
      <c r="D575" s="2" t="inlineStr">
        <is>
          <t>ev</t>
        </is>
      </c>
      <c r="E575" s="2" t="inlineStr">
        <is>
          <t>segment ending 2026-01-01 23:48</t>
        </is>
      </c>
      <c r="F575" s="2" t="n"/>
      <c r="G575" s="2" t="inlineStr">
        <is>
          <t>kWh/100km</t>
        </is>
      </c>
      <c r="H575" s="18">
        <f>IFERROR(ROUND(INDEX(fillups!$N$2:$N$596,MATCH("ev|2026-01-01 23:48",fillups!$O$2:$O$596,0)),2),"—")</f>
        <v/>
      </c>
      <c r="I575" s="2" t="inlineStr">
        <is>
          <t>spreadsheet</t>
        </is>
      </c>
      <c r="J575" s="2" t="n"/>
      <c r="K575" s="14" t="inlineStr">
        <is>
          <t>example formula (Claude): check it, or replace it with your own</t>
        </is>
      </c>
    </row>
    <row r="576">
      <c r="A576" s="2" t="n">
        <v>575</v>
      </c>
      <c r="B576" s="2" t="inlineStr">
        <is>
          <t>economy.segment</t>
        </is>
      </c>
      <c r="C576" s="2" t="inlineStr">
        <is>
          <t>alex</t>
        </is>
      </c>
      <c r="D576" s="2" t="inlineStr">
        <is>
          <t>ev</t>
        </is>
      </c>
      <c r="E576" s="2" t="inlineStr">
        <is>
          <t>segment ending 2026-01-05 23:58</t>
        </is>
      </c>
      <c r="F576" s="2" t="n"/>
      <c r="G576" s="2" t="inlineStr">
        <is>
          <t>kWh/100km</t>
        </is>
      </c>
      <c r="H576" s="18">
        <f>IFERROR(ROUND(INDEX(fillups!$N$2:$N$596,MATCH("ev|2026-01-05 23:58",fillups!$O$2:$O$596,0)),2),"—")</f>
        <v/>
      </c>
      <c r="I576" s="2" t="inlineStr">
        <is>
          <t>spreadsheet</t>
        </is>
      </c>
      <c r="J576" s="2" t="n"/>
      <c r="K576" s="14" t="inlineStr">
        <is>
          <t>example formula (Claude): check it, or replace it with your own</t>
        </is>
      </c>
    </row>
    <row r="577">
      <c r="A577" s="2" t="n">
        <v>576</v>
      </c>
      <c r="B577" s="2" t="inlineStr">
        <is>
          <t>economy.segment</t>
        </is>
      </c>
      <c r="C577" s="2" t="inlineStr">
        <is>
          <t>alex</t>
        </is>
      </c>
      <c r="D577" s="2" t="inlineStr">
        <is>
          <t>ev</t>
        </is>
      </c>
      <c r="E577" s="2" t="inlineStr">
        <is>
          <t>segment ending 2026-01-10 23:37</t>
        </is>
      </c>
      <c r="F577" s="2" t="n"/>
      <c r="G577" s="2" t="inlineStr">
        <is>
          <t>kWh/100km</t>
        </is>
      </c>
      <c r="H577" s="18">
        <f>IFERROR(ROUND(INDEX(fillups!$N$2:$N$596,MATCH("ev|2026-01-10 23:37",fillups!$O$2:$O$596,0)),2),"—")</f>
        <v/>
      </c>
      <c r="I577" s="2" t="inlineStr">
        <is>
          <t>spreadsheet</t>
        </is>
      </c>
      <c r="J577" s="2" t="n"/>
      <c r="K577" s="14" t="inlineStr">
        <is>
          <t>example formula (Claude): check it, or replace it with your own</t>
        </is>
      </c>
    </row>
    <row r="578">
      <c r="A578" s="2" t="n">
        <v>577</v>
      </c>
      <c r="B578" s="2" t="inlineStr">
        <is>
          <t>economy.segment</t>
        </is>
      </c>
      <c r="C578" s="2" t="inlineStr">
        <is>
          <t>alex</t>
        </is>
      </c>
      <c r="D578" s="2" t="inlineStr">
        <is>
          <t>ev</t>
        </is>
      </c>
      <c r="E578" s="2" t="inlineStr">
        <is>
          <t>segment ending 2026-01-14 23:39</t>
        </is>
      </c>
      <c r="F578" s="2" t="n"/>
      <c r="G578" s="2" t="inlineStr">
        <is>
          <t>kWh/100km</t>
        </is>
      </c>
      <c r="H578" s="18">
        <f>IFERROR(ROUND(INDEX(fillups!$N$2:$N$596,MATCH("ev|2026-01-14 23:39",fillups!$O$2:$O$596,0)),2),"—")</f>
        <v/>
      </c>
      <c r="I578" s="2" t="inlineStr">
        <is>
          <t>spreadsheet</t>
        </is>
      </c>
      <c r="J578" s="2" t="n"/>
      <c r="K578" s="14" t="inlineStr">
        <is>
          <t>example formula (Claude): check it, or replace it with your own</t>
        </is>
      </c>
    </row>
    <row r="579">
      <c r="A579" s="2" t="n">
        <v>578</v>
      </c>
      <c r="B579" s="2" t="inlineStr">
        <is>
          <t>economy.segment</t>
        </is>
      </c>
      <c r="C579" s="2" t="inlineStr">
        <is>
          <t>alex</t>
        </is>
      </c>
      <c r="D579" s="2" t="inlineStr">
        <is>
          <t>ev</t>
        </is>
      </c>
      <c r="E579" s="2" t="inlineStr">
        <is>
          <t>segment ending 2026-01-18 23:56</t>
        </is>
      </c>
      <c r="F579" s="2" t="n"/>
      <c r="G579" s="2" t="inlineStr">
        <is>
          <t>kWh/100km</t>
        </is>
      </c>
      <c r="H579" s="18">
        <f>IFERROR(ROUND(INDEX(fillups!$N$2:$N$596,MATCH("ev|2026-01-18 23:56",fillups!$O$2:$O$596,0)),2),"—")</f>
        <v/>
      </c>
      <c r="I579" s="2" t="inlineStr">
        <is>
          <t>spreadsheet</t>
        </is>
      </c>
      <c r="J579" s="2" t="n"/>
      <c r="K579" s="14" t="inlineStr">
        <is>
          <t>example formula (Claude): check it, or replace it with your own</t>
        </is>
      </c>
    </row>
    <row r="580">
      <c r="A580" s="2" t="n">
        <v>579</v>
      </c>
      <c r="B580" s="2" t="inlineStr">
        <is>
          <t>economy.segment</t>
        </is>
      </c>
      <c r="C580" s="2" t="inlineStr">
        <is>
          <t>alex</t>
        </is>
      </c>
      <c r="D580" s="2" t="inlineStr">
        <is>
          <t>ev</t>
        </is>
      </c>
      <c r="E580" s="2" t="inlineStr">
        <is>
          <t>segment ending 2026-01-21 23:44</t>
        </is>
      </c>
      <c r="F580" s="2" t="n"/>
      <c r="G580" s="2" t="inlineStr">
        <is>
          <t>kWh/100km</t>
        </is>
      </c>
      <c r="H580" s="18">
        <f>IFERROR(ROUND(INDEX(fillups!$N$2:$N$596,MATCH("ev|2026-01-21 23:44",fillups!$O$2:$O$596,0)),2),"—")</f>
        <v/>
      </c>
      <c r="I580" s="2" t="inlineStr">
        <is>
          <t>spreadsheet</t>
        </is>
      </c>
      <c r="J580" s="2" t="n"/>
      <c r="K580" s="14" t="inlineStr">
        <is>
          <t>example formula (Claude): check it, or replace it with your own</t>
        </is>
      </c>
    </row>
    <row r="581">
      <c r="A581" s="2" t="n">
        <v>580</v>
      </c>
      <c r="B581" s="2" t="inlineStr">
        <is>
          <t>economy.segment</t>
        </is>
      </c>
      <c r="C581" s="2" t="inlineStr">
        <is>
          <t>alex</t>
        </is>
      </c>
      <c r="D581" s="2" t="inlineStr">
        <is>
          <t>ev</t>
        </is>
      </c>
      <c r="E581" s="2" t="inlineStr">
        <is>
          <t>segment ending 2026-01-25 23:45</t>
        </is>
      </c>
      <c r="F581" s="2" t="n"/>
      <c r="G581" s="2" t="inlineStr">
        <is>
          <t>kWh/100km</t>
        </is>
      </c>
      <c r="H581" s="18">
        <f>IFERROR(ROUND(INDEX(fillups!$N$2:$N$596,MATCH("ev|2026-01-25 23:45",fillups!$O$2:$O$596,0)),2),"—")</f>
        <v/>
      </c>
      <c r="I581" s="2" t="inlineStr">
        <is>
          <t>spreadsheet</t>
        </is>
      </c>
      <c r="J581" s="2" t="n"/>
      <c r="K581" s="14" t="inlineStr">
        <is>
          <t>example formula (Claude): check it, or replace it with your own</t>
        </is>
      </c>
    </row>
    <row r="582">
      <c r="A582" s="2" t="n">
        <v>581</v>
      </c>
      <c r="B582" s="2" t="inlineStr">
        <is>
          <t>economy.segment</t>
        </is>
      </c>
      <c r="C582" s="2" t="inlineStr">
        <is>
          <t>alex</t>
        </is>
      </c>
      <c r="D582" s="2" t="inlineStr">
        <is>
          <t>ev</t>
        </is>
      </c>
      <c r="E582" s="2" t="inlineStr">
        <is>
          <t>segment ending 2026-01-28 23:53</t>
        </is>
      </c>
      <c r="F582" s="2" t="n"/>
      <c r="G582" s="2" t="inlineStr">
        <is>
          <t>kWh/100km</t>
        </is>
      </c>
      <c r="H582" s="18">
        <f>IFERROR(ROUND(INDEX(fillups!$N$2:$N$596,MATCH("ev|2026-01-28 23:53",fillups!$O$2:$O$596,0)),2),"—")</f>
        <v/>
      </c>
      <c r="I582" s="2" t="inlineStr">
        <is>
          <t>spreadsheet</t>
        </is>
      </c>
      <c r="J582" s="2" t="n"/>
      <c r="K582" s="14" t="inlineStr">
        <is>
          <t>example formula (Claude): check it, or replace it with your own</t>
        </is>
      </c>
    </row>
    <row r="583">
      <c r="A583" s="2" t="n">
        <v>582</v>
      </c>
      <c r="B583" s="2" t="inlineStr">
        <is>
          <t>economy.segment</t>
        </is>
      </c>
      <c r="C583" s="2" t="inlineStr">
        <is>
          <t>alex</t>
        </is>
      </c>
      <c r="D583" s="2" t="inlineStr">
        <is>
          <t>ev</t>
        </is>
      </c>
      <c r="E583" s="2" t="inlineStr">
        <is>
          <t>segment ending 2026-01-31 23:34</t>
        </is>
      </c>
      <c r="F583" s="2" t="n"/>
      <c r="G583" s="2" t="inlineStr">
        <is>
          <t>kWh/100km</t>
        </is>
      </c>
      <c r="H583" s="18">
        <f>IFERROR(ROUND(INDEX(fillups!$N$2:$N$596,MATCH("ev|2026-01-31 23:34",fillups!$O$2:$O$596,0)),2),"—")</f>
        <v/>
      </c>
      <c r="I583" s="2" t="inlineStr">
        <is>
          <t>spreadsheet</t>
        </is>
      </c>
      <c r="J583" s="2" t="n"/>
      <c r="K583" s="14" t="inlineStr">
        <is>
          <t>example formula (Claude): check it, or replace it with your own</t>
        </is>
      </c>
    </row>
    <row r="584">
      <c r="A584" s="2" t="n">
        <v>583</v>
      </c>
      <c r="B584" s="2" t="inlineStr">
        <is>
          <t>economy.segment</t>
        </is>
      </c>
      <c r="C584" s="2" t="inlineStr">
        <is>
          <t>alex</t>
        </is>
      </c>
      <c r="D584" s="2" t="inlineStr">
        <is>
          <t>ev</t>
        </is>
      </c>
      <c r="E584" s="2" t="inlineStr">
        <is>
          <t>segment ending 2026-02-03 23:31</t>
        </is>
      </c>
      <c r="F584" s="2" t="n"/>
      <c r="G584" s="2" t="inlineStr">
        <is>
          <t>kWh/100km</t>
        </is>
      </c>
      <c r="H584" s="18">
        <f>IFERROR(ROUND(INDEX(fillups!$N$2:$N$596,MATCH("ev|2026-02-03 23:31",fillups!$O$2:$O$596,0)),2),"—")</f>
        <v/>
      </c>
      <c r="I584" s="2" t="inlineStr">
        <is>
          <t>spreadsheet</t>
        </is>
      </c>
      <c r="J584" s="2" t="n"/>
      <c r="K584" s="14" t="inlineStr">
        <is>
          <t>example formula (Claude): check it, or replace it with your own</t>
        </is>
      </c>
    </row>
    <row r="585">
      <c r="A585" s="2" t="n">
        <v>584</v>
      </c>
      <c r="B585" s="2" t="inlineStr">
        <is>
          <t>economy.segment</t>
        </is>
      </c>
      <c r="C585" s="2" t="inlineStr">
        <is>
          <t>alex</t>
        </is>
      </c>
      <c r="D585" s="2" t="inlineStr">
        <is>
          <t>ev</t>
        </is>
      </c>
      <c r="E585" s="2" t="inlineStr">
        <is>
          <t>segment ending 2026-02-06 23:43</t>
        </is>
      </c>
      <c r="F585" s="2" t="n"/>
      <c r="G585" s="2" t="inlineStr">
        <is>
          <t>kWh/100km</t>
        </is>
      </c>
      <c r="H585" s="18">
        <f>IFERROR(ROUND(INDEX(fillups!$N$2:$N$596,MATCH("ev|2026-02-06 23:43",fillups!$O$2:$O$596,0)),2),"—")</f>
        <v/>
      </c>
      <c r="I585" s="2" t="inlineStr">
        <is>
          <t>spreadsheet</t>
        </is>
      </c>
      <c r="J585" s="2" t="n"/>
      <c r="K585" s="14" t="inlineStr">
        <is>
          <t>example formula (Claude): check it, or replace it with your own</t>
        </is>
      </c>
    </row>
    <row r="586">
      <c r="A586" s="2" t="n">
        <v>585</v>
      </c>
      <c r="B586" s="2" t="inlineStr">
        <is>
          <t>economy.segment</t>
        </is>
      </c>
      <c r="C586" s="2" t="inlineStr">
        <is>
          <t>alex</t>
        </is>
      </c>
      <c r="D586" s="2" t="inlineStr">
        <is>
          <t>ev</t>
        </is>
      </c>
      <c r="E586" s="2" t="inlineStr">
        <is>
          <t>segment ending 2026-02-11 23:30</t>
        </is>
      </c>
      <c r="F586" s="2" t="n"/>
      <c r="G586" s="2" t="inlineStr">
        <is>
          <t>kWh/100km</t>
        </is>
      </c>
      <c r="H586" s="18">
        <f>IFERROR(ROUND(INDEX(fillups!$N$2:$N$596,MATCH("ev|2026-02-11 23:30",fillups!$O$2:$O$596,0)),2),"—")</f>
        <v/>
      </c>
      <c r="I586" s="2" t="inlineStr">
        <is>
          <t>spreadsheet</t>
        </is>
      </c>
      <c r="J586" s="2" t="n"/>
      <c r="K586" s="14" t="inlineStr">
        <is>
          <t>example formula (Claude): check it, or replace it with your own</t>
        </is>
      </c>
    </row>
    <row r="587">
      <c r="A587" s="2" t="n">
        <v>586</v>
      </c>
      <c r="B587" s="2" t="inlineStr">
        <is>
          <t>economy.segment</t>
        </is>
      </c>
      <c r="C587" s="2" t="inlineStr">
        <is>
          <t>alex</t>
        </is>
      </c>
      <c r="D587" s="2" t="inlineStr">
        <is>
          <t>ev</t>
        </is>
      </c>
      <c r="E587" s="2" t="inlineStr">
        <is>
          <t>segment ending 2026-02-17 23:49</t>
        </is>
      </c>
      <c r="F587" s="2" t="n"/>
      <c r="G587" s="2" t="inlineStr">
        <is>
          <t>kWh/100km</t>
        </is>
      </c>
      <c r="H587" s="18">
        <f>IFERROR(ROUND(INDEX(fillups!$N$2:$N$596,MATCH("ev|2026-02-17 23:49",fillups!$O$2:$O$596,0)),2),"—")</f>
        <v/>
      </c>
      <c r="I587" s="2" t="inlineStr">
        <is>
          <t>spreadsheet</t>
        </is>
      </c>
      <c r="J587" s="2" t="n"/>
      <c r="K587" s="14" t="inlineStr">
        <is>
          <t>example formula (Claude): check it, or replace it with your own</t>
        </is>
      </c>
    </row>
    <row r="588">
      <c r="A588" s="2" t="n">
        <v>587</v>
      </c>
      <c r="B588" s="2" t="inlineStr">
        <is>
          <t>economy.segment</t>
        </is>
      </c>
      <c r="C588" s="2" t="inlineStr">
        <is>
          <t>alex</t>
        </is>
      </c>
      <c r="D588" s="2" t="inlineStr">
        <is>
          <t>ev</t>
        </is>
      </c>
      <c r="E588" s="2" t="inlineStr">
        <is>
          <t>segment ending 2026-02-19 23:42</t>
        </is>
      </c>
      <c r="F588" s="2" t="n"/>
      <c r="G588" s="2" t="inlineStr">
        <is>
          <t>kWh/100km</t>
        </is>
      </c>
      <c r="H588" s="18">
        <f>IFERROR(ROUND(INDEX(fillups!$N$2:$N$596,MATCH("ev|2026-02-19 23:42",fillups!$O$2:$O$596,0)),2),"—")</f>
        <v/>
      </c>
      <c r="I588" s="2" t="inlineStr">
        <is>
          <t>spreadsheet</t>
        </is>
      </c>
      <c r="J588" s="2" t="n"/>
      <c r="K588" s="14" t="inlineStr">
        <is>
          <t>example formula (Claude): check it, or replace it with your own</t>
        </is>
      </c>
    </row>
    <row r="589">
      <c r="A589" s="2" t="n">
        <v>588</v>
      </c>
      <c r="B589" s="2" t="inlineStr">
        <is>
          <t>economy.segment</t>
        </is>
      </c>
      <c r="C589" s="2" t="inlineStr">
        <is>
          <t>alex</t>
        </is>
      </c>
      <c r="D589" s="2" t="inlineStr">
        <is>
          <t>ev</t>
        </is>
      </c>
      <c r="E589" s="2" t="inlineStr">
        <is>
          <t>segment ending 2026-02-25 23:40</t>
        </is>
      </c>
      <c r="F589" s="2" t="n"/>
      <c r="G589" s="2" t="inlineStr">
        <is>
          <t>kWh/100km</t>
        </is>
      </c>
      <c r="H589" s="18">
        <f>IFERROR(ROUND(INDEX(fillups!$N$2:$N$596,MATCH("ev|2026-02-25 23:40",fillups!$O$2:$O$596,0)),2),"—")</f>
        <v/>
      </c>
      <c r="I589" s="2" t="inlineStr">
        <is>
          <t>spreadsheet</t>
        </is>
      </c>
      <c r="J589" s="2" t="n"/>
      <c r="K589" s="14" t="inlineStr">
        <is>
          <t>example formula (Claude): check it, or replace it with your own</t>
        </is>
      </c>
    </row>
    <row r="590">
      <c r="A590" s="2" t="n">
        <v>589</v>
      </c>
      <c r="B590" s="2" t="inlineStr">
        <is>
          <t>economy.segment</t>
        </is>
      </c>
      <c r="C590" s="2" t="inlineStr">
        <is>
          <t>alex</t>
        </is>
      </c>
      <c r="D590" s="2" t="inlineStr">
        <is>
          <t>ev</t>
        </is>
      </c>
      <c r="E590" s="2" t="inlineStr">
        <is>
          <t>segment ending 2026-02-27 23:57</t>
        </is>
      </c>
      <c r="F590" s="2" t="n"/>
      <c r="G590" s="2" t="inlineStr">
        <is>
          <t>kWh/100km</t>
        </is>
      </c>
      <c r="H590" s="18">
        <f>IFERROR(ROUND(INDEX(fillups!$N$2:$N$596,MATCH("ev|2026-02-27 23:57",fillups!$O$2:$O$596,0)),2),"—")</f>
        <v/>
      </c>
      <c r="I590" s="2" t="inlineStr">
        <is>
          <t>spreadsheet</t>
        </is>
      </c>
      <c r="J590" s="2" t="n"/>
      <c r="K590" s="14" t="inlineStr">
        <is>
          <t>example formula (Claude): check it, or replace it with your own</t>
        </is>
      </c>
    </row>
    <row r="591">
      <c r="A591" s="2" t="n">
        <v>590</v>
      </c>
      <c r="B591" s="2" t="inlineStr">
        <is>
          <t>economy.segment</t>
        </is>
      </c>
      <c r="C591" s="2" t="inlineStr">
        <is>
          <t>alex</t>
        </is>
      </c>
      <c r="D591" s="2" t="inlineStr">
        <is>
          <t>ev</t>
        </is>
      </c>
      <c r="E591" s="2" t="inlineStr">
        <is>
          <t>segment ending 2026-03-03 23:57</t>
        </is>
      </c>
      <c r="F591" s="2" t="n"/>
      <c r="G591" s="2" t="inlineStr">
        <is>
          <t>kWh/100km</t>
        </is>
      </c>
      <c r="H591" s="18">
        <f>IFERROR(ROUND(INDEX(fillups!$N$2:$N$596,MATCH("ev|2026-03-03 23:57",fillups!$O$2:$O$596,0)),2),"—")</f>
        <v/>
      </c>
      <c r="I591" s="2" t="inlineStr">
        <is>
          <t>spreadsheet</t>
        </is>
      </c>
      <c r="J591" s="2" t="n"/>
      <c r="K591" s="14" t="inlineStr">
        <is>
          <t>example formula (Claude): check it, or replace it with your own</t>
        </is>
      </c>
    </row>
    <row r="592">
      <c r="A592" s="2" t="n">
        <v>591</v>
      </c>
      <c r="B592" s="2" t="inlineStr">
        <is>
          <t>economy.segment</t>
        </is>
      </c>
      <c r="C592" s="2" t="inlineStr">
        <is>
          <t>alex</t>
        </is>
      </c>
      <c r="D592" s="2" t="inlineStr">
        <is>
          <t>ev</t>
        </is>
      </c>
      <c r="E592" s="2" t="inlineStr">
        <is>
          <t>segment ending 2026-03-05 23:53</t>
        </is>
      </c>
      <c r="F592" s="2" t="n"/>
      <c r="G592" s="2" t="inlineStr">
        <is>
          <t>kWh/100km</t>
        </is>
      </c>
      <c r="H592" s="18">
        <f>IFERROR(ROUND(INDEX(fillups!$N$2:$N$596,MATCH("ev|2026-03-05 23:53",fillups!$O$2:$O$596,0)),2),"—")</f>
        <v/>
      </c>
      <c r="I592" s="2" t="inlineStr">
        <is>
          <t>spreadsheet</t>
        </is>
      </c>
      <c r="J592" s="2" t="n"/>
      <c r="K592" s="14" t="inlineStr">
        <is>
          <t>example formula (Claude): check it, or replace it with your own</t>
        </is>
      </c>
    </row>
    <row r="593">
      <c r="A593" s="2" t="n">
        <v>592</v>
      </c>
      <c r="B593" s="2" t="inlineStr">
        <is>
          <t>economy.segment</t>
        </is>
      </c>
      <c r="C593" s="2" t="inlineStr">
        <is>
          <t>alex</t>
        </is>
      </c>
      <c r="D593" s="2" t="inlineStr">
        <is>
          <t>ev</t>
        </is>
      </c>
      <c r="E593" s="2" t="inlineStr">
        <is>
          <t>segment ending 2026-03-12 23:47</t>
        </is>
      </c>
      <c r="F593" s="2" t="n"/>
      <c r="G593" s="2" t="inlineStr">
        <is>
          <t>kWh/100km</t>
        </is>
      </c>
      <c r="H593" s="18">
        <f>IFERROR(ROUND(INDEX(fillups!$N$2:$N$596,MATCH("ev|2026-03-12 23:47",fillups!$O$2:$O$596,0)),2),"—")</f>
        <v/>
      </c>
      <c r="I593" s="2" t="inlineStr">
        <is>
          <t>spreadsheet</t>
        </is>
      </c>
      <c r="J593" s="2" t="n"/>
      <c r="K593" s="14" t="inlineStr">
        <is>
          <t>example formula (Claude): check it, or replace it with your own</t>
        </is>
      </c>
    </row>
    <row r="594">
      <c r="A594" s="2" t="n">
        <v>593</v>
      </c>
      <c r="B594" s="2" t="inlineStr">
        <is>
          <t>economy.segment</t>
        </is>
      </c>
      <c r="C594" s="2" t="inlineStr">
        <is>
          <t>alex</t>
        </is>
      </c>
      <c r="D594" s="2" t="inlineStr">
        <is>
          <t>ev</t>
        </is>
      </c>
      <c r="E594" s="2" t="inlineStr">
        <is>
          <t>segment ending 2026-03-15 23:32</t>
        </is>
      </c>
      <c r="F594" s="2" t="n"/>
      <c r="G594" s="2" t="inlineStr">
        <is>
          <t>kWh/100km</t>
        </is>
      </c>
      <c r="H594" s="18">
        <f>IFERROR(ROUND(INDEX(fillups!$N$2:$N$596,MATCH("ev|2026-03-15 23:32",fillups!$O$2:$O$596,0)),2),"—")</f>
        <v/>
      </c>
      <c r="I594" s="2" t="inlineStr">
        <is>
          <t>spreadsheet</t>
        </is>
      </c>
      <c r="J594" s="2" t="n"/>
      <c r="K594" s="14" t="inlineStr">
        <is>
          <t>example formula (Claude): check it, or replace it with your own</t>
        </is>
      </c>
    </row>
    <row r="595">
      <c r="A595" s="2" t="n">
        <v>594</v>
      </c>
      <c r="B595" s="2" t="inlineStr">
        <is>
          <t>economy.segment</t>
        </is>
      </c>
      <c r="C595" s="2" t="inlineStr">
        <is>
          <t>alex</t>
        </is>
      </c>
      <c r="D595" s="2" t="inlineStr">
        <is>
          <t>ev</t>
        </is>
      </c>
      <c r="E595" s="2" t="inlineStr">
        <is>
          <t>segment ending 2026-03-16 23:52</t>
        </is>
      </c>
      <c r="F595" s="2" t="n"/>
      <c r="G595" s="2" t="inlineStr">
        <is>
          <t>kWh/100km</t>
        </is>
      </c>
      <c r="H595" s="18">
        <f>IFERROR(ROUND(INDEX(fillups!$N$2:$N$596,MATCH("ev|2026-03-16 23:52",fillups!$O$2:$O$596,0)),2),"—")</f>
        <v/>
      </c>
      <c r="I595" s="2" t="inlineStr">
        <is>
          <t>spreadsheet</t>
        </is>
      </c>
      <c r="J595" s="2" t="n"/>
      <c r="K595" s="14" t="inlineStr">
        <is>
          <t>example formula (Claude): check it, or replace it with your own</t>
        </is>
      </c>
    </row>
    <row r="596">
      <c r="A596" s="2" t="n">
        <v>595</v>
      </c>
      <c r="B596" s="2" t="inlineStr">
        <is>
          <t>economy.segment</t>
        </is>
      </c>
      <c r="C596" s="2" t="inlineStr">
        <is>
          <t>alex</t>
        </is>
      </c>
      <c r="D596" s="2" t="inlineStr">
        <is>
          <t>ev</t>
        </is>
      </c>
      <c r="E596" s="2" t="inlineStr">
        <is>
          <t>segment ending 2026-03-19 23:33</t>
        </is>
      </c>
      <c r="F596" s="2" t="n"/>
      <c r="G596" s="2" t="inlineStr">
        <is>
          <t>kWh/100km</t>
        </is>
      </c>
      <c r="H596" s="18">
        <f>IFERROR(ROUND(INDEX(fillups!$N$2:$N$596,MATCH("ev|2026-03-19 23:33",fillups!$O$2:$O$596,0)),2),"—")</f>
        <v/>
      </c>
      <c r="I596" s="2" t="inlineStr">
        <is>
          <t>spreadsheet</t>
        </is>
      </c>
      <c r="J596" s="2" t="n"/>
      <c r="K596" s="14" t="inlineStr">
        <is>
          <t>example formula (Claude): check it, or replace it with your own</t>
        </is>
      </c>
    </row>
    <row r="597">
      <c r="A597" s="2" t="n">
        <v>596</v>
      </c>
      <c r="B597" s="2" t="inlineStr">
        <is>
          <t>economy.segment</t>
        </is>
      </c>
      <c r="C597" s="2" t="inlineStr">
        <is>
          <t>alex</t>
        </is>
      </c>
      <c r="D597" s="2" t="inlineStr">
        <is>
          <t>ev</t>
        </is>
      </c>
      <c r="E597" s="2" t="inlineStr">
        <is>
          <t>segment ending 2026-03-21 23:47</t>
        </is>
      </c>
      <c r="F597" s="2" t="n"/>
      <c r="G597" s="2" t="inlineStr">
        <is>
          <t>kWh/100km</t>
        </is>
      </c>
      <c r="H597" s="18">
        <f>IFERROR(ROUND(INDEX(fillups!$N$2:$N$596,MATCH("ev|2026-03-21 23:47",fillups!$O$2:$O$596,0)),2),"—")</f>
        <v/>
      </c>
      <c r="I597" s="2" t="inlineStr">
        <is>
          <t>spreadsheet</t>
        </is>
      </c>
      <c r="J597" s="2" t="n"/>
      <c r="K597" s="14" t="inlineStr">
        <is>
          <t>example formula (Claude): check it, or replace it with your own</t>
        </is>
      </c>
    </row>
    <row r="598">
      <c r="A598" s="2" t="n">
        <v>597</v>
      </c>
      <c r="B598" s="2" t="inlineStr">
        <is>
          <t>economy.segment</t>
        </is>
      </c>
      <c r="C598" s="2" t="inlineStr">
        <is>
          <t>alex</t>
        </is>
      </c>
      <c r="D598" s="2" t="inlineStr">
        <is>
          <t>ev</t>
        </is>
      </c>
      <c r="E598" s="2" t="inlineStr">
        <is>
          <t>segment ending 2026-03-24 23:37</t>
        </is>
      </c>
      <c r="F598" s="2" t="n"/>
      <c r="G598" s="2" t="inlineStr">
        <is>
          <t>kWh/100km</t>
        </is>
      </c>
      <c r="H598" s="18">
        <f>IFERROR(ROUND(INDEX(fillups!$N$2:$N$596,MATCH("ev|2026-03-24 23:37",fillups!$O$2:$O$596,0)),2),"—")</f>
        <v/>
      </c>
      <c r="I598" s="2" t="inlineStr">
        <is>
          <t>spreadsheet</t>
        </is>
      </c>
      <c r="J598" s="2" t="n"/>
      <c r="K598" s="14" t="inlineStr">
        <is>
          <t>example formula (Claude): check it, or replace it with your own</t>
        </is>
      </c>
    </row>
    <row r="599">
      <c r="A599" s="2" t="n">
        <v>598</v>
      </c>
      <c r="B599" s="2" t="inlineStr">
        <is>
          <t>economy.segment</t>
        </is>
      </c>
      <c r="C599" s="2" t="inlineStr">
        <is>
          <t>alex</t>
        </is>
      </c>
      <c r="D599" s="2" t="inlineStr">
        <is>
          <t>ev</t>
        </is>
      </c>
      <c r="E599" s="2" t="inlineStr">
        <is>
          <t>segment ending 2026-03-27 23:36</t>
        </is>
      </c>
      <c r="F599" s="2" t="n"/>
      <c r="G599" s="2" t="inlineStr">
        <is>
          <t>kWh/100km</t>
        </is>
      </c>
      <c r="H599" s="18">
        <f>IFERROR(ROUND(INDEX(fillups!$N$2:$N$596,MATCH("ev|2026-03-27 23:36",fillups!$O$2:$O$596,0)),2),"—")</f>
        <v/>
      </c>
      <c r="I599" s="2" t="inlineStr">
        <is>
          <t>spreadsheet</t>
        </is>
      </c>
      <c r="J599" s="2" t="n"/>
      <c r="K599" s="14" t="inlineStr">
        <is>
          <t>example formula (Claude): check it, or replace it with your own</t>
        </is>
      </c>
    </row>
    <row r="600">
      <c r="A600" s="2" t="n">
        <v>599</v>
      </c>
      <c r="B600" s="2" t="inlineStr">
        <is>
          <t>economy.segment</t>
        </is>
      </c>
      <c r="C600" s="2" t="inlineStr">
        <is>
          <t>alex</t>
        </is>
      </c>
      <c r="D600" s="2" t="inlineStr">
        <is>
          <t>ev</t>
        </is>
      </c>
      <c r="E600" s="2" t="inlineStr">
        <is>
          <t>segment ending 2026-03-30 23:47</t>
        </is>
      </c>
      <c r="F600" s="2" t="n"/>
      <c r="G600" s="2" t="inlineStr">
        <is>
          <t>kWh/100km</t>
        </is>
      </c>
      <c r="H600" s="18">
        <f>IFERROR(ROUND(INDEX(fillups!$N$2:$N$596,MATCH("ev|2026-03-30 23:47",fillups!$O$2:$O$596,0)),2),"—")</f>
        <v/>
      </c>
      <c r="I600" s="2" t="inlineStr">
        <is>
          <t>spreadsheet</t>
        </is>
      </c>
      <c r="J600" s="2" t="n"/>
      <c r="K600" s="14" t="inlineStr">
        <is>
          <t>example formula (Claude): check it, or replace it with your own</t>
        </is>
      </c>
    </row>
    <row r="601">
      <c r="A601" s="2" t="n">
        <v>600</v>
      </c>
      <c r="B601" s="2" t="inlineStr">
        <is>
          <t>economy.segment</t>
        </is>
      </c>
      <c r="C601" s="2" t="inlineStr">
        <is>
          <t>alex</t>
        </is>
      </c>
      <c r="D601" s="2" t="inlineStr">
        <is>
          <t>ev</t>
        </is>
      </c>
      <c r="E601" s="2" t="inlineStr">
        <is>
          <t>segment ending 2026-04-02 23:39</t>
        </is>
      </c>
      <c r="F601" s="2" t="n"/>
      <c r="G601" s="2" t="inlineStr">
        <is>
          <t>kWh/100km</t>
        </is>
      </c>
      <c r="H601" s="18">
        <f>IFERROR(ROUND(INDEX(fillups!$N$2:$N$596,MATCH("ev|2026-04-02 23:39",fillups!$O$2:$O$596,0)),2),"—")</f>
        <v/>
      </c>
      <c r="I601" s="2" t="inlineStr">
        <is>
          <t>spreadsheet</t>
        </is>
      </c>
      <c r="J601" s="2" t="n"/>
      <c r="K601" s="14" t="inlineStr">
        <is>
          <t>example formula (Claude): check it, or replace it with your own</t>
        </is>
      </c>
    </row>
    <row r="602">
      <c r="A602" s="2" t="n">
        <v>601</v>
      </c>
      <c r="B602" s="2" t="inlineStr">
        <is>
          <t>economy.segment</t>
        </is>
      </c>
      <c r="C602" s="2" t="inlineStr">
        <is>
          <t>alex</t>
        </is>
      </c>
      <c r="D602" s="2" t="inlineStr">
        <is>
          <t>ev</t>
        </is>
      </c>
      <c r="E602" s="2" t="inlineStr">
        <is>
          <t>segment ending 2026-04-06 23:45</t>
        </is>
      </c>
      <c r="F602" s="2" t="n"/>
      <c r="G602" s="2" t="inlineStr">
        <is>
          <t>kWh/100km</t>
        </is>
      </c>
      <c r="H602" s="18">
        <f>IFERROR(ROUND(INDEX(fillups!$N$2:$N$596,MATCH("ev|2026-04-06 23:45",fillups!$O$2:$O$596,0)),2),"—")</f>
        <v/>
      </c>
      <c r="I602" s="2" t="inlineStr">
        <is>
          <t>spreadsheet</t>
        </is>
      </c>
      <c r="J602" s="2" t="n"/>
      <c r="K602" s="14" t="inlineStr">
        <is>
          <t>example formula (Claude): check it, or replace it with your own</t>
        </is>
      </c>
    </row>
    <row r="603">
      <c r="A603" s="2" t="n">
        <v>602</v>
      </c>
      <c r="B603" s="2" t="inlineStr">
        <is>
          <t>economy.segment</t>
        </is>
      </c>
      <c r="C603" s="2" t="inlineStr">
        <is>
          <t>alex</t>
        </is>
      </c>
      <c r="D603" s="2" t="inlineStr">
        <is>
          <t>ev</t>
        </is>
      </c>
      <c r="E603" s="2" t="inlineStr">
        <is>
          <t>segment ending 2026-04-09 23:53</t>
        </is>
      </c>
      <c r="F603" s="2" t="n"/>
      <c r="G603" s="2" t="inlineStr">
        <is>
          <t>kWh/100km</t>
        </is>
      </c>
      <c r="H603" s="18">
        <f>IFERROR(ROUND(INDEX(fillups!$N$2:$N$596,MATCH("ev|2026-04-09 23:53",fillups!$O$2:$O$596,0)),2),"—")</f>
        <v/>
      </c>
      <c r="I603" s="2" t="inlineStr">
        <is>
          <t>spreadsheet</t>
        </is>
      </c>
      <c r="J603" s="2" t="n"/>
      <c r="K603" s="14" t="inlineStr">
        <is>
          <t>example formula (Claude): check it, or replace it with your own</t>
        </is>
      </c>
    </row>
    <row r="604">
      <c r="A604" s="2" t="n">
        <v>603</v>
      </c>
      <c r="B604" s="2" t="inlineStr">
        <is>
          <t>economy.segment</t>
        </is>
      </c>
      <c r="C604" s="2" t="inlineStr">
        <is>
          <t>alex</t>
        </is>
      </c>
      <c r="D604" s="2" t="inlineStr">
        <is>
          <t>ev</t>
        </is>
      </c>
      <c r="E604" s="2" t="inlineStr">
        <is>
          <t>segment ending 2026-04-11 23:59</t>
        </is>
      </c>
      <c r="F604" s="2" t="n"/>
      <c r="G604" s="2" t="inlineStr">
        <is>
          <t>kWh/100km</t>
        </is>
      </c>
      <c r="H604" s="18">
        <f>IFERROR(ROUND(INDEX(fillups!$N$2:$N$596,MATCH("ev|2026-04-11 23:59",fillups!$O$2:$O$596,0)),2),"—")</f>
        <v/>
      </c>
      <c r="I604" s="2" t="inlineStr">
        <is>
          <t>spreadsheet</t>
        </is>
      </c>
      <c r="J604" s="2" t="n"/>
      <c r="K604" s="14" t="inlineStr">
        <is>
          <t>example formula (Claude): check it, or replace it with your own</t>
        </is>
      </c>
    </row>
    <row r="605">
      <c r="A605" s="2" t="n">
        <v>604</v>
      </c>
      <c r="B605" s="2" t="inlineStr">
        <is>
          <t>economy.segment</t>
        </is>
      </c>
      <c r="C605" s="2" t="inlineStr">
        <is>
          <t>alex</t>
        </is>
      </c>
      <c r="D605" s="2" t="inlineStr">
        <is>
          <t>ev</t>
        </is>
      </c>
      <c r="E605" s="2" t="inlineStr">
        <is>
          <t>segment ending 2026-04-14 23:46</t>
        </is>
      </c>
      <c r="F605" s="2" t="n"/>
      <c r="G605" s="2" t="inlineStr">
        <is>
          <t>kWh/100km</t>
        </is>
      </c>
      <c r="H605" s="18">
        <f>IFERROR(ROUND(INDEX(fillups!$N$2:$N$596,MATCH("ev|2026-04-14 23:46",fillups!$O$2:$O$596,0)),2),"—")</f>
        <v/>
      </c>
      <c r="I605" s="2" t="inlineStr">
        <is>
          <t>spreadsheet</t>
        </is>
      </c>
      <c r="J605" s="2" t="n"/>
      <c r="K605" s="14" t="inlineStr">
        <is>
          <t>example formula (Claude): check it, or replace it with your own</t>
        </is>
      </c>
    </row>
    <row r="606">
      <c r="A606" s="2" t="n">
        <v>605</v>
      </c>
      <c r="B606" s="2" t="inlineStr">
        <is>
          <t>economy.segment</t>
        </is>
      </c>
      <c r="C606" s="2" t="inlineStr">
        <is>
          <t>alex</t>
        </is>
      </c>
      <c r="D606" s="2" t="inlineStr">
        <is>
          <t>ev</t>
        </is>
      </c>
      <c r="E606" s="2" t="inlineStr">
        <is>
          <t>segment ending 2026-04-16 23:55</t>
        </is>
      </c>
      <c r="F606" s="2" t="n"/>
      <c r="G606" s="2" t="inlineStr">
        <is>
          <t>kWh/100km</t>
        </is>
      </c>
      <c r="H606" s="18">
        <f>IFERROR(ROUND(INDEX(fillups!$N$2:$N$596,MATCH("ev|2026-04-16 23:55",fillups!$O$2:$O$596,0)),2),"—")</f>
        <v/>
      </c>
      <c r="I606" s="2" t="inlineStr">
        <is>
          <t>spreadsheet</t>
        </is>
      </c>
      <c r="J606" s="2" t="n"/>
      <c r="K606" s="14" t="inlineStr">
        <is>
          <t>example formula (Claude): check it, or replace it with your own</t>
        </is>
      </c>
    </row>
    <row r="607">
      <c r="A607" s="2" t="n">
        <v>606</v>
      </c>
      <c r="B607" s="2" t="inlineStr">
        <is>
          <t>economy.segment</t>
        </is>
      </c>
      <c r="C607" s="2" t="inlineStr">
        <is>
          <t>alex</t>
        </is>
      </c>
      <c r="D607" s="2" t="inlineStr">
        <is>
          <t>ev</t>
        </is>
      </c>
      <c r="E607" s="2" t="inlineStr">
        <is>
          <t>segment ending 2026-04-19 23:50</t>
        </is>
      </c>
      <c r="F607" s="2" t="n"/>
      <c r="G607" s="2" t="inlineStr">
        <is>
          <t>kWh/100km</t>
        </is>
      </c>
      <c r="H607" s="18">
        <f>IFERROR(ROUND(INDEX(fillups!$N$2:$N$596,MATCH("ev|2026-04-19 23:50",fillups!$O$2:$O$596,0)),2),"—")</f>
        <v/>
      </c>
      <c r="I607" s="2" t="inlineStr">
        <is>
          <t>spreadsheet</t>
        </is>
      </c>
      <c r="J607" s="2" t="n"/>
      <c r="K607" s="14" t="inlineStr">
        <is>
          <t>example formula (Claude): check it, or replace it with your own</t>
        </is>
      </c>
    </row>
    <row r="608">
      <c r="A608" s="2" t="n">
        <v>607</v>
      </c>
      <c r="B608" s="2" t="inlineStr">
        <is>
          <t>economy.segment</t>
        </is>
      </c>
      <c r="C608" s="2" t="inlineStr">
        <is>
          <t>alex</t>
        </is>
      </c>
      <c r="D608" s="2" t="inlineStr">
        <is>
          <t>ev</t>
        </is>
      </c>
      <c r="E608" s="2" t="inlineStr">
        <is>
          <t>segment ending 2026-04-24 23:39</t>
        </is>
      </c>
      <c r="F608" s="2" t="n"/>
      <c r="G608" s="2" t="inlineStr">
        <is>
          <t>kWh/100km</t>
        </is>
      </c>
      <c r="H608" s="18">
        <f>IFERROR(ROUND(INDEX(fillups!$N$2:$N$596,MATCH("ev|2026-04-24 23:39",fillups!$O$2:$O$596,0)),2),"—")</f>
        <v/>
      </c>
      <c r="I608" s="2" t="inlineStr">
        <is>
          <t>spreadsheet</t>
        </is>
      </c>
      <c r="J608" s="2" t="n"/>
      <c r="K608" s="14" t="inlineStr">
        <is>
          <t>example formula (Claude): check it, or replace it with your own</t>
        </is>
      </c>
    </row>
    <row r="609">
      <c r="A609" s="2" t="n">
        <v>608</v>
      </c>
      <c r="B609" s="2" t="inlineStr">
        <is>
          <t>economy.segment</t>
        </is>
      </c>
      <c r="C609" s="2" t="inlineStr">
        <is>
          <t>alex</t>
        </is>
      </c>
      <c r="D609" s="2" t="inlineStr">
        <is>
          <t>ev</t>
        </is>
      </c>
      <c r="E609" s="2" t="inlineStr">
        <is>
          <t>segment ending 2026-04-28 23:56</t>
        </is>
      </c>
      <c r="F609" s="2" t="n"/>
      <c r="G609" s="2" t="inlineStr">
        <is>
          <t>kWh/100km</t>
        </is>
      </c>
      <c r="H609" s="18">
        <f>IFERROR(ROUND(INDEX(fillups!$N$2:$N$596,MATCH("ev|2026-04-28 23:56",fillups!$O$2:$O$596,0)),2),"—")</f>
        <v/>
      </c>
      <c r="I609" s="2" t="inlineStr">
        <is>
          <t>spreadsheet</t>
        </is>
      </c>
      <c r="J609" s="2" t="n"/>
      <c r="K609" s="14" t="inlineStr">
        <is>
          <t>example formula (Claude): check it, or replace it with your own</t>
        </is>
      </c>
    </row>
    <row r="610">
      <c r="A610" s="2" t="n">
        <v>609</v>
      </c>
      <c r="B610" s="2" t="inlineStr">
        <is>
          <t>economy.segment</t>
        </is>
      </c>
      <c r="C610" s="2" t="inlineStr">
        <is>
          <t>alex</t>
        </is>
      </c>
      <c r="D610" s="2" t="inlineStr">
        <is>
          <t>ev</t>
        </is>
      </c>
      <c r="E610" s="2" t="inlineStr">
        <is>
          <t>segment ending 2026-05-02 23:43</t>
        </is>
      </c>
      <c r="F610" s="2" t="n"/>
      <c r="G610" s="2" t="inlineStr">
        <is>
          <t>kWh/100km</t>
        </is>
      </c>
      <c r="H610" s="18">
        <f>IFERROR(ROUND(INDEX(fillups!$N$2:$N$596,MATCH("ev|2026-05-02 23:43",fillups!$O$2:$O$596,0)),2),"—")</f>
        <v/>
      </c>
      <c r="I610" s="2" t="inlineStr">
        <is>
          <t>spreadsheet</t>
        </is>
      </c>
      <c r="J610" s="2" t="n"/>
      <c r="K610" s="14" t="inlineStr">
        <is>
          <t>example formula (Claude): check it, or replace it with your own</t>
        </is>
      </c>
    </row>
    <row r="611">
      <c r="A611" s="2" t="n">
        <v>610</v>
      </c>
      <c r="B611" s="2" t="inlineStr">
        <is>
          <t>economy.segment</t>
        </is>
      </c>
      <c r="C611" s="2" t="inlineStr">
        <is>
          <t>alex</t>
        </is>
      </c>
      <c r="D611" s="2" t="inlineStr">
        <is>
          <t>ev</t>
        </is>
      </c>
      <c r="E611" s="2" t="inlineStr">
        <is>
          <t>segment ending 2026-05-08 23:48</t>
        </is>
      </c>
      <c r="F611" s="2" t="n"/>
      <c r="G611" s="2" t="inlineStr">
        <is>
          <t>kWh/100km</t>
        </is>
      </c>
      <c r="H611" s="18">
        <f>IFERROR(ROUND(INDEX(fillups!$N$2:$N$596,MATCH("ev|2026-05-08 23:48",fillups!$O$2:$O$596,0)),2),"—")</f>
        <v/>
      </c>
      <c r="I611" s="2" t="inlineStr">
        <is>
          <t>spreadsheet</t>
        </is>
      </c>
      <c r="J611" s="2" t="n"/>
      <c r="K611" s="14" t="inlineStr">
        <is>
          <t>example formula (Claude): check it, or replace it with your own</t>
        </is>
      </c>
    </row>
    <row r="612">
      <c r="A612" s="2" t="n">
        <v>611</v>
      </c>
      <c r="B612" s="2" t="inlineStr">
        <is>
          <t>economy.segment</t>
        </is>
      </c>
      <c r="C612" s="2" t="inlineStr">
        <is>
          <t>alex</t>
        </is>
      </c>
      <c r="D612" s="2" t="inlineStr">
        <is>
          <t>ev</t>
        </is>
      </c>
      <c r="E612" s="2" t="inlineStr">
        <is>
          <t>segment ending 2026-05-10 23:50</t>
        </is>
      </c>
      <c r="F612" s="2" t="n"/>
      <c r="G612" s="2" t="inlineStr">
        <is>
          <t>kWh/100km</t>
        </is>
      </c>
      <c r="H612" s="18">
        <f>IFERROR(ROUND(INDEX(fillups!$N$2:$N$596,MATCH("ev|2026-05-10 23:50",fillups!$O$2:$O$596,0)),2),"—")</f>
        <v/>
      </c>
      <c r="I612" s="2" t="inlineStr">
        <is>
          <t>spreadsheet</t>
        </is>
      </c>
      <c r="J612" s="2" t="n"/>
      <c r="K612" s="14" t="inlineStr">
        <is>
          <t>example formula (Claude): check it, or replace it with your own</t>
        </is>
      </c>
    </row>
    <row r="613">
      <c r="A613" s="2" t="n">
        <v>612</v>
      </c>
      <c r="B613" s="2" t="inlineStr">
        <is>
          <t>economy.segment</t>
        </is>
      </c>
      <c r="C613" s="2" t="inlineStr">
        <is>
          <t>alex</t>
        </is>
      </c>
      <c r="D613" s="2" t="inlineStr">
        <is>
          <t>ev</t>
        </is>
      </c>
      <c r="E613" s="2" t="inlineStr">
        <is>
          <t>segment ending 2026-05-15 23:50</t>
        </is>
      </c>
      <c r="F613" s="2" t="n"/>
      <c r="G613" s="2" t="inlineStr">
        <is>
          <t>kWh/100km</t>
        </is>
      </c>
      <c r="H613" s="18">
        <f>IFERROR(ROUND(INDEX(fillups!$N$2:$N$596,MATCH("ev|2026-05-15 23:50",fillups!$O$2:$O$596,0)),2),"—")</f>
        <v/>
      </c>
      <c r="I613" s="2" t="inlineStr">
        <is>
          <t>spreadsheet</t>
        </is>
      </c>
      <c r="J613" s="2" t="n"/>
      <c r="K613" s="14" t="inlineStr">
        <is>
          <t>example formula (Claude): check it, or replace it with your own</t>
        </is>
      </c>
    </row>
    <row r="614">
      <c r="A614" s="2" t="n">
        <v>613</v>
      </c>
      <c r="B614" s="2" t="inlineStr">
        <is>
          <t>economy.segment</t>
        </is>
      </c>
      <c r="C614" s="2" t="inlineStr">
        <is>
          <t>alex</t>
        </is>
      </c>
      <c r="D614" s="2" t="inlineStr">
        <is>
          <t>ev</t>
        </is>
      </c>
      <c r="E614" s="2" t="inlineStr">
        <is>
          <t>segment ending 2026-05-18 23:51</t>
        </is>
      </c>
      <c r="F614" s="2" t="n"/>
      <c r="G614" s="2" t="inlineStr">
        <is>
          <t>kWh/100km</t>
        </is>
      </c>
      <c r="H614" s="18">
        <f>IFERROR(ROUND(INDEX(fillups!$N$2:$N$596,MATCH("ev|2026-05-18 23:51",fillups!$O$2:$O$596,0)),2),"—")</f>
        <v/>
      </c>
      <c r="I614" s="2" t="inlineStr">
        <is>
          <t>spreadsheet</t>
        </is>
      </c>
      <c r="J614" s="2" t="n"/>
      <c r="K614" s="14" t="inlineStr">
        <is>
          <t>example formula (Claude): check it, or replace it with your own</t>
        </is>
      </c>
    </row>
    <row r="615">
      <c r="A615" s="2" t="n">
        <v>614</v>
      </c>
      <c r="B615" s="2" t="inlineStr">
        <is>
          <t>economy.segment</t>
        </is>
      </c>
      <c r="C615" s="2" t="inlineStr">
        <is>
          <t>alex</t>
        </is>
      </c>
      <c r="D615" s="2" t="inlineStr">
        <is>
          <t>ev</t>
        </is>
      </c>
      <c r="E615" s="2" t="inlineStr">
        <is>
          <t>segment ending 2026-05-21 23:51</t>
        </is>
      </c>
      <c r="F615" s="2" t="n"/>
      <c r="G615" s="2" t="inlineStr">
        <is>
          <t>kWh/100km</t>
        </is>
      </c>
      <c r="H615" s="18">
        <f>IFERROR(ROUND(INDEX(fillups!$N$2:$N$596,MATCH("ev|2026-05-21 23:51",fillups!$O$2:$O$596,0)),2),"—")</f>
        <v/>
      </c>
      <c r="I615" s="2" t="inlineStr">
        <is>
          <t>spreadsheet</t>
        </is>
      </c>
      <c r="J615" s="2" t="n"/>
      <c r="K615" s="14" t="inlineStr">
        <is>
          <t>example formula (Claude): check it, or replace it with your own</t>
        </is>
      </c>
    </row>
    <row r="616">
      <c r="A616" s="2" t="n">
        <v>615</v>
      </c>
      <c r="B616" s="2" t="inlineStr">
        <is>
          <t>economy.segment</t>
        </is>
      </c>
      <c r="C616" s="2" t="inlineStr">
        <is>
          <t>alex</t>
        </is>
      </c>
      <c r="D616" s="2" t="inlineStr">
        <is>
          <t>ev</t>
        </is>
      </c>
      <c r="E616" s="2" t="inlineStr">
        <is>
          <t>segment ending 2026-05-26 23:39</t>
        </is>
      </c>
      <c r="F616" s="2" t="n"/>
      <c r="G616" s="2" t="inlineStr">
        <is>
          <t>kWh/100km</t>
        </is>
      </c>
      <c r="H616" s="18">
        <f>IFERROR(ROUND(INDEX(fillups!$N$2:$N$596,MATCH("ev|2026-05-26 23:39",fillups!$O$2:$O$596,0)),2),"—")</f>
        <v/>
      </c>
      <c r="I616" s="2" t="inlineStr">
        <is>
          <t>spreadsheet</t>
        </is>
      </c>
      <c r="J616" s="2" t="n"/>
      <c r="K616" s="14" t="inlineStr">
        <is>
          <t>example formula (Claude): check it, or replace it with your own</t>
        </is>
      </c>
    </row>
    <row r="617">
      <c r="A617" s="2" t="n">
        <v>616</v>
      </c>
      <c r="B617" s="2" t="inlineStr">
        <is>
          <t>economy.segment</t>
        </is>
      </c>
      <c r="C617" s="2" t="inlineStr">
        <is>
          <t>alex</t>
        </is>
      </c>
      <c r="D617" s="2" t="inlineStr">
        <is>
          <t>ev</t>
        </is>
      </c>
      <c r="E617" s="2" t="inlineStr">
        <is>
          <t>segment ending 2026-05-31 23:47</t>
        </is>
      </c>
      <c r="F617" s="2" t="n"/>
      <c r="G617" s="2" t="inlineStr">
        <is>
          <t>kWh/100km</t>
        </is>
      </c>
      <c r="H617" s="18">
        <f>IFERROR(ROUND(INDEX(fillups!$N$2:$N$596,MATCH("ev|2026-05-31 23:47",fillups!$O$2:$O$596,0)),2),"—")</f>
        <v/>
      </c>
      <c r="I617" s="2" t="inlineStr">
        <is>
          <t>spreadsheet</t>
        </is>
      </c>
      <c r="J617" s="2" t="n"/>
      <c r="K617" s="14" t="inlineStr">
        <is>
          <t>example formula (Claude): check it, or replace it with your own</t>
        </is>
      </c>
    </row>
    <row r="618">
      <c r="A618" s="2" t="n">
        <v>617</v>
      </c>
      <c r="B618" s="2" t="inlineStr">
        <is>
          <t>economy.segment</t>
        </is>
      </c>
      <c r="C618" s="2" t="inlineStr">
        <is>
          <t>alex</t>
        </is>
      </c>
      <c r="D618" s="2" t="inlineStr">
        <is>
          <t>ev</t>
        </is>
      </c>
      <c r="E618" s="2" t="inlineStr">
        <is>
          <t>segment ending 2026-06-04 23:40</t>
        </is>
      </c>
      <c r="F618" s="2" t="n"/>
      <c r="G618" s="2" t="inlineStr">
        <is>
          <t>kWh/100km</t>
        </is>
      </c>
      <c r="H618" s="18">
        <f>IFERROR(ROUND(INDEX(fillups!$N$2:$N$596,MATCH("ev|2026-06-04 23:40",fillups!$O$2:$O$596,0)),2),"—")</f>
        <v/>
      </c>
      <c r="I618" s="2" t="inlineStr">
        <is>
          <t>spreadsheet</t>
        </is>
      </c>
      <c r="J618" s="2" t="n"/>
      <c r="K618" s="14" t="inlineStr">
        <is>
          <t>example formula (Claude): check it, or replace it with your own</t>
        </is>
      </c>
    </row>
    <row r="619">
      <c r="A619" s="2" t="n">
        <v>618</v>
      </c>
      <c r="B619" s="2" t="inlineStr">
        <is>
          <t>economy.segment</t>
        </is>
      </c>
      <c r="C619" s="2" t="inlineStr">
        <is>
          <t>alex</t>
        </is>
      </c>
      <c r="D619" s="2" t="inlineStr">
        <is>
          <t>ev</t>
        </is>
      </c>
      <c r="E619" s="2" t="inlineStr">
        <is>
          <t>segment ending 2026-06-08 23:36</t>
        </is>
      </c>
      <c r="F619" s="2" t="n"/>
      <c r="G619" s="2" t="inlineStr">
        <is>
          <t>kWh/100km</t>
        </is>
      </c>
      <c r="H619" s="18">
        <f>IFERROR(ROUND(INDEX(fillups!$N$2:$N$596,MATCH("ev|2026-06-08 23:36",fillups!$O$2:$O$596,0)),2),"—")</f>
        <v/>
      </c>
      <c r="I619" s="2" t="inlineStr">
        <is>
          <t>spreadsheet</t>
        </is>
      </c>
      <c r="J619" s="2" t="n"/>
      <c r="K619" s="14" t="inlineStr">
        <is>
          <t>example formula (Claude): check it, or replace it with your own</t>
        </is>
      </c>
    </row>
    <row r="620">
      <c r="A620" s="2" t="n">
        <v>619</v>
      </c>
      <c r="B620" s="2" t="inlineStr">
        <is>
          <t>economy.segment</t>
        </is>
      </c>
      <c r="C620" s="2" t="inlineStr">
        <is>
          <t>alex</t>
        </is>
      </c>
      <c r="D620" s="2" t="inlineStr">
        <is>
          <t>ev</t>
        </is>
      </c>
      <c r="E620" s="2" t="inlineStr">
        <is>
          <t>segment ending 2026-06-10 23:48</t>
        </is>
      </c>
      <c r="F620" s="2" t="n"/>
      <c r="G620" s="2" t="inlineStr">
        <is>
          <t>kWh/100km</t>
        </is>
      </c>
      <c r="H620" s="18">
        <f>IFERROR(ROUND(INDEX(fillups!$N$2:$N$596,MATCH("ev|2026-06-10 23:48",fillups!$O$2:$O$596,0)),2),"—")</f>
        <v/>
      </c>
      <c r="I620" s="2" t="inlineStr">
        <is>
          <t>spreadsheet</t>
        </is>
      </c>
      <c r="J620" s="2" t="n"/>
      <c r="K620" s="14" t="inlineStr">
        <is>
          <t>example formula (Claude): check it, or replace it with your own</t>
        </is>
      </c>
    </row>
    <row r="621">
      <c r="A621" s="2" t="n">
        <v>620</v>
      </c>
      <c r="B621" s="2" t="inlineStr">
        <is>
          <t>economy.segment</t>
        </is>
      </c>
      <c r="C621" s="2" t="inlineStr">
        <is>
          <t>alex</t>
        </is>
      </c>
      <c r="D621" s="2" t="inlineStr">
        <is>
          <t>ev</t>
        </is>
      </c>
      <c r="E621" s="2" t="inlineStr">
        <is>
          <t>segment ending 2026-06-11 23:57</t>
        </is>
      </c>
      <c r="F621" s="2" t="n"/>
      <c r="G621" s="2" t="inlineStr">
        <is>
          <t>kWh/100km</t>
        </is>
      </c>
      <c r="H621" s="18">
        <f>IFERROR(ROUND(INDEX(fillups!$N$2:$N$596,MATCH("ev|2026-06-11 23:57",fillups!$O$2:$O$596,0)),2),"—")</f>
        <v/>
      </c>
      <c r="I621" s="2" t="inlineStr">
        <is>
          <t>spreadsheet</t>
        </is>
      </c>
      <c r="J621" s="2" t="n"/>
      <c r="K621" s="14" t="inlineStr">
        <is>
          <t>example formula (Claude): check it, or replace it with your own</t>
        </is>
      </c>
    </row>
    <row r="622">
      <c r="A622" s="2" t="n">
        <v>621</v>
      </c>
      <c r="B622" s="2" t="inlineStr">
        <is>
          <t>economy.segment</t>
        </is>
      </c>
      <c r="C622" s="2" t="inlineStr">
        <is>
          <t>alex</t>
        </is>
      </c>
      <c r="D622" s="2" t="inlineStr">
        <is>
          <t>ev</t>
        </is>
      </c>
      <c r="E622" s="2" t="inlineStr">
        <is>
          <t>segment ending 2026-06-17 23:58</t>
        </is>
      </c>
      <c r="F622" s="2" t="n"/>
      <c r="G622" s="2" t="inlineStr">
        <is>
          <t>kWh/100km</t>
        </is>
      </c>
      <c r="H622" s="18">
        <f>IFERROR(ROUND(INDEX(fillups!$N$2:$N$596,MATCH("ev|2026-06-17 23:58",fillups!$O$2:$O$596,0)),2),"—")</f>
        <v/>
      </c>
      <c r="I622" s="2" t="inlineStr">
        <is>
          <t>spreadsheet</t>
        </is>
      </c>
      <c r="J622" s="2" t="n"/>
      <c r="K622" s="14" t="inlineStr">
        <is>
          <t>example formula (Claude): check it, or replace it with your own</t>
        </is>
      </c>
    </row>
    <row r="623">
      <c r="A623" s="2" t="n">
        <v>622</v>
      </c>
      <c r="B623" s="2" t="inlineStr">
        <is>
          <t>economy.segment</t>
        </is>
      </c>
      <c r="C623" s="2" t="inlineStr">
        <is>
          <t>alex</t>
        </is>
      </c>
      <c r="D623" s="2" t="inlineStr">
        <is>
          <t>ev</t>
        </is>
      </c>
      <c r="E623" s="2" t="inlineStr">
        <is>
          <t>segment ending 2026-06-19 23:58</t>
        </is>
      </c>
      <c r="F623" s="2" t="n"/>
      <c r="G623" s="2" t="inlineStr">
        <is>
          <t>kWh/100km</t>
        </is>
      </c>
      <c r="H623" s="18">
        <f>IFERROR(ROUND(INDEX(fillups!$N$2:$N$596,MATCH("ev|2026-06-19 23:58",fillups!$O$2:$O$596,0)),2),"—")</f>
        <v/>
      </c>
      <c r="I623" s="2" t="inlineStr">
        <is>
          <t>spreadsheet</t>
        </is>
      </c>
      <c r="J623" s="2" t="n"/>
      <c r="K623" s="14" t="inlineStr">
        <is>
          <t>example formula (Claude): check it, or replace it with your own</t>
        </is>
      </c>
    </row>
    <row r="624">
      <c r="A624" s="2" t="n">
        <v>623</v>
      </c>
      <c r="B624" s="2" t="inlineStr">
        <is>
          <t>economy.segment</t>
        </is>
      </c>
      <c r="C624" s="2" t="inlineStr">
        <is>
          <t>alex</t>
        </is>
      </c>
      <c r="D624" s="2" t="inlineStr">
        <is>
          <t>ev</t>
        </is>
      </c>
      <c r="E624" s="2" t="inlineStr">
        <is>
          <t>segment ending 2026-06-20 23:51</t>
        </is>
      </c>
      <c r="F624" s="2" t="n"/>
      <c r="G624" s="2" t="inlineStr">
        <is>
          <t>kWh/100km</t>
        </is>
      </c>
      <c r="H624" s="18">
        <f>IFERROR(ROUND(INDEX(fillups!$N$2:$N$596,MATCH("ev|2026-06-20 23:51",fillups!$O$2:$O$596,0)),2),"—")</f>
        <v/>
      </c>
      <c r="I624" s="2" t="inlineStr">
        <is>
          <t>spreadsheet</t>
        </is>
      </c>
      <c r="J624" s="2" t="n"/>
      <c r="K624" s="14" t="inlineStr">
        <is>
          <t>example formula (Claude): check it, or replace it with your own</t>
        </is>
      </c>
    </row>
    <row r="625">
      <c r="A625" s="2" t="n">
        <v>624</v>
      </c>
      <c r="B625" s="2" t="inlineStr">
        <is>
          <t>economy.segment</t>
        </is>
      </c>
      <c r="C625" s="2" t="inlineStr">
        <is>
          <t>alex</t>
        </is>
      </c>
      <c r="D625" s="2" t="inlineStr">
        <is>
          <t>ev</t>
        </is>
      </c>
      <c r="E625" s="2" t="inlineStr">
        <is>
          <t>segment ending 2026-06-23 23:52</t>
        </is>
      </c>
      <c r="F625" s="2" t="n"/>
      <c r="G625" s="2" t="inlineStr">
        <is>
          <t>kWh/100km</t>
        </is>
      </c>
      <c r="H625" s="18">
        <f>IFERROR(ROUND(INDEX(fillups!$N$2:$N$596,MATCH("ev|2026-06-23 23:52",fillups!$O$2:$O$596,0)),2),"—")</f>
        <v/>
      </c>
      <c r="I625" s="2" t="inlineStr">
        <is>
          <t>spreadsheet</t>
        </is>
      </c>
      <c r="J625" s="2" t="n"/>
      <c r="K625" s="14" t="inlineStr">
        <is>
          <t>example formula (Claude): check it, or replace it with your own</t>
        </is>
      </c>
    </row>
    <row r="626">
      <c r="A626" s="2" t="n">
        <v>625</v>
      </c>
      <c r="B626" s="2" t="inlineStr">
        <is>
          <t>economy.segment</t>
        </is>
      </c>
      <c r="C626" s="2" t="inlineStr">
        <is>
          <t>alex</t>
        </is>
      </c>
      <c r="D626" s="2" t="inlineStr">
        <is>
          <t>ev</t>
        </is>
      </c>
      <c r="E626" s="2" t="inlineStr">
        <is>
          <t>segment ending 2026-06-26 23:34</t>
        </is>
      </c>
      <c r="F626" s="2" t="n"/>
      <c r="G626" s="2" t="inlineStr">
        <is>
          <t>kWh/100km</t>
        </is>
      </c>
      <c r="H626" s="18">
        <f>IFERROR(ROUND(INDEX(fillups!$N$2:$N$596,MATCH("ev|2026-06-26 23:34",fillups!$O$2:$O$596,0)),2),"—")</f>
        <v/>
      </c>
      <c r="I626" s="2" t="inlineStr">
        <is>
          <t>spreadsheet</t>
        </is>
      </c>
      <c r="J626" s="2" t="n"/>
      <c r="K626" s="14" t="inlineStr">
        <is>
          <t>example formula (Claude): check it, or replace it with your own</t>
        </is>
      </c>
    </row>
    <row r="627">
      <c r="A627" s="2" t="n">
        <v>626</v>
      </c>
      <c r="B627" s="2" t="inlineStr">
        <is>
          <t>economy.segment</t>
        </is>
      </c>
      <c r="C627" s="2" t="inlineStr">
        <is>
          <t>alex</t>
        </is>
      </c>
      <c r="D627" s="2" t="inlineStr">
        <is>
          <t>ev</t>
        </is>
      </c>
      <c r="E627" s="2" t="inlineStr">
        <is>
          <t>segment ending 2026-06-29 23:37</t>
        </is>
      </c>
      <c r="F627" s="2" t="n"/>
      <c r="G627" s="2" t="inlineStr">
        <is>
          <t>kWh/100km</t>
        </is>
      </c>
      <c r="H627" s="18">
        <f>IFERROR(ROUND(INDEX(fillups!$N$2:$N$596,MATCH("ev|2026-06-29 23:37",fillups!$O$2:$O$596,0)),2),"—")</f>
        <v/>
      </c>
      <c r="I627" s="2" t="inlineStr">
        <is>
          <t>spreadsheet</t>
        </is>
      </c>
      <c r="J627" s="2" t="n"/>
      <c r="K627" s="14" t="inlineStr">
        <is>
          <t>example formula (Claude): check it, or replace it with your own</t>
        </is>
      </c>
    </row>
    <row r="628">
      <c r="A628" s="2" t="n">
        <v>627</v>
      </c>
      <c r="B628" s="2" t="inlineStr">
        <is>
          <t>economy.segment</t>
        </is>
      </c>
      <c r="C628" s="2" t="inlineStr">
        <is>
          <t>alex</t>
        </is>
      </c>
      <c r="D628" s="2" t="inlineStr">
        <is>
          <t>ev</t>
        </is>
      </c>
      <c r="E628" s="2" t="inlineStr">
        <is>
          <t>segment ending 2026-07-02 23:50</t>
        </is>
      </c>
      <c r="F628" s="2" t="n"/>
      <c r="G628" s="2" t="inlineStr">
        <is>
          <t>kWh/100km</t>
        </is>
      </c>
      <c r="H628" s="18">
        <f>IFERROR(ROUND(INDEX(fillups!$N$2:$N$596,MATCH("ev|2026-07-02 23:50",fillups!$O$2:$O$596,0)),2),"—")</f>
        <v/>
      </c>
      <c r="I628" s="2" t="inlineStr">
        <is>
          <t>spreadsheet</t>
        </is>
      </c>
      <c r="J628" s="2" t="n"/>
      <c r="K628" s="14" t="inlineStr">
        <is>
          <t>example formula (Claude): check it, or replace it with your own</t>
        </is>
      </c>
    </row>
    <row r="629">
      <c r="A629" s="2" t="n">
        <v>628</v>
      </c>
      <c r="B629" s="2" t="inlineStr">
        <is>
          <t>economy.segment</t>
        </is>
      </c>
      <c r="C629" s="2" t="inlineStr">
        <is>
          <t>alex</t>
        </is>
      </c>
      <c r="D629" s="2" t="inlineStr">
        <is>
          <t>ev</t>
        </is>
      </c>
      <c r="E629" s="2" t="inlineStr">
        <is>
          <t>segment ending 2026-07-03 23:34</t>
        </is>
      </c>
      <c r="F629" s="2" t="n"/>
      <c r="G629" s="2" t="inlineStr">
        <is>
          <t>kWh/100km</t>
        </is>
      </c>
      <c r="H629" s="18">
        <f>IFERROR(ROUND(INDEX(fillups!$N$2:$N$596,MATCH("ev|2026-07-03 23:34",fillups!$O$2:$O$596,0)),2),"—")</f>
        <v/>
      </c>
      <c r="I629" s="2" t="inlineStr">
        <is>
          <t>spreadsheet</t>
        </is>
      </c>
      <c r="J629" s="2" t="n"/>
      <c r="K629" s="14" t="inlineStr">
        <is>
          <t>example formula (Claude): check it, or replace it with your own</t>
        </is>
      </c>
    </row>
    <row r="630">
      <c r="A630" s="2" t="n">
        <v>629</v>
      </c>
      <c r="B630" s="2" t="inlineStr">
        <is>
          <t>economy.segment</t>
        </is>
      </c>
      <c r="C630" s="2" t="inlineStr">
        <is>
          <t>alex</t>
        </is>
      </c>
      <c r="D630" s="2" t="inlineStr">
        <is>
          <t>ev</t>
        </is>
      </c>
      <c r="E630" s="2" t="inlineStr">
        <is>
          <t>segment ending 2026-07-06 23:38</t>
        </is>
      </c>
      <c r="F630" s="2" t="n"/>
      <c r="G630" s="2" t="inlineStr">
        <is>
          <t>kWh/100km</t>
        </is>
      </c>
      <c r="H630" s="18">
        <f>IFERROR(ROUND(INDEX(fillups!$N$2:$N$596,MATCH("ev|2026-07-06 23:38",fillups!$O$2:$O$596,0)),2),"—")</f>
        <v/>
      </c>
      <c r="I630" s="2" t="inlineStr">
        <is>
          <t>spreadsheet</t>
        </is>
      </c>
      <c r="J630" s="2" t="n"/>
      <c r="K630" s="14" t="inlineStr">
        <is>
          <t>example formula (Claude): check it, or replace it with your own</t>
        </is>
      </c>
    </row>
    <row r="631">
      <c r="A631" s="2" t="n">
        <v>630</v>
      </c>
      <c r="B631" s="2" t="inlineStr">
        <is>
          <t>economy.segment</t>
        </is>
      </c>
      <c r="C631" s="2" t="inlineStr">
        <is>
          <t>alex</t>
        </is>
      </c>
      <c r="D631" s="2" t="inlineStr">
        <is>
          <t>ev</t>
        </is>
      </c>
      <c r="E631" s="2" t="inlineStr">
        <is>
          <t>segment ending 2026-07-09 23:52</t>
        </is>
      </c>
      <c r="F631" s="2" t="n"/>
      <c r="G631" s="2" t="inlineStr">
        <is>
          <t>kWh/100km</t>
        </is>
      </c>
      <c r="H631" s="18">
        <f>IFERROR(ROUND(INDEX(fillups!$N$2:$N$596,MATCH("ev|2026-07-09 23:52",fillups!$O$2:$O$596,0)),2),"—")</f>
        <v/>
      </c>
      <c r="I631" s="2" t="inlineStr">
        <is>
          <t>spreadsheet</t>
        </is>
      </c>
      <c r="J631" s="2" t="n"/>
      <c r="K631" s="14" t="inlineStr">
        <is>
          <t>example formula (Claude): check it, or replace it with your own</t>
        </is>
      </c>
    </row>
    <row r="632">
      <c r="A632" s="2" t="n">
        <v>631</v>
      </c>
      <c r="B632" s="2" t="inlineStr">
        <is>
          <t>economy.segment</t>
        </is>
      </c>
      <c r="C632" s="2" t="inlineStr">
        <is>
          <t>alex</t>
        </is>
      </c>
      <c r="D632" s="2" t="inlineStr">
        <is>
          <t>ev</t>
        </is>
      </c>
      <c r="E632" s="2" t="inlineStr">
        <is>
          <t>segment ending 2026-07-13 23:34</t>
        </is>
      </c>
      <c r="F632" s="2" t="n"/>
      <c r="G632" s="2" t="inlineStr">
        <is>
          <t>kWh/100km</t>
        </is>
      </c>
      <c r="H632" s="18">
        <f>IFERROR(ROUND(INDEX(fillups!$N$2:$N$596,MATCH("ev|2026-07-13 23:34",fillups!$O$2:$O$596,0)),2),"—")</f>
        <v/>
      </c>
      <c r="I632" s="2" t="inlineStr">
        <is>
          <t>spreadsheet</t>
        </is>
      </c>
      <c r="J632" s="2" t="n"/>
      <c r="K632" s="14" t="inlineStr">
        <is>
          <t>example formula (Claude): check it, or replace it with your own</t>
        </is>
      </c>
    </row>
    <row r="633">
      <c r="A633" s="2" t="n">
        <v>632</v>
      </c>
      <c r="B633" s="2" t="inlineStr">
        <is>
          <t>economy.segment</t>
        </is>
      </c>
      <c r="C633" s="2" t="inlineStr">
        <is>
          <t>alex</t>
        </is>
      </c>
      <c r="D633" s="2" t="inlineStr">
        <is>
          <t>ev</t>
        </is>
      </c>
      <c r="E633" s="2" t="inlineStr">
        <is>
          <t>segment ending 2026-07-14 23:53</t>
        </is>
      </c>
      <c r="F633" s="2" t="n"/>
      <c r="G633" s="2" t="inlineStr">
        <is>
          <t>kWh/100km</t>
        </is>
      </c>
      <c r="H633" s="18">
        <f>IFERROR(ROUND(INDEX(fillups!$N$2:$N$596,MATCH("ev|2026-07-14 23:53",fillups!$O$2:$O$596,0)),2),"—")</f>
        <v/>
      </c>
      <c r="I633" s="2" t="inlineStr">
        <is>
          <t>spreadsheet</t>
        </is>
      </c>
      <c r="J633" s="2" t="n"/>
      <c r="K633" s="14" t="inlineStr">
        <is>
          <t>example formula (Claude): check it, or replace it with your own</t>
        </is>
      </c>
    </row>
    <row r="634">
      <c r="A634" s="2" t="n">
        <v>633</v>
      </c>
      <c r="B634" s="2" t="inlineStr">
        <is>
          <t>economy.segment</t>
        </is>
      </c>
      <c r="C634" s="2" t="inlineStr">
        <is>
          <t>alex</t>
        </is>
      </c>
      <c r="D634" s="2" t="inlineStr">
        <is>
          <t>ev</t>
        </is>
      </c>
      <c r="E634" s="2" t="inlineStr">
        <is>
          <t>segment ending 2026-07-16 23:59</t>
        </is>
      </c>
      <c r="F634" s="2" t="n"/>
      <c r="G634" s="2" t="inlineStr">
        <is>
          <t>kWh/100km</t>
        </is>
      </c>
      <c r="H634" s="18">
        <f>IFERROR(ROUND(INDEX(fillups!$N$2:$N$596,MATCH("ev|2026-07-16 23:59",fillups!$O$2:$O$596,0)),2),"—")</f>
        <v/>
      </c>
      <c r="I634" s="2" t="inlineStr">
        <is>
          <t>spreadsheet</t>
        </is>
      </c>
      <c r="J634" s="2" t="n"/>
      <c r="K634" s="14" t="inlineStr">
        <is>
          <t>example formula (Claude): check it, or replace it with your own</t>
        </is>
      </c>
    </row>
    <row r="635">
      <c r="A635" s="2" t="n">
        <v>634</v>
      </c>
      <c r="B635" s="2" t="inlineStr">
        <is>
          <t>economy.segment</t>
        </is>
      </c>
      <c r="C635" s="2" t="inlineStr">
        <is>
          <t>alex</t>
        </is>
      </c>
      <c r="D635" s="2" t="inlineStr">
        <is>
          <t>ev</t>
        </is>
      </c>
      <c r="E635" s="2" t="inlineStr">
        <is>
          <t>segment ending 2026-07-21 23:35</t>
        </is>
      </c>
      <c r="F635" s="2" t="n"/>
      <c r="G635" s="2" t="inlineStr">
        <is>
          <t>kWh/100km</t>
        </is>
      </c>
      <c r="H635" s="18">
        <f>IFERROR(ROUND(INDEX(fillups!$N$2:$N$596,MATCH("ev|2026-07-21 23:35",fillups!$O$2:$O$596,0)),2),"—")</f>
        <v/>
      </c>
      <c r="I635" s="2" t="inlineStr">
        <is>
          <t>spreadsheet</t>
        </is>
      </c>
      <c r="J635" s="2" t="n"/>
      <c r="K635" s="14" t="inlineStr">
        <is>
          <t>example formula (Claude): check it, or replace it with your own</t>
        </is>
      </c>
    </row>
    <row r="636">
      <c r="A636" s="2" t="n">
        <v>635</v>
      </c>
      <c r="B636" s="2" t="inlineStr">
        <is>
          <t>economy.segment</t>
        </is>
      </c>
      <c r="C636" s="2" t="inlineStr">
        <is>
          <t>alex</t>
        </is>
      </c>
      <c r="D636" s="2" t="inlineStr">
        <is>
          <t>ev</t>
        </is>
      </c>
      <c r="E636" s="2" t="inlineStr">
        <is>
          <t>segment ending 2026-07-25 23:55</t>
        </is>
      </c>
      <c r="F636" s="2" t="n"/>
      <c r="G636" s="2" t="inlineStr">
        <is>
          <t>kWh/100km</t>
        </is>
      </c>
      <c r="H636" s="18">
        <f>IFERROR(ROUND(INDEX(fillups!$N$2:$N$596,MATCH("ev|2026-07-25 23:55",fillups!$O$2:$O$596,0)),2),"—")</f>
        <v/>
      </c>
      <c r="I636" s="2" t="inlineStr">
        <is>
          <t>spreadsheet</t>
        </is>
      </c>
      <c r="J636" s="2" t="n"/>
      <c r="K636" s="14" t="inlineStr">
        <is>
          <t>example formula (Claude): check it, or replace it with your own</t>
        </is>
      </c>
    </row>
    <row r="637">
      <c r="A637" s="2" t="n">
        <v>636</v>
      </c>
      <c r="B637" s="2" t="inlineStr">
        <is>
          <t>economy.segment</t>
        </is>
      </c>
      <c r="C637" s="2" t="inlineStr">
        <is>
          <t>alex</t>
        </is>
      </c>
      <c r="D637" s="2" t="inlineStr">
        <is>
          <t>ev</t>
        </is>
      </c>
      <c r="E637" s="2" t="inlineStr">
        <is>
          <t>segment ending 2026-07-27 23:36</t>
        </is>
      </c>
      <c r="F637" s="2" t="n"/>
      <c r="G637" s="2" t="inlineStr">
        <is>
          <t>kWh/100km</t>
        </is>
      </c>
      <c r="H637" s="18">
        <f>IFERROR(ROUND(INDEX(fillups!$N$2:$N$596,MATCH("ev|2026-07-27 23:36",fillups!$O$2:$O$596,0)),2),"—")</f>
        <v/>
      </c>
      <c r="I637" s="2" t="inlineStr">
        <is>
          <t>spreadsheet</t>
        </is>
      </c>
      <c r="J637" s="2" t="n"/>
      <c r="K637" s="14" t="inlineStr">
        <is>
          <t>example formula (Claude): check it, or replace it with your own</t>
        </is>
      </c>
    </row>
    <row r="638">
      <c r="A638" s="2" t="n">
        <v>637</v>
      </c>
      <c r="B638" s="2" t="inlineStr">
        <is>
          <t>economy.segment</t>
        </is>
      </c>
      <c r="C638" s="2" t="inlineStr">
        <is>
          <t>alex</t>
        </is>
      </c>
      <c r="D638" s="2" t="inlineStr">
        <is>
          <t>ev</t>
        </is>
      </c>
      <c r="E638" s="2" t="inlineStr">
        <is>
          <t>segment ending 2026-08-04 23:52</t>
        </is>
      </c>
      <c r="F638" s="2" t="n"/>
      <c r="G638" s="2" t="inlineStr">
        <is>
          <t>kWh/100km</t>
        </is>
      </c>
      <c r="H638" s="18">
        <f>IFERROR(ROUND(INDEX(fillups!$N$2:$N$596,MATCH("ev|2026-08-04 23:52",fillups!$O$2:$O$596,0)),2),"—")</f>
        <v/>
      </c>
      <c r="I638" s="2" t="inlineStr">
        <is>
          <t>spreadsheet</t>
        </is>
      </c>
      <c r="J638" s="2" t="n"/>
      <c r="K638" s="14" t="inlineStr">
        <is>
          <t>example formula (Claude): check it, or replace it with your own</t>
        </is>
      </c>
    </row>
    <row r="639">
      <c r="A639" s="2" t="n">
        <v>638</v>
      </c>
      <c r="B639" s="2" t="inlineStr">
        <is>
          <t>economy.segment</t>
        </is>
      </c>
      <c r="C639" s="2" t="inlineStr">
        <is>
          <t>alex</t>
        </is>
      </c>
      <c r="D639" s="2" t="inlineStr">
        <is>
          <t>ev</t>
        </is>
      </c>
      <c r="E639" s="2" t="inlineStr">
        <is>
          <t>segment ending 2026-08-10 23:51</t>
        </is>
      </c>
      <c r="F639" s="2" t="n"/>
      <c r="G639" s="2" t="inlineStr">
        <is>
          <t>kWh/100km</t>
        </is>
      </c>
      <c r="H639" s="18">
        <f>IFERROR(ROUND(INDEX(fillups!$N$2:$N$596,MATCH("ev|2026-08-10 23:51",fillups!$O$2:$O$596,0)),2),"—")</f>
        <v/>
      </c>
      <c r="I639" s="2" t="inlineStr">
        <is>
          <t>spreadsheet</t>
        </is>
      </c>
      <c r="J639" s="2" t="n"/>
      <c r="K639" s="14" t="inlineStr">
        <is>
          <t>example formula (Claude): check it, or replace it with your own</t>
        </is>
      </c>
    </row>
    <row r="640">
      <c r="A640" s="2" t="n">
        <v>639</v>
      </c>
      <c r="B640" s="2" t="inlineStr">
        <is>
          <t>economy.segment</t>
        </is>
      </c>
      <c r="C640" s="2" t="inlineStr">
        <is>
          <t>alex</t>
        </is>
      </c>
      <c r="D640" s="2" t="inlineStr">
        <is>
          <t>ev</t>
        </is>
      </c>
      <c r="E640" s="2" t="inlineStr">
        <is>
          <t>segment ending 2026-08-14 23:45</t>
        </is>
      </c>
      <c r="F640" s="2" t="n"/>
      <c r="G640" s="2" t="inlineStr">
        <is>
          <t>kWh/100km</t>
        </is>
      </c>
      <c r="H640" s="18">
        <f>IFERROR(ROUND(INDEX(fillups!$N$2:$N$596,MATCH("ev|2026-08-14 23:45",fillups!$O$2:$O$596,0)),2),"—")</f>
        <v/>
      </c>
      <c r="I640" s="2" t="inlineStr">
        <is>
          <t>spreadsheet</t>
        </is>
      </c>
      <c r="J640" s="2" t="n"/>
      <c r="K640" s="14" t="inlineStr">
        <is>
          <t>example formula (Claude): check it, or replace it with your own</t>
        </is>
      </c>
    </row>
    <row r="641">
      <c r="A641" s="2" t="n">
        <v>640</v>
      </c>
      <c r="B641" s="2" t="inlineStr">
        <is>
          <t>economy.segment</t>
        </is>
      </c>
      <c r="C641" s="2" t="inlineStr">
        <is>
          <t>alex</t>
        </is>
      </c>
      <c r="D641" s="2" t="inlineStr">
        <is>
          <t>ev</t>
        </is>
      </c>
      <c r="E641" s="2" t="inlineStr">
        <is>
          <t>segment ending 2026-08-15 23:52</t>
        </is>
      </c>
      <c r="F641" s="2" t="n"/>
      <c r="G641" s="2" t="inlineStr">
        <is>
          <t>kWh/100km</t>
        </is>
      </c>
      <c r="H641" s="18">
        <f>IFERROR(ROUND(INDEX(fillups!$N$2:$N$596,MATCH("ev|2026-08-15 23:52",fillups!$O$2:$O$596,0)),2),"—")</f>
        <v/>
      </c>
      <c r="I641" s="2" t="inlineStr">
        <is>
          <t>spreadsheet</t>
        </is>
      </c>
      <c r="J641" s="2" t="n"/>
      <c r="K641" s="14" t="inlineStr">
        <is>
          <t>example formula (Claude): check it, or replace it with your own</t>
        </is>
      </c>
    </row>
    <row r="642">
      <c r="A642" s="2" t="n">
        <v>641</v>
      </c>
      <c r="B642" s="2" t="inlineStr">
        <is>
          <t>economy.segment</t>
        </is>
      </c>
      <c r="C642" s="2" t="inlineStr">
        <is>
          <t>alex</t>
        </is>
      </c>
      <c r="D642" s="2" t="inlineStr">
        <is>
          <t>ev</t>
        </is>
      </c>
      <c r="E642" s="2" t="inlineStr">
        <is>
          <t>segment ending 2026-08-18 23:40</t>
        </is>
      </c>
      <c r="F642" s="2" t="n"/>
      <c r="G642" s="2" t="inlineStr">
        <is>
          <t>kWh/100km</t>
        </is>
      </c>
      <c r="H642" s="18">
        <f>IFERROR(ROUND(INDEX(fillups!$N$2:$N$596,MATCH("ev|2026-08-18 23:40",fillups!$O$2:$O$596,0)),2),"—")</f>
        <v/>
      </c>
      <c r="I642" s="2" t="inlineStr">
        <is>
          <t>spreadsheet</t>
        </is>
      </c>
      <c r="J642" s="2" t="n"/>
      <c r="K642" s="14" t="inlineStr">
        <is>
          <t>example formula (Claude): check it, or replace it with your own</t>
        </is>
      </c>
    </row>
    <row r="643">
      <c r="A643" s="2" t="n">
        <v>642</v>
      </c>
      <c r="B643" s="2" t="inlineStr">
        <is>
          <t>economy.segment</t>
        </is>
      </c>
      <c r="C643" s="2" t="inlineStr">
        <is>
          <t>alex</t>
        </is>
      </c>
      <c r="D643" s="2" t="inlineStr">
        <is>
          <t>ev</t>
        </is>
      </c>
      <c r="E643" s="2" t="inlineStr">
        <is>
          <t>segment ending 2026-08-19 23:51</t>
        </is>
      </c>
      <c r="F643" s="2" t="n"/>
      <c r="G643" s="2" t="inlineStr">
        <is>
          <t>kWh/100km</t>
        </is>
      </c>
      <c r="H643" s="18">
        <f>IFERROR(ROUND(INDEX(fillups!$N$2:$N$596,MATCH("ev|2026-08-19 23:51",fillups!$O$2:$O$596,0)),2),"—")</f>
        <v/>
      </c>
      <c r="I643" s="2" t="inlineStr">
        <is>
          <t>spreadsheet</t>
        </is>
      </c>
      <c r="J643" s="2" t="n"/>
      <c r="K643" s="14" t="inlineStr">
        <is>
          <t>example formula (Claude): check it, or replace it with your own</t>
        </is>
      </c>
    </row>
    <row r="644">
      <c r="A644" s="2" t="n">
        <v>643</v>
      </c>
      <c r="B644" s="2" t="inlineStr">
        <is>
          <t>economy.segment</t>
        </is>
      </c>
      <c r="C644" s="2" t="inlineStr">
        <is>
          <t>alex</t>
        </is>
      </c>
      <c r="D644" s="2" t="inlineStr">
        <is>
          <t>ev</t>
        </is>
      </c>
      <c r="E644" s="2" t="inlineStr">
        <is>
          <t>segment ending 2026-08-22 23:34</t>
        </is>
      </c>
      <c r="F644" s="2" t="n"/>
      <c r="G644" s="2" t="inlineStr">
        <is>
          <t>kWh/100km</t>
        </is>
      </c>
      <c r="H644" s="18">
        <f>IFERROR(ROUND(INDEX(fillups!$N$2:$N$596,MATCH("ev|2026-08-22 23:34",fillups!$O$2:$O$596,0)),2),"—")</f>
        <v/>
      </c>
      <c r="I644" s="2" t="inlineStr">
        <is>
          <t>spreadsheet</t>
        </is>
      </c>
      <c r="J644" s="2" t="n"/>
      <c r="K644" s="14" t="inlineStr">
        <is>
          <t>example formula (Claude): check it, or replace it with your own</t>
        </is>
      </c>
    </row>
    <row r="645">
      <c r="A645" s="2" t="n">
        <v>644</v>
      </c>
      <c r="B645" s="2" t="inlineStr">
        <is>
          <t>economy.segment</t>
        </is>
      </c>
      <c r="C645" s="2" t="inlineStr">
        <is>
          <t>alex</t>
        </is>
      </c>
      <c r="D645" s="2" t="inlineStr">
        <is>
          <t>ev</t>
        </is>
      </c>
      <c r="E645" s="2" t="inlineStr">
        <is>
          <t>segment ending 2026-08-24 23:35</t>
        </is>
      </c>
      <c r="F645" s="2" t="n"/>
      <c r="G645" s="2" t="inlineStr">
        <is>
          <t>kWh/100km</t>
        </is>
      </c>
      <c r="H645" s="18">
        <f>IFERROR(ROUND(INDEX(fillups!$N$2:$N$596,MATCH("ev|2026-08-24 23:35",fillups!$O$2:$O$596,0)),2),"—")</f>
        <v/>
      </c>
      <c r="I645" s="2" t="inlineStr">
        <is>
          <t>spreadsheet</t>
        </is>
      </c>
      <c r="J645" s="2" t="n"/>
      <c r="K645" s="14" t="inlineStr">
        <is>
          <t>example formula (Claude): check it, or replace it with your own</t>
        </is>
      </c>
    </row>
    <row r="646">
      <c r="A646" s="2" t="n">
        <v>645</v>
      </c>
      <c r="B646" s="2" t="inlineStr">
        <is>
          <t>economy.segment</t>
        </is>
      </c>
      <c r="C646" s="2" t="inlineStr">
        <is>
          <t>alex</t>
        </is>
      </c>
      <c r="D646" s="2" t="inlineStr">
        <is>
          <t>ev</t>
        </is>
      </c>
      <c r="E646" s="2" t="inlineStr">
        <is>
          <t>segment ending 2026-08-27 23:50</t>
        </is>
      </c>
      <c r="F646" s="2" t="n"/>
      <c r="G646" s="2" t="inlineStr">
        <is>
          <t>kWh/100km</t>
        </is>
      </c>
      <c r="H646" s="18">
        <f>IFERROR(ROUND(INDEX(fillups!$N$2:$N$596,MATCH("ev|2026-08-27 23:50",fillups!$O$2:$O$596,0)),2),"—")</f>
        <v/>
      </c>
      <c r="I646" s="2" t="inlineStr">
        <is>
          <t>spreadsheet</t>
        </is>
      </c>
      <c r="J646" s="2" t="n"/>
      <c r="K646" s="14" t="inlineStr">
        <is>
          <t>example formula (Claude): check it, or replace it with your own</t>
        </is>
      </c>
    </row>
    <row r="647">
      <c r="A647" s="2" t="n">
        <v>646</v>
      </c>
      <c r="B647" s="2" t="inlineStr">
        <is>
          <t>economy.segment</t>
        </is>
      </c>
      <c r="C647" s="2" t="inlineStr">
        <is>
          <t>alex</t>
        </is>
      </c>
      <c r="D647" s="2" t="inlineStr">
        <is>
          <t>ev</t>
        </is>
      </c>
      <c r="E647" s="2" t="inlineStr">
        <is>
          <t>segment ending 2026-08-30 23:48</t>
        </is>
      </c>
      <c r="F647" s="2" t="n"/>
      <c r="G647" s="2" t="inlineStr">
        <is>
          <t>kWh/100km</t>
        </is>
      </c>
      <c r="H647" s="18">
        <f>IFERROR(ROUND(INDEX(fillups!$N$2:$N$596,MATCH("ev|2026-08-30 23:48",fillups!$O$2:$O$596,0)),2),"—")</f>
        <v/>
      </c>
      <c r="I647" s="2" t="inlineStr">
        <is>
          <t>spreadsheet</t>
        </is>
      </c>
      <c r="J647" s="2" t="n"/>
      <c r="K647" s="14" t="inlineStr">
        <is>
          <t>example formula (Claude): check it, or replace it with your own</t>
        </is>
      </c>
    </row>
    <row r="648">
      <c r="A648" s="2" t="n">
        <v>647</v>
      </c>
      <c r="B648" s="2" t="inlineStr">
        <is>
          <t>economy.segment</t>
        </is>
      </c>
      <c r="C648" s="2" t="inlineStr">
        <is>
          <t>alex</t>
        </is>
      </c>
      <c r="D648" s="2" t="inlineStr">
        <is>
          <t>ev</t>
        </is>
      </c>
      <c r="E648" s="2" t="inlineStr">
        <is>
          <t>segment ending 2026-09-02 23:50</t>
        </is>
      </c>
      <c r="F648" s="2" t="n"/>
      <c r="G648" s="2" t="inlineStr">
        <is>
          <t>kWh/100km</t>
        </is>
      </c>
      <c r="H648" s="18">
        <f>IFERROR(ROUND(INDEX(fillups!$N$2:$N$596,MATCH("ev|2026-09-02 23:50",fillups!$O$2:$O$596,0)),2),"—")</f>
        <v/>
      </c>
      <c r="I648" s="2" t="inlineStr">
        <is>
          <t>spreadsheet</t>
        </is>
      </c>
      <c r="J648" s="2" t="n"/>
      <c r="K648" s="14" t="inlineStr">
        <is>
          <t>example formula (Claude): check it, or replace it with your own</t>
        </is>
      </c>
    </row>
    <row r="649">
      <c r="A649" s="2" t="n">
        <v>648</v>
      </c>
      <c r="B649" s="2" t="inlineStr">
        <is>
          <t>economy.segment</t>
        </is>
      </c>
      <c r="C649" s="2" t="inlineStr">
        <is>
          <t>alex</t>
        </is>
      </c>
      <c r="D649" s="2" t="inlineStr">
        <is>
          <t>ev</t>
        </is>
      </c>
      <c r="E649" s="2" t="inlineStr">
        <is>
          <t>segment ending 2026-09-06 23:46</t>
        </is>
      </c>
      <c r="F649" s="2" t="n"/>
      <c r="G649" s="2" t="inlineStr">
        <is>
          <t>kWh/100km</t>
        </is>
      </c>
      <c r="H649" s="18">
        <f>IFERROR(ROUND(INDEX(fillups!$N$2:$N$596,MATCH("ev|2026-09-06 23:46",fillups!$O$2:$O$596,0)),2),"—")</f>
        <v/>
      </c>
      <c r="I649" s="2" t="inlineStr">
        <is>
          <t>spreadsheet</t>
        </is>
      </c>
      <c r="J649" s="2" t="n"/>
      <c r="K649" s="14" t="inlineStr">
        <is>
          <t>example formula (Claude): check it, or replace it with your own</t>
        </is>
      </c>
    </row>
    <row r="650">
      <c r="A650" s="2" t="n">
        <v>649</v>
      </c>
      <c r="B650" s="2" t="inlineStr">
        <is>
          <t>economy.segment</t>
        </is>
      </c>
      <c r="C650" s="2" t="inlineStr">
        <is>
          <t>alex</t>
        </is>
      </c>
      <c r="D650" s="2" t="inlineStr">
        <is>
          <t>ev</t>
        </is>
      </c>
      <c r="E650" s="2" t="inlineStr">
        <is>
          <t>segment ending 2026-09-08 23:35</t>
        </is>
      </c>
      <c r="F650" s="2" t="n"/>
      <c r="G650" s="2" t="inlineStr">
        <is>
          <t>kWh/100km</t>
        </is>
      </c>
      <c r="H650" s="18">
        <f>IFERROR(ROUND(INDEX(fillups!$N$2:$N$596,MATCH("ev|2026-09-08 23:35",fillups!$O$2:$O$596,0)),2),"—")</f>
        <v/>
      </c>
      <c r="I650" s="2" t="inlineStr">
        <is>
          <t>spreadsheet</t>
        </is>
      </c>
      <c r="J650" s="2" t="n"/>
      <c r="K650" s="14" t="inlineStr">
        <is>
          <t>example formula (Claude): check it, or replace it with your own</t>
        </is>
      </c>
    </row>
    <row r="651">
      <c r="A651" s="2" t="n">
        <v>650</v>
      </c>
      <c r="B651" s="2" t="inlineStr">
        <is>
          <t>economy.segment</t>
        </is>
      </c>
      <c r="C651" s="2" t="inlineStr">
        <is>
          <t>alex</t>
        </is>
      </c>
      <c r="D651" s="2" t="inlineStr">
        <is>
          <t>ev</t>
        </is>
      </c>
      <c r="E651" s="2" t="inlineStr">
        <is>
          <t>segment ending 2026-09-11 23:31</t>
        </is>
      </c>
      <c r="F651" s="2" t="n"/>
      <c r="G651" s="2" t="inlineStr">
        <is>
          <t>kWh/100km</t>
        </is>
      </c>
      <c r="H651" s="18">
        <f>IFERROR(ROUND(INDEX(fillups!$N$2:$N$596,MATCH("ev|2026-09-11 23:31",fillups!$O$2:$O$596,0)),2),"—")</f>
        <v/>
      </c>
      <c r="I651" s="2" t="inlineStr">
        <is>
          <t>spreadsheet</t>
        </is>
      </c>
      <c r="J651" s="2" t="n"/>
      <c r="K651" s="14" t="inlineStr">
        <is>
          <t>example formula (Claude): check it, or replace it with your own</t>
        </is>
      </c>
    </row>
    <row r="652">
      <c r="A652" s="2" t="n">
        <v>651</v>
      </c>
      <c r="B652" s="2" t="inlineStr">
        <is>
          <t>economy.segment</t>
        </is>
      </c>
      <c r="C652" s="2" t="inlineStr">
        <is>
          <t>alex</t>
        </is>
      </c>
      <c r="D652" s="2" t="inlineStr">
        <is>
          <t>ev</t>
        </is>
      </c>
      <c r="E652" s="2" t="inlineStr">
        <is>
          <t>segment ending 2026-09-14 23:34</t>
        </is>
      </c>
      <c r="F652" s="2" t="n"/>
      <c r="G652" s="2" t="inlineStr">
        <is>
          <t>kWh/100km</t>
        </is>
      </c>
      <c r="H652" s="18">
        <f>IFERROR(ROUND(INDEX(fillups!$N$2:$N$596,MATCH("ev|2026-09-14 23:34",fillups!$O$2:$O$596,0)),2),"—")</f>
        <v/>
      </c>
      <c r="I652" s="2" t="inlineStr">
        <is>
          <t>spreadsheet</t>
        </is>
      </c>
      <c r="J652" s="2" t="n"/>
      <c r="K652" s="14" t="inlineStr">
        <is>
          <t>example formula (Claude): check it, or replace it with your own</t>
        </is>
      </c>
    </row>
    <row r="653">
      <c r="A653" s="2" t="n">
        <v>652</v>
      </c>
      <c r="B653" s="2" t="inlineStr">
        <is>
          <t>economy.lifetime</t>
        </is>
      </c>
      <c r="C653" s="2" t="inlineStr">
        <is>
          <t>alex</t>
        </is>
      </c>
      <c r="D653" s="2" t="inlineStr">
        <is>
          <t>focus</t>
        </is>
      </c>
      <c r="E653" s="2" t="inlineStr">
        <is>
          <t>all_time</t>
        </is>
      </c>
      <c r="F653" s="2" t="n"/>
      <c r="G653" s="2" t="inlineStr">
        <is>
          <t>l/100km</t>
        </is>
      </c>
      <c r="H653" s="18">
        <f>ROUND(SUMIFS(fillups!$L$2:$L$596,fillups!$A$2:$A$596,"focus",fillups!$M$2:$M$596,"&gt;0")/SUMIFS(fillups!$M$2:$M$596,fillups!$A$2:$A$596,"focus")*100,2)</f>
        <v/>
      </c>
      <c r="I653" s="2" t="inlineStr">
        <is>
          <t>spreadsheet</t>
        </is>
      </c>
      <c r="J653" s="2" t="n"/>
      <c r="K653" s="14" t="inlineStr">
        <is>
          <t>example formula (Claude): check it, or replace it with your own</t>
        </is>
      </c>
    </row>
    <row r="654">
      <c r="A654" s="2" t="n">
        <v>653</v>
      </c>
      <c r="B654" s="2" t="inlineStr">
        <is>
          <t>economy.segment</t>
        </is>
      </c>
      <c r="C654" s="2" t="inlineStr">
        <is>
          <t>alex</t>
        </is>
      </c>
      <c r="D654" s="2" t="inlineStr">
        <is>
          <t>focus</t>
        </is>
      </c>
      <c r="E654" s="2" t="inlineStr">
        <is>
          <t>segment ending 2023-10-29 12:28</t>
        </is>
      </c>
      <c r="F654" s="2" t="n"/>
      <c r="G654" s="2" t="inlineStr">
        <is>
          <t>l/100km</t>
        </is>
      </c>
      <c r="H654" s="18">
        <f>IFERROR(ROUND(INDEX(fillups!$N$2:$N$596,MATCH("focus|2023-10-29 12:28",fillups!$O$2:$O$596,0)),2),"—")</f>
        <v/>
      </c>
      <c r="I654" s="2" t="inlineStr">
        <is>
          <t>spreadsheet</t>
        </is>
      </c>
      <c r="J654" s="2" t="n"/>
      <c r="K654" s="14" t="inlineStr">
        <is>
          <t>example formula (Claude): check it, or replace it with your own</t>
        </is>
      </c>
    </row>
    <row r="655">
      <c r="A655" s="2" t="n">
        <v>654</v>
      </c>
      <c r="B655" s="2" t="inlineStr">
        <is>
          <t>economy.segment</t>
        </is>
      </c>
      <c r="C655" s="2" t="inlineStr">
        <is>
          <t>alex</t>
        </is>
      </c>
      <c r="D655" s="2" t="inlineStr">
        <is>
          <t>focus</t>
        </is>
      </c>
      <c r="E655" s="2" t="inlineStr">
        <is>
          <t>segment ending 2023-11-17 08:48</t>
        </is>
      </c>
      <c r="F655" s="2" t="n"/>
      <c r="G655" s="2" t="inlineStr">
        <is>
          <t>l/100km</t>
        </is>
      </c>
      <c r="H655" s="18">
        <f>IFERROR(ROUND(INDEX(fillups!$N$2:$N$596,MATCH("focus|2023-11-17 08:48",fillups!$O$2:$O$596,0)),2),"—")</f>
        <v/>
      </c>
      <c r="I655" s="2" t="inlineStr">
        <is>
          <t>spreadsheet</t>
        </is>
      </c>
      <c r="J655" s="2" t="n"/>
      <c r="K655" s="14" t="inlineStr">
        <is>
          <t>example formula (Claude): check it, or replace it with your own</t>
        </is>
      </c>
    </row>
    <row r="656">
      <c r="A656" s="2" t="n">
        <v>655</v>
      </c>
      <c r="B656" s="2" t="inlineStr">
        <is>
          <t>economy.segment</t>
        </is>
      </c>
      <c r="C656" s="2" t="inlineStr">
        <is>
          <t>alex</t>
        </is>
      </c>
      <c r="D656" s="2" t="inlineStr">
        <is>
          <t>focus</t>
        </is>
      </c>
      <c r="E656" s="2" t="inlineStr">
        <is>
          <t>segment ending 2023-12-08 11:02</t>
        </is>
      </c>
      <c r="F656" s="2" t="n"/>
      <c r="G656" s="2" t="inlineStr">
        <is>
          <t>l/100km</t>
        </is>
      </c>
      <c r="H656" s="18">
        <f>IFERROR(ROUND(INDEX(fillups!$N$2:$N$596,MATCH("focus|2023-12-08 11:02",fillups!$O$2:$O$596,0)),2),"—")</f>
        <v/>
      </c>
      <c r="I656" s="2" t="inlineStr">
        <is>
          <t>spreadsheet</t>
        </is>
      </c>
      <c r="J656" s="2" t="n"/>
      <c r="K656" s="14" t="inlineStr">
        <is>
          <t>example formula (Claude): check it, or replace it with your own</t>
        </is>
      </c>
    </row>
    <row r="657">
      <c r="A657" s="2" t="n">
        <v>656</v>
      </c>
      <c r="B657" s="2" t="inlineStr">
        <is>
          <t>economy.segment</t>
        </is>
      </c>
      <c r="C657" s="2" t="inlineStr">
        <is>
          <t>alex</t>
        </is>
      </c>
      <c r="D657" s="2" t="inlineStr">
        <is>
          <t>focus</t>
        </is>
      </c>
      <c r="E657" s="2" t="inlineStr">
        <is>
          <t>segment ending 2024-01-01 08:52</t>
        </is>
      </c>
      <c r="F657" s="2" t="n"/>
      <c r="G657" s="2" t="inlineStr">
        <is>
          <t>l/100km</t>
        </is>
      </c>
      <c r="H657" s="18">
        <f>IFERROR(ROUND(INDEX(fillups!$N$2:$N$596,MATCH("focus|2024-01-01 08:52",fillups!$O$2:$O$596,0)),2),"—")</f>
        <v/>
      </c>
      <c r="I657" s="2" t="inlineStr">
        <is>
          <t>spreadsheet</t>
        </is>
      </c>
      <c r="J657" s="2" t="n"/>
      <c r="K657" s="14" t="inlineStr">
        <is>
          <t>example formula (Claude): check it, or replace it with your own</t>
        </is>
      </c>
    </row>
    <row r="658">
      <c r="A658" s="2" t="n">
        <v>657</v>
      </c>
      <c r="B658" s="2" t="inlineStr">
        <is>
          <t>economy.segment</t>
        </is>
      </c>
      <c r="C658" s="2" t="inlineStr">
        <is>
          <t>alex</t>
        </is>
      </c>
      <c r="D658" s="2" t="inlineStr">
        <is>
          <t>focus</t>
        </is>
      </c>
      <c r="E658" s="2" t="inlineStr">
        <is>
          <t>segment ending 2024-01-19 14:02</t>
        </is>
      </c>
      <c r="F658" s="2" t="n"/>
      <c r="G658" s="2" t="inlineStr">
        <is>
          <t>l/100km</t>
        </is>
      </c>
      <c r="H658" s="18">
        <f>IFERROR(ROUND(INDEX(fillups!$N$2:$N$596,MATCH("focus|2024-01-19 14:02",fillups!$O$2:$O$596,0)),2),"—")</f>
        <v/>
      </c>
      <c r="I658" s="2" t="inlineStr">
        <is>
          <t>spreadsheet</t>
        </is>
      </c>
      <c r="J658" s="2" t="n"/>
      <c r="K658" s="14" t="inlineStr">
        <is>
          <t>example formula (Claude): check it, or replace it with your own</t>
        </is>
      </c>
    </row>
    <row r="659">
      <c r="A659" s="2" t="n">
        <v>658</v>
      </c>
      <c r="B659" s="2" t="inlineStr">
        <is>
          <t>economy.segment</t>
        </is>
      </c>
      <c r="C659" s="2" t="inlineStr">
        <is>
          <t>alex</t>
        </is>
      </c>
      <c r="D659" s="2" t="inlineStr">
        <is>
          <t>focus</t>
        </is>
      </c>
      <c r="E659" s="2" t="inlineStr">
        <is>
          <t>segment ending 2024-02-12 11:52</t>
        </is>
      </c>
      <c r="F659" s="2" t="n"/>
      <c r="G659" s="2" t="inlineStr">
        <is>
          <t>l/100km</t>
        </is>
      </c>
      <c r="H659" s="18">
        <f>IFERROR(ROUND(INDEX(fillups!$N$2:$N$596,MATCH("focus|2024-02-12 11:52",fillups!$O$2:$O$596,0)),2),"—")</f>
        <v/>
      </c>
      <c r="I659" s="2" t="inlineStr">
        <is>
          <t>spreadsheet</t>
        </is>
      </c>
      <c r="J659" s="2" t="n"/>
      <c r="K659" s="14" t="inlineStr">
        <is>
          <t>example formula (Claude): check it, or replace it with your own</t>
        </is>
      </c>
    </row>
    <row r="660">
      <c r="A660" s="2" t="n">
        <v>659</v>
      </c>
      <c r="B660" s="2" t="inlineStr">
        <is>
          <t>economy.segment</t>
        </is>
      </c>
      <c r="C660" s="2" t="inlineStr">
        <is>
          <t>alex</t>
        </is>
      </c>
      <c r="D660" s="2" t="inlineStr">
        <is>
          <t>focus</t>
        </is>
      </c>
      <c r="E660" s="2" t="inlineStr">
        <is>
          <t>segment ending 2024-03-06 17:45</t>
        </is>
      </c>
      <c r="F660" s="2" t="n"/>
      <c r="G660" s="2" t="inlineStr">
        <is>
          <t>l/100km</t>
        </is>
      </c>
      <c r="H660" s="18">
        <f>IFERROR(ROUND(INDEX(fillups!$N$2:$N$596,MATCH("focus|2024-03-06 17:45",fillups!$O$2:$O$596,0)),2),"—")</f>
        <v/>
      </c>
      <c r="I660" s="2" t="inlineStr">
        <is>
          <t>spreadsheet</t>
        </is>
      </c>
      <c r="J660" s="2" t="n"/>
      <c r="K660" s="14" t="inlineStr">
        <is>
          <t>example formula (Claude): check it, or replace it with your own</t>
        </is>
      </c>
    </row>
    <row r="661">
      <c r="A661" s="2" t="n">
        <v>660</v>
      </c>
      <c r="B661" s="2" t="inlineStr">
        <is>
          <t>economy.segment</t>
        </is>
      </c>
      <c r="C661" s="2" t="inlineStr">
        <is>
          <t>alex</t>
        </is>
      </c>
      <c r="D661" s="2" t="inlineStr">
        <is>
          <t>focus</t>
        </is>
      </c>
      <c r="E661" s="2" t="inlineStr">
        <is>
          <t>segment ending 2024-03-24 19:59</t>
        </is>
      </c>
      <c r="F661" s="2" t="n"/>
      <c r="G661" s="2" t="inlineStr">
        <is>
          <t>l/100km</t>
        </is>
      </c>
      <c r="H661" s="18">
        <f>IFERROR(ROUND(INDEX(fillups!$N$2:$N$596,MATCH("focus|2024-03-24 19:59",fillups!$O$2:$O$596,0)),2),"—")</f>
        <v/>
      </c>
      <c r="I661" s="2" t="inlineStr">
        <is>
          <t>spreadsheet</t>
        </is>
      </c>
      <c r="J661" s="2" t="n"/>
      <c r="K661" s="14" t="inlineStr">
        <is>
          <t>example formula (Claude): check it, or replace it with your own</t>
        </is>
      </c>
    </row>
    <row r="662">
      <c r="A662" s="2" t="n">
        <v>661</v>
      </c>
      <c r="B662" s="2" t="inlineStr">
        <is>
          <t>economy.segment</t>
        </is>
      </c>
      <c r="C662" s="2" t="inlineStr">
        <is>
          <t>alex</t>
        </is>
      </c>
      <c r="D662" s="2" t="inlineStr">
        <is>
          <t>focus</t>
        </is>
      </c>
      <c r="E662" s="2" t="inlineStr">
        <is>
          <t>segment ending 2024-04-08 20:18</t>
        </is>
      </c>
      <c r="F662" s="2" t="n"/>
      <c r="G662" s="2" t="inlineStr">
        <is>
          <t>l/100km</t>
        </is>
      </c>
      <c r="H662" s="18">
        <f>IFERROR(ROUND(INDEX(fillups!$N$2:$N$596,MATCH("focus|2024-04-08 20:18",fillups!$O$2:$O$596,0)),2),"—")</f>
        <v/>
      </c>
      <c r="I662" s="2" t="inlineStr">
        <is>
          <t>spreadsheet</t>
        </is>
      </c>
      <c r="J662" s="2" t="n"/>
      <c r="K662" s="14" t="inlineStr">
        <is>
          <t>example formula (Claude): check it, or replace it with your own</t>
        </is>
      </c>
    </row>
    <row r="663">
      <c r="A663" s="2" t="n">
        <v>662</v>
      </c>
      <c r="B663" s="2" t="inlineStr">
        <is>
          <t>economy.segment</t>
        </is>
      </c>
      <c r="C663" s="2" t="inlineStr">
        <is>
          <t>alex</t>
        </is>
      </c>
      <c r="D663" s="2" t="inlineStr">
        <is>
          <t>focus</t>
        </is>
      </c>
      <c r="E663" s="2" t="inlineStr">
        <is>
          <t>segment ending 2024-04-29 11:09</t>
        </is>
      </c>
      <c r="F663" s="2" t="n"/>
      <c r="G663" s="2" t="inlineStr">
        <is>
          <t>l/100km</t>
        </is>
      </c>
      <c r="H663" s="18">
        <f>IFERROR(ROUND(INDEX(fillups!$N$2:$N$596,MATCH("focus|2024-04-29 11:09",fillups!$O$2:$O$596,0)),2),"—")</f>
        <v/>
      </c>
      <c r="I663" s="2" t="inlineStr">
        <is>
          <t>spreadsheet</t>
        </is>
      </c>
      <c r="J663" s="2" t="n"/>
      <c r="K663" s="14" t="inlineStr">
        <is>
          <t>example formula (Claude): check it, or replace it with your own</t>
        </is>
      </c>
    </row>
    <row r="664">
      <c r="A664" s="2" t="n">
        <v>663</v>
      </c>
      <c r="B664" s="2" t="inlineStr">
        <is>
          <t>economy.segment</t>
        </is>
      </c>
      <c r="C664" s="2" t="inlineStr">
        <is>
          <t>alex</t>
        </is>
      </c>
      <c r="D664" s="2" t="inlineStr">
        <is>
          <t>focus</t>
        </is>
      </c>
      <c r="E664" s="2" t="inlineStr">
        <is>
          <t>segment ending 2024-05-16 10:45</t>
        </is>
      </c>
      <c r="F664" s="2" t="n"/>
      <c r="G664" s="2" t="inlineStr">
        <is>
          <t>l/100km</t>
        </is>
      </c>
      <c r="H664" s="18">
        <f>IFERROR(ROUND(INDEX(fillups!$N$2:$N$596,MATCH("focus|2024-05-16 10:45",fillups!$O$2:$O$596,0)),2),"—")</f>
        <v/>
      </c>
      <c r="I664" s="2" t="inlineStr">
        <is>
          <t>spreadsheet</t>
        </is>
      </c>
      <c r="J664" s="2" t="n"/>
      <c r="K664" s="14" t="inlineStr">
        <is>
          <t>example formula (Claude): check it, or replace it with your own</t>
        </is>
      </c>
    </row>
    <row r="665">
      <c r="A665" s="2" t="n">
        <v>664</v>
      </c>
      <c r="B665" s="2" t="inlineStr">
        <is>
          <t>economy.segment</t>
        </is>
      </c>
      <c r="C665" s="2" t="inlineStr">
        <is>
          <t>alex</t>
        </is>
      </c>
      <c r="D665" s="2" t="inlineStr">
        <is>
          <t>focus</t>
        </is>
      </c>
      <c r="E665" s="2" t="inlineStr">
        <is>
          <t>segment ending 2024-06-09 13:00</t>
        </is>
      </c>
      <c r="F665" s="2" t="n"/>
      <c r="G665" s="2" t="inlineStr">
        <is>
          <t>l/100km</t>
        </is>
      </c>
      <c r="H665" s="18">
        <f>IFERROR(ROUND(INDEX(fillups!$N$2:$N$596,MATCH("focus|2024-06-09 13:00",fillups!$O$2:$O$596,0)),2),"—")</f>
        <v/>
      </c>
      <c r="I665" s="2" t="inlineStr">
        <is>
          <t>spreadsheet</t>
        </is>
      </c>
      <c r="J665" s="2" t="n"/>
      <c r="K665" s="14" t="inlineStr">
        <is>
          <t>example formula (Claude): check it, or replace it with your own</t>
        </is>
      </c>
    </row>
    <row r="666">
      <c r="A666" s="2" t="n">
        <v>665</v>
      </c>
      <c r="B666" s="2" t="inlineStr">
        <is>
          <t>economy.segment</t>
        </is>
      </c>
      <c r="C666" s="2" t="inlineStr">
        <is>
          <t>alex</t>
        </is>
      </c>
      <c r="D666" s="2" t="inlineStr">
        <is>
          <t>focus</t>
        </is>
      </c>
      <c r="E666" s="2" t="inlineStr">
        <is>
          <t>segment ending 2024-07-01 12:48</t>
        </is>
      </c>
      <c r="F666" s="2" t="n"/>
      <c r="G666" s="2" t="inlineStr">
        <is>
          <t>l/100km</t>
        </is>
      </c>
      <c r="H666" s="18">
        <f>IFERROR(ROUND(INDEX(fillups!$N$2:$N$596,MATCH("focus|2024-07-01 12:48",fillups!$O$2:$O$596,0)),2),"—")</f>
        <v/>
      </c>
      <c r="I666" s="2" t="inlineStr">
        <is>
          <t>spreadsheet</t>
        </is>
      </c>
      <c r="J666" s="2" t="n"/>
      <c r="K666" s="14" t="inlineStr">
        <is>
          <t>example formula (Claude): check it, or replace it with your own</t>
        </is>
      </c>
    </row>
    <row r="667">
      <c r="A667" s="2" t="n">
        <v>666</v>
      </c>
      <c r="B667" s="2" t="inlineStr">
        <is>
          <t>economy.segment</t>
        </is>
      </c>
      <c r="C667" s="2" t="inlineStr">
        <is>
          <t>alex</t>
        </is>
      </c>
      <c r="D667" s="2" t="inlineStr">
        <is>
          <t>focus</t>
        </is>
      </c>
      <c r="E667" s="2" t="inlineStr">
        <is>
          <t>segment ending 2024-07-16 15:35</t>
        </is>
      </c>
      <c r="F667" s="2" t="n"/>
      <c r="G667" s="2" t="inlineStr">
        <is>
          <t>l/100km</t>
        </is>
      </c>
      <c r="H667" s="18">
        <f>IFERROR(ROUND(INDEX(fillups!$N$2:$N$596,MATCH("focus|2024-07-16 15:35",fillups!$O$2:$O$596,0)),2),"—")</f>
        <v/>
      </c>
      <c r="I667" s="2" t="inlineStr">
        <is>
          <t>spreadsheet</t>
        </is>
      </c>
      <c r="J667" s="2" t="n"/>
      <c r="K667" s="14" t="inlineStr">
        <is>
          <t>example formula (Claude): check it, or replace it with your own</t>
        </is>
      </c>
    </row>
    <row r="668">
      <c r="A668" s="2" t="n">
        <v>667</v>
      </c>
      <c r="B668" s="2" t="inlineStr">
        <is>
          <t>economy.segment</t>
        </is>
      </c>
      <c r="C668" s="2" t="inlineStr">
        <is>
          <t>alex</t>
        </is>
      </c>
      <c r="D668" s="2" t="inlineStr">
        <is>
          <t>focus</t>
        </is>
      </c>
      <c r="E668" s="2" t="inlineStr">
        <is>
          <t>segment ending 2024-08-03 17:13</t>
        </is>
      </c>
      <c r="F668" s="2" t="n"/>
      <c r="G668" s="2" t="inlineStr">
        <is>
          <t>l/100km</t>
        </is>
      </c>
      <c r="H668" s="18">
        <f>IFERROR(ROUND(INDEX(fillups!$N$2:$N$596,MATCH("focus|2024-08-03 17:13",fillups!$O$2:$O$596,0)),2),"—")</f>
        <v/>
      </c>
      <c r="I668" s="2" t="inlineStr">
        <is>
          <t>spreadsheet</t>
        </is>
      </c>
      <c r="J668" s="2" t="n"/>
      <c r="K668" s="14" t="inlineStr">
        <is>
          <t>example formula (Claude): check it, or replace it with your own</t>
        </is>
      </c>
    </row>
    <row r="669">
      <c r="A669" s="2" t="n">
        <v>668</v>
      </c>
      <c r="B669" s="2" t="inlineStr">
        <is>
          <t>economy.segment</t>
        </is>
      </c>
      <c r="C669" s="2" t="inlineStr">
        <is>
          <t>alex</t>
        </is>
      </c>
      <c r="D669" s="2" t="inlineStr">
        <is>
          <t>focus</t>
        </is>
      </c>
      <c r="E669" s="2" t="inlineStr">
        <is>
          <t>segment ending 2024-08-15 16:26</t>
        </is>
      </c>
      <c r="F669" s="2" t="n"/>
      <c r="G669" s="2" t="inlineStr">
        <is>
          <t>l/100km</t>
        </is>
      </c>
      <c r="H669" s="18">
        <f>IFERROR(ROUND(INDEX(fillups!$N$2:$N$596,MATCH("focus|2024-08-15 16:26",fillups!$O$2:$O$596,0)),2),"—")</f>
        <v/>
      </c>
      <c r="I669" s="2" t="inlineStr">
        <is>
          <t>spreadsheet</t>
        </is>
      </c>
      <c r="J669" s="2" t="n"/>
      <c r="K669" s="14" t="inlineStr">
        <is>
          <t>example formula (Claude): check it, or replace it with your own</t>
        </is>
      </c>
    </row>
    <row r="670">
      <c r="A670" s="2" t="n">
        <v>669</v>
      </c>
      <c r="B670" s="2" t="inlineStr">
        <is>
          <t>economy.segment</t>
        </is>
      </c>
      <c r="C670" s="2" t="inlineStr">
        <is>
          <t>alex</t>
        </is>
      </c>
      <c r="D670" s="2" t="inlineStr">
        <is>
          <t>focus</t>
        </is>
      </c>
      <c r="E670" s="2" t="inlineStr">
        <is>
          <t>segment ending 2024-09-08 15:39</t>
        </is>
      </c>
      <c r="F670" s="2" t="n"/>
      <c r="G670" s="2" t="inlineStr">
        <is>
          <t>l/100km</t>
        </is>
      </c>
      <c r="H670" s="18">
        <f>IFERROR(ROUND(INDEX(fillups!$N$2:$N$596,MATCH("focus|2024-09-08 15:39",fillups!$O$2:$O$596,0)),2),"—")</f>
        <v/>
      </c>
      <c r="I670" s="2" t="inlineStr">
        <is>
          <t>spreadsheet</t>
        </is>
      </c>
      <c r="J670" s="2" t="n"/>
      <c r="K670" s="14" t="inlineStr">
        <is>
          <t>example formula (Claude): check it, or replace it with your own</t>
        </is>
      </c>
    </row>
    <row r="671">
      <c r="A671" s="2" t="n">
        <v>670</v>
      </c>
      <c r="B671" s="2" t="inlineStr">
        <is>
          <t>economy.segment</t>
        </is>
      </c>
      <c r="C671" s="2" t="inlineStr">
        <is>
          <t>alex</t>
        </is>
      </c>
      <c r="D671" s="2" t="inlineStr">
        <is>
          <t>focus</t>
        </is>
      </c>
      <c r="E671" s="2" t="inlineStr">
        <is>
          <t>segment ending 2024-09-23 14:08</t>
        </is>
      </c>
      <c r="F671" s="2" t="n"/>
      <c r="G671" s="2" t="inlineStr">
        <is>
          <t>l/100km</t>
        </is>
      </c>
      <c r="H671" s="18">
        <f>IFERROR(ROUND(INDEX(fillups!$N$2:$N$596,MATCH("focus|2024-09-23 14:08",fillups!$O$2:$O$596,0)),2),"—")</f>
        <v/>
      </c>
      <c r="I671" s="2" t="inlineStr">
        <is>
          <t>spreadsheet</t>
        </is>
      </c>
      <c r="J671" s="2" t="n"/>
      <c r="K671" s="14" t="inlineStr">
        <is>
          <t>example formula (Claude): check it, or replace it with your own</t>
        </is>
      </c>
    </row>
    <row r="672">
      <c r="A672" s="2" t="n">
        <v>671</v>
      </c>
      <c r="B672" s="2" t="inlineStr">
        <is>
          <t>economy.segment</t>
        </is>
      </c>
      <c r="C672" s="2" t="inlineStr">
        <is>
          <t>alex</t>
        </is>
      </c>
      <c r="D672" s="2" t="inlineStr">
        <is>
          <t>focus</t>
        </is>
      </c>
      <c r="E672" s="2" t="inlineStr">
        <is>
          <t>segment ending 2024-10-16 08:44</t>
        </is>
      </c>
      <c r="F672" s="2" t="n"/>
      <c r="G672" s="2" t="inlineStr">
        <is>
          <t>l/100km</t>
        </is>
      </c>
      <c r="H672" s="18">
        <f>IFERROR(ROUND(INDEX(fillups!$N$2:$N$596,MATCH("focus|2024-10-16 08:44",fillups!$O$2:$O$596,0)),2),"—")</f>
        <v/>
      </c>
      <c r="I672" s="2" t="inlineStr">
        <is>
          <t>spreadsheet</t>
        </is>
      </c>
      <c r="J672" s="2" t="n"/>
      <c r="K672" s="14" t="inlineStr">
        <is>
          <t>example formula (Claude): check it, or replace it with your own</t>
        </is>
      </c>
    </row>
    <row r="673">
      <c r="A673" s="2" t="n">
        <v>672</v>
      </c>
      <c r="B673" s="2" t="inlineStr">
        <is>
          <t>economy.segment</t>
        </is>
      </c>
      <c r="C673" s="2" t="inlineStr">
        <is>
          <t>alex</t>
        </is>
      </c>
      <c r="D673" s="2" t="inlineStr">
        <is>
          <t>focus</t>
        </is>
      </c>
      <c r="E673" s="2" t="inlineStr">
        <is>
          <t>segment ending 2024-11-04 20:02</t>
        </is>
      </c>
      <c r="F673" s="2" t="n"/>
      <c r="G673" s="2" t="inlineStr">
        <is>
          <t>l/100km</t>
        </is>
      </c>
      <c r="H673" s="18">
        <f>IFERROR(ROUND(INDEX(fillups!$N$2:$N$596,MATCH("focus|2024-11-04 20:02",fillups!$O$2:$O$596,0)),2),"—")</f>
        <v/>
      </c>
      <c r="I673" s="2" t="inlineStr">
        <is>
          <t>spreadsheet</t>
        </is>
      </c>
      <c r="J673" s="2" t="n"/>
      <c r="K673" s="14" t="inlineStr">
        <is>
          <t>example formula (Claude): check it, or replace it with your own</t>
        </is>
      </c>
    </row>
    <row r="674">
      <c r="A674" s="2" t="n">
        <v>673</v>
      </c>
      <c r="B674" s="2" t="inlineStr">
        <is>
          <t>economy.segment</t>
        </is>
      </c>
      <c r="C674" s="2" t="inlineStr">
        <is>
          <t>alex</t>
        </is>
      </c>
      <c r="D674" s="2" t="inlineStr">
        <is>
          <t>focus</t>
        </is>
      </c>
      <c r="E674" s="2" t="inlineStr">
        <is>
          <t>segment ending 2024-11-22 15:31</t>
        </is>
      </c>
      <c r="F674" s="2" t="n"/>
      <c r="G674" s="2" t="inlineStr">
        <is>
          <t>l/100km</t>
        </is>
      </c>
      <c r="H674" s="18">
        <f>IFERROR(ROUND(INDEX(fillups!$N$2:$N$596,MATCH("focus|2024-11-22 15:31",fillups!$O$2:$O$596,0)),2),"—")</f>
        <v/>
      </c>
      <c r="I674" s="2" t="inlineStr">
        <is>
          <t>spreadsheet</t>
        </is>
      </c>
      <c r="J674" s="2" t="n"/>
      <c r="K674" s="14" t="inlineStr">
        <is>
          <t>example formula (Claude): check it, or replace it with your own</t>
        </is>
      </c>
    </row>
    <row r="675">
      <c r="A675" s="2" t="n">
        <v>674</v>
      </c>
      <c r="B675" s="2" t="inlineStr">
        <is>
          <t>economy.segment</t>
        </is>
      </c>
      <c r="C675" s="2" t="inlineStr">
        <is>
          <t>alex</t>
        </is>
      </c>
      <c r="D675" s="2" t="inlineStr">
        <is>
          <t>focus</t>
        </is>
      </c>
      <c r="E675" s="2" t="inlineStr">
        <is>
          <t>segment ending 2024-12-15 12:26</t>
        </is>
      </c>
      <c r="F675" s="2" t="n"/>
      <c r="G675" s="2" t="inlineStr">
        <is>
          <t>l/100km</t>
        </is>
      </c>
      <c r="H675" s="18">
        <f>IFERROR(ROUND(INDEX(fillups!$N$2:$N$596,MATCH("focus|2024-12-15 12:26",fillups!$O$2:$O$596,0)),2),"—")</f>
        <v/>
      </c>
      <c r="I675" s="2" t="inlineStr">
        <is>
          <t>spreadsheet</t>
        </is>
      </c>
      <c r="J675" s="2" t="n"/>
      <c r="K675" s="14" t="inlineStr">
        <is>
          <t>example formula (Claude): check it, or replace it with your own</t>
        </is>
      </c>
    </row>
    <row r="676">
      <c r="A676" s="2" t="n">
        <v>675</v>
      </c>
      <c r="B676" s="2" t="inlineStr">
        <is>
          <t>economy.segment</t>
        </is>
      </c>
      <c r="C676" s="2" t="inlineStr">
        <is>
          <t>alex</t>
        </is>
      </c>
      <c r="D676" s="2" t="inlineStr">
        <is>
          <t>focus</t>
        </is>
      </c>
      <c r="E676" s="2" t="inlineStr">
        <is>
          <t>segment ending 2025-01-05 12:26</t>
        </is>
      </c>
      <c r="F676" s="2" t="n"/>
      <c r="G676" s="2" t="inlineStr">
        <is>
          <t>l/100km</t>
        </is>
      </c>
      <c r="H676" s="18">
        <f>IFERROR(ROUND(INDEX(fillups!$N$2:$N$596,MATCH("focus|2025-01-05 12:26",fillups!$O$2:$O$596,0)),2),"—")</f>
        <v/>
      </c>
      <c r="I676" s="2" t="inlineStr">
        <is>
          <t>spreadsheet</t>
        </is>
      </c>
      <c r="J676" s="2" t="n"/>
      <c r="K676" s="14" t="inlineStr">
        <is>
          <t>example formula (Claude): check it, or replace it with your own</t>
        </is>
      </c>
    </row>
    <row r="677">
      <c r="A677" s="2" t="n">
        <v>676</v>
      </c>
      <c r="B677" s="2" t="inlineStr">
        <is>
          <t>economy.segment</t>
        </is>
      </c>
      <c r="C677" s="2" t="inlineStr">
        <is>
          <t>alex</t>
        </is>
      </c>
      <c r="D677" s="2" t="inlineStr">
        <is>
          <t>focus</t>
        </is>
      </c>
      <c r="E677" s="2" t="inlineStr">
        <is>
          <t>segment ending 2025-01-23 11:40</t>
        </is>
      </c>
      <c r="F677" s="2" t="n"/>
      <c r="G677" s="2" t="inlineStr">
        <is>
          <t>l/100km</t>
        </is>
      </c>
      <c r="H677" s="18">
        <f>IFERROR(ROUND(INDEX(fillups!$N$2:$N$596,MATCH("focus|2025-01-23 11:40",fillups!$O$2:$O$596,0)),2),"—")</f>
        <v/>
      </c>
      <c r="I677" s="2" t="inlineStr">
        <is>
          <t>spreadsheet</t>
        </is>
      </c>
      <c r="J677" s="2" t="n"/>
      <c r="K677" s="14" t="inlineStr">
        <is>
          <t>example formula (Claude): check it, or replace it with your own</t>
        </is>
      </c>
    </row>
    <row r="678">
      <c r="A678" s="2" t="n">
        <v>677</v>
      </c>
      <c r="B678" s="2" t="inlineStr">
        <is>
          <t>economy.segment</t>
        </is>
      </c>
      <c r="C678" s="2" t="inlineStr">
        <is>
          <t>alex</t>
        </is>
      </c>
      <c r="D678" s="2" t="inlineStr">
        <is>
          <t>focus</t>
        </is>
      </c>
      <c r="E678" s="2" t="inlineStr">
        <is>
          <t>segment ending 2025-02-09 13:39</t>
        </is>
      </c>
      <c r="F678" s="2" t="n"/>
      <c r="G678" s="2" t="inlineStr">
        <is>
          <t>l/100km</t>
        </is>
      </c>
      <c r="H678" s="18">
        <f>IFERROR(ROUND(INDEX(fillups!$N$2:$N$596,MATCH("focus|2025-02-09 13:39",fillups!$O$2:$O$596,0)),2),"—")</f>
        <v/>
      </c>
      <c r="I678" s="2" t="inlineStr">
        <is>
          <t>spreadsheet</t>
        </is>
      </c>
      <c r="J678" s="2" t="n"/>
      <c r="K678" s="14" t="inlineStr">
        <is>
          <t>example formula (Claude): check it, or replace it with your own</t>
        </is>
      </c>
    </row>
    <row r="679">
      <c r="A679" s="2" t="n">
        <v>678</v>
      </c>
      <c r="B679" s="2" t="inlineStr">
        <is>
          <t>economy.segment</t>
        </is>
      </c>
      <c r="C679" s="2" t="inlineStr">
        <is>
          <t>alex</t>
        </is>
      </c>
      <c r="D679" s="2" t="inlineStr">
        <is>
          <t>focus</t>
        </is>
      </c>
      <c r="E679" s="2" t="inlineStr">
        <is>
          <t>segment ending 2025-02-27 10:19</t>
        </is>
      </c>
      <c r="F679" s="2" t="n"/>
      <c r="G679" s="2" t="inlineStr">
        <is>
          <t>l/100km</t>
        </is>
      </c>
      <c r="H679" s="18">
        <f>IFERROR(ROUND(INDEX(fillups!$N$2:$N$596,MATCH("focus|2025-02-27 10:19",fillups!$O$2:$O$596,0)),2),"—")</f>
        <v/>
      </c>
      <c r="I679" s="2" t="inlineStr">
        <is>
          <t>spreadsheet</t>
        </is>
      </c>
      <c r="J679" s="2" t="n"/>
      <c r="K679" s="14" t="inlineStr">
        <is>
          <t>example formula (Claude): check it, or replace it with your own</t>
        </is>
      </c>
    </row>
    <row r="680">
      <c r="A680" s="2" t="n">
        <v>679</v>
      </c>
      <c r="B680" s="2" t="inlineStr">
        <is>
          <t>economy.segment</t>
        </is>
      </c>
      <c r="C680" s="2" t="inlineStr">
        <is>
          <t>alex</t>
        </is>
      </c>
      <c r="D680" s="2" t="inlineStr">
        <is>
          <t>focus</t>
        </is>
      </c>
      <c r="E680" s="2" t="inlineStr">
        <is>
          <t>segment ending 2025-03-16 09:42</t>
        </is>
      </c>
      <c r="F680" s="2" t="n"/>
      <c r="G680" s="2" t="inlineStr">
        <is>
          <t>l/100km</t>
        </is>
      </c>
      <c r="H680" s="18">
        <f>IFERROR(ROUND(INDEX(fillups!$N$2:$N$596,MATCH("focus|2025-03-16 09:42",fillups!$O$2:$O$596,0)),2),"—")</f>
        <v/>
      </c>
      <c r="I680" s="2" t="inlineStr">
        <is>
          <t>spreadsheet</t>
        </is>
      </c>
      <c r="J680" s="2" t="n"/>
      <c r="K680" s="14" t="inlineStr">
        <is>
          <t>example formula (Claude): check it, or replace it with your own</t>
        </is>
      </c>
    </row>
    <row r="681">
      <c r="A681" s="2" t="n">
        <v>680</v>
      </c>
      <c r="B681" s="2" t="inlineStr">
        <is>
          <t>economy.segment</t>
        </is>
      </c>
      <c r="C681" s="2" t="inlineStr">
        <is>
          <t>alex</t>
        </is>
      </c>
      <c r="D681" s="2" t="inlineStr">
        <is>
          <t>focus</t>
        </is>
      </c>
      <c r="E681" s="2" t="inlineStr">
        <is>
          <t>segment ending 2025-04-03 09:10</t>
        </is>
      </c>
      <c r="F681" s="2" t="n"/>
      <c r="G681" s="2" t="inlineStr">
        <is>
          <t>l/100km</t>
        </is>
      </c>
      <c r="H681" s="18">
        <f>IFERROR(ROUND(INDEX(fillups!$N$2:$N$596,MATCH("focus|2025-04-03 09:10",fillups!$O$2:$O$596,0)),2),"—")</f>
        <v/>
      </c>
      <c r="I681" s="2" t="inlineStr">
        <is>
          <t>spreadsheet</t>
        </is>
      </c>
      <c r="J681" s="2" t="n"/>
      <c r="K681" s="14" t="inlineStr">
        <is>
          <t>example formula (Claude): check it, or replace it with your own</t>
        </is>
      </c>
    </row>
    <row r="682">
      <c r="A682" s="2" t="n">
        <v>681</v>
      </c>
      <c r="B682" s="2" t="inlineStr">
        <is>
          <t>economy.segment</t>
        </is>
      </c>
      <c r="C682" s="2" t="inlineStr">
        <is>
          <t>alex</t>
        </is>
      </c>
      <c r="D682" s="2" t="inlineStr">
        <is>
          <t>focus</t>
        </is>
      </c>
      <c r="E682" s="2" t="inlineStr">
        <is>
          <t>segment ending 2025-04-30 18:56</t>
        </is>
      </c>
      <c r="F682" s="2" t="n"/>
      <c r="G682" s="2" t="inlineStr">
        <is>
          <t>l/100km</t>
        </is>
      </c>
      <c r="H682" s="18">
        <f>IFERROR(ROUND(INDEX(fillups!$N$2:$N$596,MATCH("focus|2025-04-30 18:56",fillups!$O$2:$O$596,0)),2),"—")</f>
        <v/>
      </c>
      <c r="I682" s="2" t="inlineStr">
        <is>
          <t>spreadsheet</t>
        </is>
      </c>
      <c r="J682" s="2" t="n"/>
      <c r="K682" s="14" t="inlineStr">
        <is>
          <t>example formula (Claude): check it, or replace it with your own</t>
        </is>
      </c>
    </row>
    <row r="683">
      <c r="A683" s="2" t="n">
        <v>682</v>
      </c>
      <c r="B683" s="2" t="inlineStr">
        <is>
          <t>economy.segment</t>
        </is>
      </c>
      <c r="C683" s="2" t="inlineStr">
        <is>
          <t>alex</t>
        </is>
      </c>
      <c r="D683" s="2" t="inlineStr">
        <is>
          <t>focus</t>
        </is>
      </c>
      <c r="E683" s="2" t="inlineStr">
        <is>
          <t>segment ending 2025-05-24 19:29</t>
        </is>
      </c>
      <c r="F683" s="2" t="n"/>
      <c r="G683" s="2" t="inlineStr">
        <is>
          <t>l/100km</t>
        </is>
      </c>
      <c r="H683" s="18">
        <f>IFERROR(ROUND(INDEX(fillups!$N$2:$N$596,MATCH("focus|2025-05-24 19:29",fillups!$O$2:$O$596,0)),2),"—")</f>
        <v/>
      </c>
      <c r="I683" s="2" t="inlineStr">
        <is>
          <t>spreadsheet</t>
        </is>
      </c>
      <c r="J683" s="2" t="n"/>
      <c r="K683" s="14" t="inlineStr">
        <is>
          <t>example formula (Claude): check it, or replace it with your own</t>
        </is>
      </c>
    </row>
    <row r="684">
      <c r="A684" s="2" t="n">
        <v>683</v>
      </c>
      <c r="B684" s="2" t="inlineStr">
        <is>
          <t>economy.segment</t>
        </is>
      </c>
      <c r="C684" s="2" t="inlineStr">
        <is>
          <t>alex</t>
        </is>
      </c>
      <c r="D684" s="2" t="inlineStr">
        <is>
          <t>focus</t>
        </is>
      </c>
      <c r="E684" s="2" t="inlineStr">
        <is>
          <t>segment ending 2025-06-22 14:42</t>
        </is>
      </c>
      <c r="F684" s="2" t="n"/>
      <c r="G684" s="2" t="inlineStr">
        <is>
          <t>l/100km</t>
        </is>
      </c>
      <c r="H684" s="18">
        <f>IFERROR(ROUND(INDEX(fillups!$N$2:$N$596,MATCH("focus|2025-06-22 14:42",fillups!$O$2:$O$596,0)),2),"—")</f>
        <v/>
      </c>
      <c r="I684" s="2" t="inlineStr">
        <is>
          <t>spreadsheet</t>
        </is>
      </c>
      <c r="J684" s="2" t="n"/>
      <c r="K684" s="14" t="inlineStr">
        <is>
          <t>example formula (Claude): check it, or replace it with your own</t>
        </is>
      </c>
    </row>
    <row r="685">
      <c r="A685" s="2" t="n">
        <v>684</v>
      </c>
      <c r="B685" s="2" t="inlineStr">
        <is>
          <t>economy.segment</t>
        </is>
      </c>
      <c r="C685" s="2" t="inlineStr">
        <is>
          <t>alex</t>
        </is>
      </c>
      <c r="D685" s="2" t="inlineStr">
        <is>
          <t>focus</t>
        </is>
      </c>
      <c r="E685" s="2" t="inlineStr">
        <is>
          <t>segment ending 2025-07-10 16:38</t>
        </is>
      </c>
      <c r="F685" s="2" t="n"/>
      <c r="G685" s="2" t="inlineStr">
        <is>
          <t>l/100km</t>
        </is>
      </c>
      <c r="H685" s="18">
        <f>IFERROR(ROUND(INDEX(fillups!$N$2:$N$596,MATCH("focus|2025-07-10 16:38",fillups!$O$2:$O$596,0)),2),"—")</f>
        <v/>
      </c>
      <c r="I685" s="2" t="inlineStr">
        <is>
          <t>spreadsheet</t>
        </is>
      </c>
      <c r="J685" s="2" t="n"/>
      <c r="K685" s="14" t="inlineStr">
        <is>
          <t>example formula (Claude): check it, or replace it with your own</t>
        </is>
      </c>
    </row>
    <row r="686">
      <c r="A686" s="2" t="n">
        <v>685</v>
      </c>
      <c r="B686" s="2" t="inlineStr">
        <is>
          <t>economy.segment</t>
        </is>
      </c>
      <c r="C686" s="2" t="inlineStr">
        <is>
          <t>alex</t>
        </is>
      </c>
      <c r="D686" s="2" t="inlineStr">
        <is>
          <t>focus</t>
        </is>
      </c>
      <c r="E686" s="2" t="inlineStr">
        <is>
          <t>segment ending 2025-07-25 18:03</t>
        </is>
      </c>
      <c r="F686" s="2" t="n"/>
      <c r="G686" s="2" t="inlineStr">
        <is>
          <t>l/100km</t>
        </is>
      </c>
      <c r="H686" s="18">
        <f>IFERROR(ROUND(INDEX(fillups!$N$2:$N$596,MATCH("focus|2025-07-25 18:03",fillups!$O$2:$O$596,0)),2),"—")</f>
        <v/>
      </c>
      <c r="I686" s="2" t="inlineStr">
        <is>
          <t>spreadsheet</t>
        </is>
      </c>
      <c r="J686" s="2" t="n"/>
      <c r="K686" s="14" t="inlineStr">
        <is>
          <t>example formula (Claude): check it, or replace it with your own</t>
        </is>
      </c>
    </row>
    <row r="687">
      <c r="A687" s="2" t="n">
        <v>686</v>
      </c>
      <c r="B687" s="2" t="inlineStr">
        <is>
          <t>economy.segment</t>
        </is>
      </c>
      <c r="C687" s="2" t="inlineStr">
        <is>
          <t>alex</t>
        </is>
      </c>
      <c r="D687" s="2" t="inlineStr">
        <is>
          <t>focus</t>
        </is>
      </c>
      <c r="E687" s="2" t="inlineStr">
        <is>
          <t>segment ending 2025-08-15 16:28</t>
        </is>
      </c>
      <c r="F687" s="2" t="n"/>
      <c r="G687" s="2" t="inlineStr">
        <is>
          <t>l/100km</t>
        </is>
      </c>
      <c r="H687" s="18">
        <f>IFERROR(ROUND(INDEX(fillups!$N$2:$N$596,MATCH("focus|2025-08-15 16:28",fillups!$O$2:$O$596,0)),2),"—")</f>
        <v/>
      </c>
      <c r="I687" s="2" t="inlineStr">
        <is>
          <t>spreadsheet</t>
        </is>
      </c>
      <c r="J687" s="2" t="n"/>
      <c r="K687" s="14" t="inlineStr">
        <is>
          <t>example formula (Claude): check it, or replace it with your own</t>
        </is>
      </c>
    </row>
    <row r="688">
      <c r="A688" s="2" t="n">
        <v>687</v>
      </c>
      <c r="B688" s="2" t="inlineStr">
        <is>
          <t>economy.segment</t>
        </is>
      </c>
      <c r="C688" s="2" t="inlineStr">
        <is>
          <t>alex</t>
        </is>
      </c>
      <c r="D688" s="2" t="inlineStr">
        <is>
          <t>focus</t>
        </is>
      </c>
      <c r="E688" s="2" t="inlineStr">
        <is>
          <t>segment ending 2025-09-24 10:19</t>
        </is>
      </c>
      <c r="F688" s="2" t="n"/>
      <c r="G688" s="2" t="inlineStr">
        <is>
          <t>l/100km</t>
        </is>
      </c>
      <c r="H688" s="18">
        <f>IFERROR(ROUND(INDEX(fillups!$N$2:$N$596,MATCH("focus|2025-09-24 10:19",fillups!$O$2:$O$596,0)),2),"—")</f>
        <v/>
      </c>
      <c r="I688" s="2" t="inlineStr">
        <is>
          <t>spreadsheet</t>
        </is>
      </c>
      <c r="J688" s="2" t="n"/>
      <c r="K688" s="14" t="inlineStr">
        <is>
          <t>example formula (Claude): check it, or replace it with your own</t>
        </is>
      </c>
    </row>
    <row r="689">
      <c r="A689" s="2" t="n">
        <v>688</v>
      </c>
      <c r="B689" s="2" t="inlineStr">
        <is>
          <t>economy.segment</t>
        </is>
      </c>
      <c r="C689" s="2" t="inlineStr">
        <is>
          <t>alex</t>
        </is>
      </c>
      <c r="D689" s="2" t="inlineStr">
        <is>
          <t>focus</t>
        </is>
      </c>
      <c r="E689" s="2" t="inlineStr">
        <is>
          <t>segment ending 2025-10-11 08:02</t>
        </is>
      </c>
      <c r="F689" s="2" t="n"/>
      <c r="G689" s="2" t="inlineStr">
        <is>
          <t>l/100km</t>
        </is>
      </c>
      <c r="H689" s="18">
        <f>IFERROR(ROUND(INDEX(fillups!$N$2:$N$596,MATCH("focus|2025-10-11 08:02",fillups!$O$2:$O$596,0)),2),"—")</f>
        <v/>
      </c>
      <c r="I689" s="2" t="inlineStr">
        <is>
          <t>spreadsheet</t>
        </is>
      </c>
      <c r="J689" s="2" t="n"/>
      <c r="K689" s="14" t="inlineStr">
        <is>
          <t>example formula (Claude): check it, or replace it with your own</t>
        </is>
      </c>
    </row>
    <row r="690">
      <c r="A690" s="2" t="n">
        <v>689</v>
      </c>
      <c r="B690" s="2" t="inlineStr">
        <is>
          <t>economy.segment</t>
        </is>
      </c>
      <c r="C690" s="2" t="inlineStr">
        <is>
          <t>alex</t>
        </is>
      </c>
      <c r="D690" s="2" t="inlineStr">
        <is>
          <t>focus</t>
        </is>
      </c>
      <c r="E690" s="2" t="inlineStr">
        <is>
          <t>segment ending 2025-11-04 20:04</t>
        </is>
      </c>
      <c r="F690" s="2" t="n"/>
      <c r="G690" s="2" t="inlineStr">
        <is>
          <t>l/100km</t>
        </is>
      </c>
      <c r="H690" s="18">
        <f>IFERROR(ROUND(INDEX(fillups!$N$2:$N$596,MATCH("focus|2025-11-04 20:04",fillups!$O$2:$O$596,0)),2),"—")</f>
        <v/>
      </c>
      <c r="I690" s="2" t="inlineStr">
        <is>
          <t>spreadsheet</t>
        </is>
      </c>
      <c r="J690" s="2" t="n"/>
      <c r="K690" s="14" t="inlineStr">
        <is>
          <t>example formula (Claude): check it, or replace it with your own</t>
        </is>
      </c>
    </row>
    <row r="691">
      <c r="A691" s="2" t="n">
        <v>690</v>
      </c>
      <c r="B691" s="2" t="inlineStr">
        <is>
          <t>economy.segment</t>
        </is>
      </c>
      <c r="C691" s="2" t="inlineStr">
        <is>
          <t>alex</t>
        </is>
      </c>
      <c r="D691" s="2" t="inlineStr">
        <is>
          <t>focus</t>
        </is>
      </c>
      <c r="E691" s="2" t="inlineStr">
        <is>
          <t>segment ending 2025-11-24 07:51</t>
        </is>
      </c>
      <c r="F691" s="2" t="n"/>
      <c r="G691" s="2" t="inlineStr">
        <is>
          <t>l/100km</t>
        </is>
      </c>
      <c r="H691" s="18">
        <f>IFERROR(ROUND(INDEX(fillups!$N$2:$N$596,MATCH("focus|2025-11-24 07:51",fillups!$O$2:$O$596,0)),2),"—")</f>
        <v/>
      </c>
      <c r="I691" s="2" t="inlineStr">
        <is>
          <t>spreadsheet</t>
        </is>
      </c>
      <c r="J691" s="2" t="n"/>
      <c r="K691" s="14" t="inlineStr">
        <is>
          <t>example formula (Claude): check it, or replace it with your own</t>
        </is>
      </c>
    </row>
    <row r="692">
      <c r="A692" s="2" t="n">
        <v>691</v>
      </c>
      <c r="B692" s="2" t="inlineStr">
        <is>
          <t>economy.segment</t>
        </is>
      </c>
      <c r="C692" s="2" t="inlineStr">
        <is>
          <t>alex</t>
        </is>
      </c>
      <c r="D692" s="2" t="inlineStr">
        <is>
          <t>focus</t>
        </is>
      </c>
      <c r="E692" s="2" t="inlineStr">
        <is>
          <t>segment ending 2025-12-15 12:08</t>
        </is>
      </c>
      <c r="F692" s="2" t="n"/>
      <c r="G692" s="2" t="inlineStr">
        <is>
          <t>l/100km</t>
        </is>
      </c>
      <c r="H692" s="18">
        <f>IFERROR(ROUND(INDEX(fillups!$N$2:$N$596,MATCH("focus|2025-12-15 12:08",fillups!$O$2:$O$596,0)),2),"—")</f>
        <v/>
      </c>
      <c r="I692" s="2" t="inlineStr">
        <is>
          <t>spreadsheet</t>
        </is>
      </c>
      <c r="J692" s="2" t="n"/>
      <c r="K692" s="14" t="inlineStr">
        <is>
          <t>example formula (Claude): check it, or replace it with your own</t>
        </is>
      </c>
    </row>
    <row r="693">
      <c r="A693" s="2" t="n">
        <v>692</v>
      </c>
      <c r="B693" s="2" t="inlineStr">
        <is>
          <t>economy.segment</t>
        </is>
      </c>
      <c r="C693" s="2" t="inlineStr">
        <is>
          <t>alex</t>
        </is>
      </c>
      <c r="D693" s="2" t="inlineStr">
        <is>
          <t>focus</t>
        </is>
      </c>
      <c r="E693" s="2" t="inlineStr">
        <is>
          <t>segment ending 2026-01-07 10:24</t>
        </is>
      </c>
      <c r="F693" s="2" t="n"/>
      <c r="G693" s="2" t="inlineStr">
        <is>
          <t>l/100km</t>
        </is>
      </c>
      <c r="H693" s="18">
        <f>IFERROR(ROUND(INDEX(fillups!$N$2:$N$596,MATCH("focus|2026-01-07 10:24",fillups!$O$2:$O$596,0)),2),"—")</f>
        <v/>
      </c>
      <c r="I693" s="2" t="inlineStr">
        <is>
          <t>spreadsheet</t>
        </is>
      </c>
      <c r="J693" s="2" t="n"/>
      <c r="K693" s="14" t="inlineStr">
        <is>
          <t>example formula (Claude): check it, or replace it with your own</t>
        </is>
      </c>
    </row>
    <row r="694">
      <c r="A694" s="2" t="n">
        <v>693</v>
      </c>
      <c r="B694" s="2" t="inlineStr">
        <is>
          <t>economy.segment</t>
        </is>
      </c>
      <c r="C694" s="2" t="inlineStr">
        <is>
          <t>alex</t>
        </is>
      </c>
      <c r="D694" s="2" t="inlineStr">
        <is>
          <t>focus</t>
        </is>
      </c>
      <c r="E694" s="2" t="inlineStr">
        <is>
          <t>segment ending 2026-01-31 15:27</t>
        </is>
      </c>
      <c r="F694" s="2" t="n"/>
      <c r="G694" s="2" t="inlineStr">
        <is>
          <t>l/100km</t>
        </is>
      </c>
      <c r="H694" s="18">
        <f>IFERROR(ROUND(INDEX(fillups!$N$2:$N$596,MATCH("focus|2026-01-31 15:27",fillups!$O$2:$O$596,0)),2),"—")</f>
        <v/>
      </c>
      <c r="I694" s="2" t="inlineStr">
        <is>
          <t>spreadsheet</t>
        </is>
      </c>
      <c r="J694" s="2" t="n"/>
      <c r="K694" s="14" t="inlineStr">
        <is>
          <t>example formula (Claude): check it, or replace it with your own</t>
        </is>
      </c>
    </row>
    <row r="695">
      <c r="A695" s="2" t="n">
        <v>694</v>
      </c>
      <c r="B695" s="2" t="inlineStr">
        <is>
          <t>economy.segment</t>
        </is>
      </c>
      <c r="C695" s="2" t="inlineStr">
        <is>
          <t>alex</t>
        </is>
      </c>
      <c r="D695" s="2" t="inlineStr">
        <is>
          <t>focus</t>
        </is>
      </c>
      <c r="E695" s="2" t="inlineStr">
        <is>
          <t>segment ending 2026-02-17 09:10</t>
        </is>
      </c>
      <c r="F695" s="2" t="n"/>
      <c r="G695" s="2" t="inlineStr">
        <is>
          <t>l/100km</t>
        </is>
      </c>
      <c r="H695" s="18">
        <f>IFERROR(ROUND(INDEX(fillups!$N$2:$N$596,MATCH("focus|2026-02-17 09:10",fillups!$O$2:$O$596,0)),2),"—")</f>
        <v/>
      </c>
      <c r="I695" s="2" t="inlineStr">
        <is>
          <t>spreadsheet</t>
        </is>
      </c>
      <c r="J695" s="2" t="n"/>
      <c r="K695" s="14" t="inlineStr">
        <is>
          <t>example formula (Claude): check it, or replace it with your own</t>
        </is>
      </c>
    </row>
    <row r="696">
      <c r="A696" s="2" t="n">
        <v>695</v>
      </c>
      <c r="B696" s="2" t="inlineStr">
        <is>
          <t>economy.segment</t>
        </is>
      </c>
      <c r="C696" s="2" t="inlineStr">
        <is>
          <t>alex</t>
        </is>
      </c>
      <c r="D696" s="2" t="inlineStr">
        <is>
          <t>focus</t>
        </is>
      </c>
      <c r="E696" s="2" t="inlineStr">
        <is>
          <t>segment ending 2026-03-11 19:50</t>
        </is>
      </c>
      <c r="F696" s="2" t="n"/>
      <c r="G696" s="2" t="inlineStr">
        <is>
          <t>l/100km</t>
        </is>
      </c>
      <c r="H696" s="18">
        <f>IFERROR(ROUND(INDEX(fillups!$N$2:$N$596,MATCH("focus|2026-03-11 19:50",fillups!$O$2:$O$596,0)),2),"—")</f>
        <v/>
      </c>
      <c r="I696" s="2" t="inlineStr">
        <is>
          <t>spreadsheet</t>
        </is>
      </c>
      <c r="J696" s="2" t="n"/>
      <c r="K696" s="14" t="inlineStr">
        <is>
          <t>example formula (Claude): check it, or replace it with your own</t>
        </is>
      </c>
    </row>
    <row r="697">
      <c r="A697" s="2" t="n">
        <v>696</v>
      </c>
      <c r="B697" s="2" t="inlineStr">
        <is>
          <t>economy.segment</t>
        </is>
      </c>
      <c r="C697" s="2" t="inlineStr">
        <is>
          <t>alex</t>
        </is>
      </c>
      <c r="D697" s="2" t="inlineStr">
        <is>
          <t>focus</t>
        </is>
      </c>
      <c r="E697" s="2" t="inlineStr">
        <is>
          <t>segment ending 2026-03-29 18:01</t>
        </is>
      </c>
      <c r="F697" s="2" t="n"/>
      <c r="G697" s="2" t="inlineStr">
        <is>
          <t>l/100km</t>
        </is>
      </c>
      <c r="H697" s="18">
        <f>IFERROR(ROUND(INDEX(fillups!$N$2:$N$596,MATCH("focus|2026-03-29 18:01",fillups!$O$2:$O$596,0)),2),"—")</f>
        <v/>
      </c>
      <c r="I697" s="2" t="inlineStr">
        <is>
          <t>spreadsheet</t>
        </is>
      </c>
      <c r="J697" s="2" t="n"/>
      <c r="K697" s="14" t="inlineStr">
        <is>
          <t>example formula (Claude): check it, or replace it with your own</t>
        </is>
      </c>
    </row>
    <row r="698">
      <c r="A698" s="2" t="n">
        <v>697</v>
      </c>
      <c r="B698" s="2" t="inlineStr">
        <is>
          <t>economy.segment</t>
        </is>
      </c>
      <c r="C698" s="2" t="inlineStr">
        <is>
          <t>alex</t>
        </is>
      </c>
      <c r="D698" s="2" t="inlineStr">
        <is>
          <t>focus</t>
        </is>
      </c>
      <c r="E698" s="2" t="inlineStr">
        <is>
          <t>segment ending 2026-04-15 12:50</t>
        </is>
      </c>
      <c r="F698" s="2" t="n"/>
      <c r="G698" s="2" t="inlineStr">
        <is>
          <t>l/100km</t>
        </is>
      </c>
      <c r="H698" s="18">
        <f>IFERROR(ROUND(INDEX(fillups!$N$2:$N$596,MATCH("focus|2026-04-15 12:50",fillups!$O$2:$O$596,0)),2),"—")</f>
        <v/>
      </c>
      <c r="I698" s="2" t="inlineStr">
        <is>
          <t>spreadsheet</t>
        </is>
      </c>
      <c r="J698" s="2" t="n"/>
      <c r="K698" s="14" t="inlineStr">
        <is>
          <t>example formula (Claude): check it, or replace it with your own</t>
        </is>
      </c>
    </row>
    <row r="699">
      <c r="A699" s="2" t="n">
        <v>698</v>
      </c>
      <c r="B699" s="2" t="inlineStr">
        <is>
          <t>economy.segment</t>
        </is>
      </c>
      <c r="C699" s="2" t="inlineStr">
        <is>
          <t>alex</t>
        </is>
      </c>
      <c r="D699" s="2" t="inlineStr">
        <is>
          <t>focus</t>
        </is>
      </c>
      <c r="E699" s="2" t="inlineStr">
        <is>
          <t>segment ending 2026-05-09 19:43</t>
        </is>
      </c>
      <c r="F699" s="2" t="n"/>
      <c r="G699" s="2" t="inlineStr">
        <is>
          <t>l/100km</t>
        </is>
      </c>
      <c r="H699" s="18">
        <f>IFERROR(ROUND(INDEX(fillups!$N$2:$N$596,MATCH("focus|2026-05-09 19:43",fillups!$O$2:$O$596,0)),2),"—")</f>
        <v/>
      </c>
      <c r="I699" s="2" t="inlineStr">
        <is>
          <t>spreadsheet</t>
        </is>
      </c>
      <c r="J699" s="2" t="n"/>
      <c r="K699" s="14" t="inlineStr">
        <is>
          <t>example formula (Claude): check it, or replace it with your own</t>
        </is>
      </c>
    </row>
    <row r="700">
      <c r="A700" s="2" t="n">
        <v>699</v>
      </c>
      <c r="B700" s="2" t="inlineStr">
        <is>
          <t>economy.segment</t>
        </is>
      </c>
      <c r="C700" s="2" t="inlineStr">
        <is>
          <t>alex</t>
        </is>
      </c>
      <c r="D700" s="2" t="inlineStr">
        <is>
          <t>focus</t>
        </is>
      </c>
      <c r="E700" s="2" t="inlineStr">
        <is>
          <t>segment ending 2026-05-24 08:36</t>
        </is>
      </c>
      <c r="F700" s="2" t="n"/>
      <c r="G700" s="2" t="inlineStr">
        <is>
          <t>l/100km</t>
        </is>
      </c>
      <c r="H700" s="18">
        <f>IFERROR(ROUND(INDEX(fillups!$N$2:$N$596,MATCH("focus|2026-05-24 08:36",fillups!$O$2:$O$596,0)),2),"—")</f>
        <v/>
      </c>
      <c r="I700" s="2" t="inlineStr">
        <is>
          <t>spreadsheet</t>
        </is>
      </c>
      <c r="J700" s="2" t="n"/>
      <c r="K700" s="14" t="inlineStr">
        <is>
          <t>example formula (Claude): check it, or replace it with your own</t>
        </is>
      </c>
    </row>
    <row r="701">
      <c r="A701" s="2" t="n">
        <v>700</v>
      </c>
      <c r="B701" s="2" t="inlineStr">
        <is>
          <t>economy.segment</t>
        </is>
      </c>
      <c r="C701" s="2" t="inlineStr">
        <is>
          <t>alex</t>
        </is>
      </c>
      <c r="D701" s="2" t="inlineStr">
        <is>
          <t>focus</t>
        </is>
      </c>
      <c r="E701" s="2" t="inlineStr">
        <is>
          <t>segment ending 2026-06-16 20:02</t>
        </is>
      </c>
      <c r="F701" s="2" t="n"/>
      <c r="G701" s="2" t="inlineStr">
        <is>
          <t>l/100km</t>
        </is>
      </c>
      <c r="H701" s="18">
        <f>IFERROR(ROUND(INDEX(fillups!$N$2:$N$596,MATCH("focus|2026-06-16 20:02",fillups!$O$2:$O$596,0)),2),"—")</f>
        <v/>
      </c>
      <c r="I701" s="2" t="inlineStr">
        <is>
          <t>spreadsheet</t>
        </is>
      </c>
      <c r="J701" s="2" t="n"/>
      <c r="K701" s="14" t="inlineStr">
        <is>
          <t>example formula (Claude): check it, or replace it with your own</t>
        </is>
      </c>
    </row>
    <row r="702">
      <c r="A702" s="2" t="n">
        <v>701</v>
      </c>
      <c r="B702" s="2" t="inlineStr">
        <is>
          <t>economy.segment</t>
        </is>
      </c>
      <c r="C702" s="2" t="inlineStr">
        <is>
          <t>alex</t>
        </is>
      </c>
      <c r="D702" s="2" t="inlineStr">
        <is>
          <t>focus</t>
        </is>
      </c>
      <c r="E702" s="2" t="inlineStr">
        <is>
          <t>segment ending 2026-07-07 11:22</t>
        </is>
      </c>
      <c r="F702" s="2" t="n"/>
      <c r="G702" s="2" t="inlineStr">
        <is>
          <t>l/100km</t>
        </is>
      </c>
      <c r="H702" s="18">
        <f>IFERROR(ROUND(INDEX(fillups!$N$2:$N$596,MATCH("focus|2026-07-07 11:22",fillups!$O$2:$O$596,0)),2),"—")</f>
        <v/>
      </c>
      <c r="I702" s="2" t="inlineStr">
        <is>
          <t>spreadsheet</t>
        </is>
      </c>
      <c r="J702" s="2" t="n"/>
      <c r="K702" s="14" t="inlineStr">
        <is>
          <t>example formula (Claude): check it, or replace it with your own</t>
        </is>
      </c>
    </row>
    <row r="703">
      <c r="A703" s="2" t="n">
        <v>702</v>
      </c>
      <c r="B703" s="2" t="inlineStr">
        <is>
          <t>economy.segment</t>
        </is>
      </c>
      <c r="C703" s="2" t="inlineStr">
        <is>
          <t>alex</t>
        </is>
      </c>
      <c r="D703" s="2" t="inlineStr">
        <is>
          <t>focus</t>
        </is>
      </c>
      <c r="E703" s="2" t="inlineStr">
        <is>
          <t>segment ending 2026-07-30 13:16</t>
        </is>
      </c>
      <c r="F703" s="2" t="n"/>
      <c r="G703" s="2" t="inlineStr">
        <is>
          <t>l/100km</t>
        </is>
      </c>
      <c r="H703" s="18">
        <f>IFERROR(ROUND(INDEX(fillups!$N$2:$N$596,MATCH("focus|2026-07-30 13:16",fillups!$O$2:$O$596,0)),2),"—")</f>
        <v/>
      </c>
      <c r="I703" s="2" t="inlineStr">
        <is>
          <t>spreadsheet</t>
        </is>
      </c>
      <c r="J703" s="2" t="n"/>
      <c r="K703" s="14" t="inlineStr">
        <is>
          <t>example formula (Claude): check it, or replace it with your own</t>
        </is>
      </c>
    </row>
    <row r="704">
      <c r="A704" s="2" t="n">
        <v>703</v>
      </c>
      <c r="B704" s="2" t="inlineStr">
        <is>
          <t>economy.lifetime</t>
        </is>
      </c>
      <c r="C704" s="2" t="inlineStr">
        <is>
          <t>sam</t>
        </is>
      </c>
      <c r="D704" s="2" t="inlineStr">
        <is>
          <t>corolla</t>
        </is>
      </c>
      <c r="E704" s="2" t="inlineStr">
        <is>
          <t>all_time</t>
        </is>
      </c>
      <c r="F704" s="2" t="n"/>
      <c r="G704" s="2" t="inlineStr">
        <is>
          <t>l/100km</t>
        </is>
      </c>
      <c r="H704" s="18">
        <f>ROUND(SUMIFS(fillups!$L$2:$L$596,fillups!$A$2:$A$596,"corolla",fillups!$M$2:$M$596,"&gt;0")/SUMIFS(fillups!$M$2:$M$596,fillups!$A$2:$A$596,"corolla")*100,2)</f>
        <v/>
      </c>
      <c r="I704" s="2" t="inlineStr">
        <is>
          <t>spreadsheet</t>
        </is>
      </c>
      <c r="J704" s="2" t="n"/>
      <c r="K704" s="14" t="inlineStr">
        <is>
          <t>example formula (Claude): check it, or replace it with your own</t>
        </is>
      </c>
    </row>
    <row r="705">
      <c r="A705" s="2" t="n">
        <v>704</v>
      </c>
      <c r="B705" s="2" t="inlineStr">
        <is>
          <t>economy.segment</t>
        </is>
      </c>
      <c r="C705" s="2" t="inlineStr">
        <is>
          <t>sam</t>
        </is>
      </c>
      <c r="D705" s="2" t="inlineStr">
        <is>
          <t>corolla</t>
        </is>
      </c>
      <c r="E705" s="2" t="inlineStr">
        <is>
          <t>segment ending 2023-12-23 08:13</t>
        </is>
      </c>
      <c r="F705" s="2" t="n"/>
      <c r="G705" s="2" t="inlineStr">
        <is>
          <t>l/100km</t>
        </is>
      </c>
      <c r="H705" s="18">
        <f>IFERROR(ROUND(INDEX(fillups!$N$2:$N$596,MATCH("corolla|2023-12-23 08:13",fillups!$O$2:$O$596,0)),2),"—")</f>
        <v/>
      </c>
      <c r="I705" s="2" t="inlineStr">
        <is>
          <t>spreadsheet</t>
        </is>
      </c>
      <c r="J705" s="2" t="n"/>
      <c r="K705" s="14" t="inlineStr">
        <is>
          <t>example formula (Claude): check it, or replace it with your own</t>
        </is>
      </c>
    </row>
    <row r="706">
      <c r="A706" s="2" t="n">
        <v>705</v>
      </c>
      <c r="B706" s="2" t="inlineStr">
        <is>
          <t>economy.segment</t>
        </is>
      </c>
      <c r="C706" s="2" t="inlineStr">
        <is>
          <t>sam</t>
        </is>
      </c>
      <c r="D706" s="2" t="inlineStr">
        <is>
          <t>corolla</t>
        </is>
      </c>
      <c r="E706" s="2" t="inlineStr">
        <is>
          <t>segment ending 2024-01-08 16:41</t>
        </is>
      </c>
      <c r="F706" s="2" t="n"/>
      <c r="G706" s="2" t="inlineStr">
        <is>
          <t>l/100km</t>
        </is>
      </c>
      <c r="H706" s="18">
        <f>IFERROR(ROUND(INDEX(fillups!$N$2:$N$596,MATCH("corolla|2024-01-08 16:41",fillups!$O$2:$O$596,0)),2),"—")</f>
        <v/>
      </c>
      <c r="I706" s="2" t="inlineStr">
        <is>
          <t>spreadsheet</t>
        </is>
      </c>
      <c r="J706" s="2" t="n"/>
      <c r="K706" s="14" t="inlineStr">
        <is>
          <t>example formula (Claude): check it, or replace it with your own</t>
        </is>
      </c>
    </row>
    <row r="707">
      <c r="A707" s="2" t="n">
        <v>706</v>
      </c>
      <c r="B707" s="2" t="inlineStr">
        <is>
          <t>economy.segment</t>
        </is>
      </c>
      <c r="C707" s="2" t="inlineStr">
        <is>
          <t>sam</t>
        </is>
      </c>
      <c r="D707" s="2" t="inlineStr">
        <is>
          <t>corolla</t>
        </is>
      </c>
      <c r="E707" s="2" t="inlineStr">
        <is>
          <t>segment ending 2024-01-25 20:05</t>
        </is>
      </c>
      <c r="F707" s="2" t="n"/>
      <c r="G707" s="2" t="inlineStr">
        <is>
          <t>l/100km</t>
        </is>
      </c>
      <c r="H707" s="18">
        <f>IFERROR(ROUND(INDEX(fillups!$N$2:$N$596,MATCH("corolla|2024-01-25 20:05",fillups!$O$2:$O$596,0)),2),"—")</f>
        <v/>
      </c>
      <c r="I707" s="2" t="inlineStr">
        <is>
          <t>spreadsheet</t>
        </is>
      </c>
      <c r="J707" s="2" t="n"/>
      <c r="K707" s="14" t="inlineStr">
        <is>
          <t>example formula (Claude): check it, or replace it with your own</t>
        </is>
      </c>
    </row>
    <row r="708">
      <c r="A708" s="2" t="n">
        <v>707</v>
      </c>
      <c r="B708" s="2" t="inlineStr">
        <is>
          <t>economy.segment</t>
        </is>
      </c>
      <c r="C708" s="2" t="inlineStr">
        <is>
          <t>sam</t>
        </is>
      </c>
      <c r="D708" s="2" t="inlineStr">
        <is>
          <t>corolla</t>
        </is>
      </c>
      <c r="E708" s="2" t="inlineStr">
        <is>
          <t>segment ending 2024-02-12 10:01</t>
        </is>
      </c>
      <c r="F708" s="2" t="n"/>
      <c r="G708" s="2" t="inlineStr">
        <is>
          <t>l/100km</t>
        </is>
      </c>
      <c r="H708" s="18">
        <f>IFERROR(ROUND(INDEX(fillups!$N$2:$N$596,MATCH("corolla|2024-02-12 10:01",fillups!$O$2:$O$596,0)),2),"—")</f>
        <v/>
      </c>
      <c r="I708" s="2" t="inlineStr">
        <is>
          <t>spreadsheet</t>
        </is>
      </c>
      <c r="J708" s="2" t="n"/>
      <c r="K708" s="14" t="inlineStr">
        <is>
          <t>example formula (Claude): check it, or replace it with your own</t>
        </is>
      </c>
    </row>
    <row r="709">
      <c r="A709" s="2" t="n">
        <v>708</v>
      </c>
      <c r="B709" s="2" t="inlineStr">
        <is>
          <t>economy.segment</t>
        </is>
      </c>
      <c r="C709" s="2" t="inlineStr">
        <is>
          <t>sam</t>
        </is>
      </c>
      <c r="D709" s="2" t="inlineStr">
        <is>
          <t>corolla</t>
        </is>
      </c>
      <c r="E709" s="2" t="inlineStr">
        <is>
          <t>segment ending 2024-02-27 11:38</t>
        </is>
      </c>
      <c r="F709" s="2" t="n"/>
      <c r="G709" s="2" t="inlineStr">
        <is>
          <t>l/100km</t>
        </is>
      </c>
      <c r="H709" s="18">
        <f>IFERROR(ROUND(INDEX(fillups!$N$2:$N$596,MATCH("corolla|2024-02-27 11:38",fillups!$O$2:$O$596,0)),2),"—")</f>
        <v/>
      </c>
      <c r="I709" s="2" t="inlineStr">
        <is>
          <t>spreadsheet</t>
        </is>
      </c>
      <c r="J709" s="2" t="n"/>
      <c r="K709" s="14" t="inlineStr">
        <is>
          <t>example formula (Claude): check it, or replace it with your own</t>
        </is>
      </c>
    </row>
    <row r="710">
      <c r="A710" s="2" t="n">
        <v>709</v>
      </c>
      <c r="B710" s="2" t="inlineStr">
        <is>
          <t>economy.segment</t>
        </is>
      </c>
      <c r="C710" s="2" t="inlineStr">
        <is>
          <t>sam</t>
        </is>
      </c>
      <c r="D710" s="2" t="inlineStr">
        <is>
          <t>corolla</t>
        </is>
      </c>
      <c r="E710" s="2" t="inlineStr">
        <is>
          <t>segment ending 2024-03-13 15:05</t>
        </is>
      </c>
      <c r="F710" s="2" t="n"/>
      <c r="G710" s="2" t="inlineStr">
        <is>
          <t>l/100km</t>
        </is>
      </c>
      <c r="H710" s="18">
        <f>IFERROR(ROUND(INDEX(fillups!$N$2:$N$596,MATCH("corolla|2024-03-13 15:05",fillups!$O$2:$O$596,0)),2),"—")</f>
        <v/>
      </c>
      <c r="I710" s="2" t="inlineStr">
        <is>
          <t>spreadsheet</t>
        </is>
      </c>
      <c r="J710" s="2" t="n"/>
      <c r="K710" s="14" t="inlineStr">
        <is>
          <t>example formula (Claude): check it, or replace it with your own</t>
        </is>
      </c>
    </row>
    <row r="711">
      <c r="A711" s="2" t="n">
        <v>710</v>
      </c>
      <c r="B711" s="2" t="inlineStr">
        <is>
          <t>economy.segment</t>
        </is>
      </c>
      <c r="C711" s="2" t="inlineStr">
        <is>
          <t>sam</t>
        </is>
      </c>
      <c r="D711" s="2" t="inlineStr">
        <is>
          <t>corolla</t>
        </is>
      </c>
      <c r="E711" s="2" t="inlineStr">
        <is>
          <t>segment ending 2024-03-27 12:10</t>
        </is>
      </c>
      <c r="F711" s="2" t="n"/>
      <c r="G711" s="2" t="inlineStr">
        <is>
          <t>l/100km</t>
        </is>
      </c>
      <c r="H711" s="18">
        <f>IFERROR(ROUND(INDEX(fillups!$N$2:$N$596,MATCH("corolla|2024-03-27 12:10",fillups!$O$2:$O$596,0)),2),"—")</f>
        <v/>
      </c>
      <c r="I711" s="2" t="inlineStr">
        <is>
          <t>spreadsheet</t>
        </is>
      </c>
      <c r="J711" s="2" t="n"/>
      <c r="K711" s="14" t="inlineStr">
        <is>
          <t>example formula (Claude): check it, or replace it with your own</t>
        </is>
      </c>
    </row>
    <row r="712">
      <c r="A712" s="2" t="n">
        <v>711</v>
      </c>
      <c r="B712" s="2" t="inlineStr">
        <is>
          <t>economy.segment</t>
        </is>
      </c>
      <c r="C712" s="2" t="inlineStr">
        <is>
          <t>sam</t>
        </is>
      </c>
      <c r="D712" s="2" t="inlineStr">
        <is>
          <t>corolla</t>
        </is>
      </c>
      <c r="E712" s="2" t="inlineStr">
        <is>
          <t>segment ending 2024-03-31 23:30</t>
        </is>
      </c>
      <c r="F712" s="2" t="n"/>
      <c r="G712" s="2" t="inlineStr">
        <is>
          <t>l/100km</t>
        </is>
      </c>
      <c r="H712" s="18">
        <f>IFERROR(ROUND(INDEX(fillups!$N$2:$N$596,MATCH("corolla|2024-03-31 23:30",fillups!$O$2:$O$596,0)),2),"—")</f>
        <v/>
      </c>
      <c r="I712" s="2" t="inlineStr">
        <is>
          <t>spreadsheet</t>
        </is>
      </c>
      <c r="J712" s="2" t="n"/>
      <c r="K712" s="14" t="inlineStr">
        <is>
          <t>example formula (Claude): check it, or replace it with your own</t>
        </is>
      </c>
    </row>
    <row r="713">
      <c r="A713" s="2" t="n">
        <v>712</v>
      </c>
      <c r="B713" s="2" t="inlineStr">
        <is>
          <t>economy.segment</t>
        </is>
      </c>
      <c r="C713" s="2" t="inlineStr">
        <is>
          <t>sam</t>
        </is>
      </c>
      <c r="D713" s="2" t="inlineStr">
        <is>
          <t>corolla</t>
        </is>
      </c>
      <c r="E713" s="2" t="inlineStr">
        <is>
          <t>segment ending 2024-04-14 08:43</t>
        </is>
      </c>
      <c r="F713" s="2" t="n"/>
      <c r="G713" s="2" t="inlineStr">
        <is>
          <t>l/100km</t>
        </is>
      </c>
      <c r="H713" s="18">
        <f>IFERROR(ROUND(INDEX(fillups!$N$2:$N$596,MATCH("corolla|2024-04-14 08:43",fillups!$O$2:$O$596,0)),2),"—")</f>
        <v/>
      </c>
      <c r="I713" s="2" t="inlineStr">
        <is>
          <t>spreadsheet</t>
        </is>
      </c>
      <c r="J713" s="2" t="n"/>
      <c r="K713" s="14" t="inlineStr">
        <is>
          <t>example formula (Claude): check it, or replace it with your own</t>
        </is>
      </c>
    </row>
    <row r="714">
      <c r="A714" s="2" t="n">
        <v>713</v>
      </c>
      <c r="B714" s="2" t="inlineStr">
        <is>
          <t>economy.segment</t>
        </is>
      </c>
      <c r="C714" s="2" t="inlineStr">
        <is>
          <t>sam</t>
        </is>
      </c>
      <c r="D714" s="2" t="inlineStr">
        <is>
          <t>corolla</t>
        </is>
      </c>
      <c r="E714" s="2" t="inlineStr">
        <is>
          <t>segment ending 2024-05-06 20:18</t>
        </is>
      </c>
      <c r="F714" s="2" t="n"/>
      <c r="G714" s="2" t="inlineStr">
        <is>
          <t>l/100km</t>
        </is>
      </c>
      <c r="H714" s="18">
        <f>IFERROR(ROUND(INDEX(fillups!$N$2:$N$596,MATCH("corolla|2024-05-06 20:18",fillups!$O$2:$O$596,0)),2),"—")</f>
        <v/>
      </c>
      <c r="I714" s="2" t="inlineStr">
        <is>
          <t>spreadsheet</t>
        </is>
      </c>
      <c r="J714" s="2" t="n"/>
      <c r="K714" s="14" t="inlineStr">
        <is>
          <t>example formula (Claude): check it, or replace it with your own</t>
        </is>
      </c>
    </row>
    <row r="715">
      <c r="A715" s="2" t="n">
        <v>714</v>
      </c>
      <c r="B715" s="2" t="inlineStr">
        <is>
          <t>economy.segment</t>
        </is>
      </c>
      <c r="C715" s="2" t="inlineStr">
        <is>
          <t>sam</t>
        </is>
      </c>
      <c r="D715" s="2" t="inlineStr">
        <is>
          <t>corolla</t>
        </is>
      </c>
      <c r="E715" s="2" t="inlineStr">
        <is>
          <t>segment ending 2024-05-23 17:39</t>
        </is>
      </c>
      <c r="F715" s="2" t="n"/>
      <c r="G715" s="2" t="inlineStr">
        <is>
          <t>l/100km</t>
        </is>
      </c>
      <c r="H715" s="18">
        <f>IFERROR(ROUND(INDEX(fillups!$N$2:$N$596,MATCH("corolla|2024-05-23 17:39",fillups!$O$2:$O$596,0)),2),"—")</f>
        <v/>
      </c>
      <c r="I715" s="2" t="inlineStr">
        <is>
          <t>spreadsheet</t>
        </is>
      </c>
      <c r="J715" s="2" t="n"/>
      <c r="K715" s="14" t="inlineStr">
        <is>
          <t>example formula (Claude): check it, or replace it with your own</t>
        </is>
      </c>
    </row>
    <row r="716">
      <c r="A716" s="2" t="n">
        <v>715</v>
      </c>
      <c r="B716" s="2" t="inlineStr">
        <is>
          <t>economy.segment</t>
        </is>
      </c>
      <c r="C716" s="2" t="inlineStr">
        <is>
          <t>sam</t>
        </is>
      </c>
      <c r="D716" s="2" t="inlineStr">
        <is>
          <t>corolla</t>
        </is>
      </c>
      <c r="E716" s="2" t="inlineStr">
        <is>
          <t>segment ending 2024-06-08 19:40</t>
        </is>
      </c>
      <c r="F716" s="2" t="n"/>
      <c r="G716" s="2" t="inlineStr">
        <is>
          <t>l/100km</t>
        </is>
      </c>
      <c r="H716" s="18">
        <f>IFERROR(ROUND(INDEX(fillups!$N$2:$N$596,MATCH("corolla|2024-06-08 19:40",fillups!$O$2:$O$596,0)),2),"—")</f>
        <v/>
      </c>
      <c r="I716" s="2" t="inlineStr">
        <is>
          <t>spreadsheet</t>
        </is>
      </c>
      <c r="J716" s="2" t="n"/>
      <c r="K716" s="14" t="inlineStr">
        <is>
          <t>example formula (Claude): check it, or replace it with your own</t>
        </is>
      </c>
    </row>
    <row r="717">
      <c r="A717" s="2" t="n">
        <v>716</v>
      </c>
      <c r="B717" s="2" t="inlineStr">
        <is>
          <t>economy.segment</t>
        </is>
      </c>
      <c r="C717" s="2" t="inlineStr">
        <is>
          <t>sam</t>
        </is>
      </c>
      <c r="D717" s="2" t="inlineStr">
        <is>
          <t>corolla</t>
        </is>
      </c>
      <c r="E717" s="2" t="inlineStr">
        <is>
          <t>segment ending 2024-06-23 20:53</t>
        </is>
      </c>
      <c r="F717" s="2" t="n"/>
      <c r="G717" s="2" t="inlineStr">
        <is>
          <t>l/100km</t>
        </is>
      </c>
      <c r="H717" s="18">
        <f>IFERROR(ROUND(INDEX(fillups!$N$2:$N$596,MATCH("corolla|2024-06-23 20:53",fillups!$O$2:$O$596,0)),2),"—")</f>
        <v/>
      </c>
      <c r="I717" s="2" t="inlineStr">
        <is>
          <t>spreadsheet</t>
        </is>
      </c>
      <c r="J717" s="2" t="n"/>
      <c r="K717" s="14" t="inlineStr">
        <is>
          <t>example formula (Claude): check it, or replace it with your own</t>
        </is>
      </c>
    </row>
    <row r="718">
      <c r="A718" s="2" t="n">
        <v>717</v>
      </c>
      <c r="B718" s="2" t="inlineStr">
        <is>
          <t>economy.segment</t>
        </is>
      </c>
      <c r="C718" s="2" t="inlineStr">
        <is>
          <t>sam</t>
        </is>
      </c>
      <c r="D718" s="2" t="inlineStr">
        <is>
          <t>corolla</t>
        </is>
      </c>
      <c r="E718" s="2" t="inlineStr">
        <is>
          <t>segment ending 2024-07-08 20:20</t>
        </is>
      </c>
      <c r="F718" s="2" t="n"/>
      <c r="G718" s="2" t="inlineStr">
        <is>
          <t>l/100km</t>
        </is>
      </c>
      <c r="H718" s="18">
        <f>IFERROR(ROUND(INDEX(fillups!$N$2:$N$596,MATCH("corolla|2024-07-08 20:20",fillups!$O$2:$O$596,0)),2),"—")</f>
        <v/>
      </c>
      <c r="I718" s="2" t="inlineStr">
        <is>
          <t>spreadsheet</t>
        </is>
      </c>
      <c r="J718" s="2" t="n"/>
      <c r="K718" s="14" t="inlineStr">
        <is>
          <t>example formula (Claude): check it, or replace it with your own</t>
        </is>
      </c>
    </row>
    <row r="719">
      <c r="A719" s="2" t="n">
        <v>718</v>
      </c>
      <c r="B719" s="2" t="inlineStr">
        <is>
          <t>economy.segment</t>
        </is>
      </c>
      <c r="C719" s="2" t="inlineStr">
        <is>
          <t>sam</t>
        </is>
      </c>
      <c r="D719" s="2" t="inlineStr">
        <is>
          <t>corolla</t>
        </is>
      </c>
      <c r="E719" s="2" t="inlineStr">
        <is>
          <t>segment ending 2024-07-22 09:21</t>
        </is>
      </c>
      <c r="F719" s="2" t="n"/>
      <c r="G719" s="2" t="inlineStr">
        <is>
          <t>l/100km</t>
        </is>
      </c>
      <c r="H719" s="18">
        <f>IFERROR(ROUND(INDEX(fillups!$N$2:$N$596,MATCH("corolla|2024-07-22 09:21",fillups!$O$2:$O$596,0)),2),"—")</f>
        <v/>
      </c>
      <c r="I719" s="2" t="inlineStr">
        <is>
          <t>spreadsheet</t>
        </is>
      </c>
      <c r="J719" s="2" t="n"/>
      <c r="K719" s="14" t="inlineStr">
        <is>
          <t>example formula (Claude): check it, or replace it with your own</t>
        </is>
      </c>
    </row>
    <row r="720">
      <c r="A720" s="2" t="n">
        <v>719</v>
      </c>
      <c r="B720" s="2" t="inlineStr">
        <is>
          <t>economy.segment</t>
        </is>
      </c>
      <c r="C720" s="2" t="inlineStr">
        <is>
          <t>sam</t>
        </is>
      </c>
      <c r="D720" s="2" t="inlineStr">
        <is>
          <t>corolla</t>
        </is>
      </c>
      <c r="E720" s="2" t="inlineStr">
        <is>
          <t>segment ending 2024-08-07 16:31</t>
        </is>
      </c>
      <c r="F720" s="2" t="n"/>
      <c r="G720" s="2" t="inlineStr">
        <is>
          <t>l/100km</t>
        </is>
      </c>
      <c r="H720" s="18">
        <f>IFERROR(ROUND(INDEX(fillups!$N$2:$N$596,MATCH("corolla|2024-08-07 16:31",fillups!$O$2:$O$596,0)),2),"—")</f>
        <v/>
      </c>
      <c r="I720" s="2" t="inlineStr">
        <is>
          <t>spreadsheet</t>
        </is>
      </c>
      <c r="J720" s="2" t="n"/>
      <c r="K720" s="14" t="inlineStr">
        <is>
          <t>example formula (Claude): check it, or replace it with your own</t>
        </is>
      </c>
    </row>
    <row r="721">
      <c r="A721" s="2" t="n">
        <v>720</v>
      </c>
      <c r="B721" s="2" t="inlineStr">
        <is>
          <t>economy.segment</t>
        </is>
      </c>
      <c r="C721" s="2" t="inlineStr">
        <is>
          <t>sam</t>
        </is>
      </c>
      <c r="D721" s="2" t="inlineStr">
        <is>
          <t>corolla</t>
        </is>
      </c>
      <c r="E721" s="2" t="inlineStr">
        <is>
          <t>segment ending 2024-08-20 16:17</t>
        </is>
      </c>
      <c r="F721" s="2" t="n"/>
      <c r="G721" s="2" t="inlineStr">
        <is>
          <t>l/100km</t>
        </is>
      </c>
      <c r="H721" s="18">
        <f>IFERROR(ROUND(INDEX(fillups!$N$2:$N$596,MATCH("corolla|2024-08-20 16:17",fillups!$O$2:$O$596,0)),2),"—")</f>
        <v/>
      </c>
      <c r="I721" s="2" t="inlineStr">
        <is>
          <t>spreadsheet</t>
        </is>
      </c>
      <c r="J721" s="2" t="n"/>
      <c r="K721" s="14" t="inlineStr">
        <is>
          <t>example formula (Claude): check it, or replace it with your own</t>
        </is>
      </c>
    </row>
    <row r="722">
      <c r="A722" s="2" t="n">
        <v>721</v>
      </c>
      <c r="B722" s="2" t="inlineStr">
        <is>
          <t>economy.segment</t>
        </is>
      </c>
      <c r="C722" s="2" t="inlineStr">
        <is>
          <t>sam</t>
        </is>
      </c>
      <c r="D722" s="2" t="inlineStr">
        <is>
          <t>corolla</t>
        </is>
      </c>
      <c r="E722" s="2" t="inlineStr">
        <is>
          <t>segment ending 2024-09-08 14:06</t>
        </is>
      </c>
      <c r="F722" s="2" t="n"/>
      <c r="G722" s="2" t="inlineStr">
        <is>
          <t>l/100km</t>
        </is>
      </c>
      <c r="H722" s="18">
        <f>IFERROR(ROUND(INDEX(fillups!$N$2:$N$596,MATCH("corolla|2024-09-08 14:06",fillups!$O$2:$O$596,0)),2),"—")</f>
        <v/>
      </c>
      <c r="I722" s="2" t="inlineStr">
        <is>
          <t>spreadsheet</t>
        </is>
      </c>
      <c r="J722" s="2" t="n"/>
      <c r="K722" s="14" t="inlineStr">
        <is>
          <t>example formula (Claude): check it, or replace it with your own</t>
        </is>
      </c>
    </row>
    <row r="723">
      <c r="A723" s="2" t="n">
        <v>722</v>
      </c>
      <c r="B723" s="2" t="inlineStr">
        <is>
          <t>economy.segment</t>
        </is>
      </c>
      <c r="C723" s="2" t="inlineStr">
        <is>
          <t>sam</t>
        </is>
      </c>
      <c r="D723" s="2" t="inlineStr">
        <is>
          <t>corolla</t>
        </is>
      </c>
      <c r="E723" s="2" t="inlineStr">
        <is>
          <t>segment ending 2024-09-22 13:36</t>
        </is>
      </c>
      <c r="F723" s="2" t="n"/>
      <c r="G723" s="2" t="inlineStr">
        <is>
          <t>l/100km</t>
        </is>
      </c>
      <c r="H723" s="18">
        <f>IFERROR(ROUND(INDEX(fillups!$N$2:$N$596,MATCH("corolla|2024-09-22 13:36",fillups!$O$2:$O$596,0)),2),"—")</f>
        <v/>
      </c>
      <c r="I723" s="2" t="inlineStr">
        <is>
          <t>spreadsheet</t>
        </is>
      </c>
      <c r="J723" s="2" t="n"/>
      <c r="K723" s="14" t="inlineStr">
        <is>
          <t>example formula (Claude): check it, or replace it with your own</t>
        </is>
      </c>
    </row>
    <row r="724">
      <c r="A724" s="2" t="n">
        <v>723</v>
      </c>
      <c r="B724" s="2" t="inlineStr">
        <is>
          <t>economy.segment</t>
        </is>
      </c>
      <c r="C724" s="2" t="inlineStr">
        <is>
          <t>sam</t>
        </is>
      </c>
      <c r="D724" s="2" t="inlineStr">
        <is>
          <t>corolla</t>
        </is>
      </c>
      <c r="E724" s="2" t="inlineStr">
        <is>
          <t>segment ending 2024-10-07 11:39</t>
        </is>
      </c>
      <c r="F724" s="2" t="n"/>
      <c r="G724" s="2" t="inlineStr">
        <is>
          <t>l/100km</t>
        </is>
      </c>
      <c r="H724" s="18">
        <f>IFERROR(ROUND(INDEX(fillups!$N$2:$N$596,MATCH("corolla|2024-10-07 11:39",fillups!$O$2:$O$596,0)),2),"—")</f>
        <v/>
      </c>
      <c r="I724" s="2" t="inlineStr">
        <is>
          <t>spreadsheet</t>
        </is>
      </c>
      <c r="J724" s="2" t="n"/>
      <c r="K724" s="14" t="inlineStr">
        <is>
          <t>example formula (Claude): check it, or replace it with your own</t>
        </is>
      </c>
    </row>
    <row r="725">
      <c r="A725" s="2" t="n">
        <v>724</v>
      </c>
      <c r="B725" s="2" t="inlineStr">
        <is>
          <t>economy.segment</t>
        </is>
      </c>
      <c r="C725" s="2" t="inlineStr">
        <is>
          <t>sam</t>
        </is>
      </c>
      <c r="D725" s="2" t="inlineStr">
        <is>
          <t>corolla</t>
        </is>
      </c>
      <c r="E725" s="2" t="inlineStr">
        <is>
          <t>segment ending 2024-10-25 09:12</t>
        </is>
      </c>
      <c r="F725" s="2" t="n"/>
      <c r="G725" s="2" t="inlineStr">
        <is>
          <t>l/100km</t>
        </is>
      </c>
      <c r="H725" s="18">
        <f>IFERROR(ROUND(INDEX(fillups!$N$2:$N$596,MATCH("corolla|2024-10-25 09:12",fillups!$O$2:$O$596,0)),2),"—")</f>
        <v/>
      </c>
      <c r="I725" s="2" t="inlineStr">
        <is>
          <t>spreadsheet</t>
        </is>
      </c>
      <c r="J725" s="2" t="n"/>
      <c r="K725" s="14" t="inlineStr">
        <is>
          <t>example formula (Claude): check it, or replace it with your own</t>
        </is>
      </c>
    </row>
    <row r="726">
      <c r="A726" s="2" t="n">
        <v>725</v>
      </c>
      <c r="B726" s="2" t="inlineStr">
        <is>
          <t>economy.segment</t>
        </is>
      </c>
      <c r="C726" s="2" t="inlineStr">
        <is>
          <t>sam</t>
        </is>
      </c>
      <c r="D726" s="2" t="inlineStr">
        <is>
          <t>corolla</t>
        </is>
      </c>
      <c r="E726" s="2" t="inlineStr">
        <is>
          <t>segment ending 2024-11-08 11:26</t>
        </is>
      </c>
      <c r="F726" s="2" t="n"/>
      <c r="G726" s="2" t="inlineStr">
        <is>
          <t>l/100km</t>
        </is>
      </c>
      <c r="H726" s="18">
        <f>IFERROR(ROUND(INDEX(fillups!$N$2:$N$596,MATCH("corolla|2024-11-08 11:26",fillups!$O$2:$O$596,0)),2),"—")</f>
        <v/>
      </c>
      <c r="I726" s="2" t="inlineStr">
        <is>
          <t>spreadsheet</t>
        </is>
      </c>
      <c r="J726" s="2" t="n"/>
      <c r="K726" s="14" t="inlineStr">
        <is>
          <t>example formula (Claude): check it, or replace it with your own</t>
        </is>
      </c>
    </row>
    <row r="727">
      <c r="A727" s="2" t="n">
        <v>726</v>
      </c>
      <c r="B727" s="2" t="inlineStr">
        <is>
          <t>economy.segment</t>
        </is>
      </c>
      <c r="C727" s="2" t="inlineStr">
        <is>
          <t>sam</t>
        </is>
      </c>
      <c r="D727" s="2" t="inlineStr">
        <is>
          <t>corolla</t>
        </is>
      </c>
      <c r="E727" s="2" t="inlineStr">
        <is>
          <t>segment ending 2024-11-24 19:43</t>
        </is>
      </c>
      <c r="F727" s="2" t="n"/>
      <c r="G727" s="2" t="inlineStr">
        <is>
          <t>l/100km</t>
        </is>
      </c>
      <c r="H727" s="18">
        <f>IFERROR(ROUND(INDEX(fillups!$N$2:$N$596,MATCH("corolla|2024-11-24 19:43",fillups!$O$2:$O$596,0)),2),"—")</f>
        <v/>
      </c>
      <c r="I727" s="2" t="inlineStr">
        <is>
          <t>spreadsheet</t>
        </is>
      </c>
      <c r="J727" s="2" t="n"/>
      <c r="K727" s="14" t="inlineStr">
        <is>
          <t>example formula (Claude): check it, or replace it with your own</t>
        </is>
      </c>
    </row>
    <row r="728">
      <c r="A728" s="2" t="n">
        <v>727</v>
      </c>
      <c r="B728" s="2" t="inlineStr">
        <is>
          <t>economy.segment</t>
        </is>
      </c>
      <c r="C728" s="2" t="inlineStr">
        <is>
          <t>sam</t>
        </is>
      </c>
      <c r="D728" s="2" t="inlineStr">
        <is>
          <t>corolla</t>
        </is>
      </c>
      <c r="E728" s="2" t="inlineStr">
        <is>
          <t>segment ending 2024-12-26 08:47</t>
        </is>
      </c>
      <c r="F728" s="2" t="n"/>
      <c r="G728" s="2" t="inlineStr">
        <is>
          <t>l/100km</t>
        </is>
      </c>
      <c r="H728" s="18">
        <f>IFERROR(ROUND(INDEX(fillups!$N$2:$N$596,MATCH("corolla|2024-12-26 08:47",fillups!$O$2:$O$596,0)),2),"—")</f>
        <v/>
      </c>
      <c r="I728" s="2" t="inlineStr">
        <is>
          <t>spreadsheet</t>
        </is>
      </c>
      <c r="J728" s="2" t="n"/>
      <c r="K728" s="14" t="inlineStr">
        <is>
          <t>example formula (Claude): check it, or replace it with your own</t>
        </is>
      </c>
    </row>
    <row r="729">
      <c r="A729" s="2" t="n">
        <v>728</v>
      </c>
      <c r="B729" s="2" t="inlineStr">
        <is>
          <t>economy.segment</t>
        </is>
      </c>
      <c r="C729" s="2" t="inlineStr">
        <is>
          <t>sam</t>
        </is>
      </c>
      <c r="D729" s="2" t="inlineStr">
        <is>
          <t>corolla</t>
        </is>
      </c>
      <c r="E729" s="2" t="inlineStr">
        <is>
          <t>segment ending 2025-01-14 09:12</t>
        </is>
      </c>
      <c r="F729" s="2" t="n"/>
      <c r="G729" s="2" t="inlineStr">
        <is>
          <t>l/100km</t>
        </is>
      </c>
      <c r="H729" s="18">
        <f>IFERROR(ROUND(INDEX(fillups!$N$2:$N$596,MATCH("corolla|2025-01-14 09:12",fillups!$O$2:$O$596,0)),2),"—")</f>
        <v/>
      </c>
      <c r="I729" s="2" t="inlineStr">
        <is>
          <t>spreadsheet</t>
        </is>
      </c>
      <c r="J729" s="2" t="n"/>
      <c r="K729" s="14" t="inlineStr">
        <is>
          <t>example formula (Claude): check it, or replace it with your own</t>
        </is>
      </c>
    </row>
    <row r="730">
      <c r="A730" s="2" t="n">
        <v>729</v>
      </c>
      <c r="B730" s="2" t="inlineStr">
        <is>
          <t>economy.segment</t>
        </is>
      </c>
      <c r="C730" s="2" t="inlineStr">
        <is>
          <t>sam</t>
        </is>
      </c>
      <c r="D730" s="2" t="inlineStr">
        <is>
          <t>corolla</t>
        </is>
      </c>
      <c r="E730" s="2" t="inlineStr">
        <is>
          <t>segment ending 2025-01-29 20:49</t>
        </is>
      </c>
      <c r="F730" s="2" t="n"/>
      <c r="G730" s="2" t="inlineStr">
        <is>
          <t>l/100km</t>
        </is>
      </c>
      <c r="H730" s="18">
        <f>IFERROR(ROUND(INDEX(fillups!$N$2:$N$596,MATCH("corolla|2025-01-29 20:49",fillups!$O$2:$O$596,0)),2),"—")</f>
        <v/>
      </c>
      <c r="I730" s="2" t="inlineStr">
        <is>
          <t>spreadsheet</t>
        </is>
      </c>
      <c r="J730" s="2" t="n"/>
      <c r="K730" s="14" t="inlineStr">
        <is>
          <t>example formula (Claude): check it, or replace it with your own</t>
        </is>
      </c>
    </row>
    <row r="731">
      <c r="A731" s="2" t="n">
        <v>730</v>
      </c>
      <c r="B731" s="2" t="inlineStr">
        <is>
          <t>economy.segment</t>
        </is>
      </c>
      <c r="C731" s="2" t="inlineStr">
        <is>
          <t>sam</t>
        </is>
      </c>
      <c r="D731" s="2" t="inlineStr">
        <is>
          <t>corolla</t>
        </is>
      </c>
      <c r="E731" s="2" t="inlineStr">
        <is>
          <t>segment ending 2025-02-18 15:33</t>
        </is>
      </c>
      <c r="F731" s="2" t="n"/>
      <c r="G731" s="2" t="inlineStr">
        <is>
          <t>l/100km</t>
        </is>
      </c>
      <c r="H731" s="18">
        <f>IFERROR(ROUND(INDEX(fillups!$N$2:$N$596,MATCH("corolla|2025-02-18 15:33",fillups!$O$2:$O$596,0)),2),"—")</f>
        <v/>
      </c>
      <c r="I731" s="2" t="inlineStr">
        <is>
          <t>spreadsheet</t>
        </is>
      </c>
      <c r="J731" s="2" t="n"/>
      <c r="K731" s="14" t="inlineStr">
        <is>
          <t>example formula (Claude): check it, or replace it with your own</t>
        </is>
      </c>
    </row>
    <row r="732">
      <c r="A732" s="2" t="n">
        <v>731</v>
      </c>
      <c r="B732" s="2" t="inlineStr">
        <is>
          <t>economy.segment</t>
        </is>
      </c>
      <c r="C732" s="2" t="inlineStr">
        <is>
          <t>sam</t>
        </is>
      </c>
      <c r="D732" s="2" t="inlineStr">
        <is>
          <t>corolla</t>
        </is>
      </c>
      <c r="E732" s="2" t="inlineStr">
        <is>
          <t>segment ending 2025-03-10 12:35</t>
        </is>
      </c>
      <c r="F732" s="2" t="n"/>
      <c r="G732" s="2" t="inlineStr">
        <is>
          <t>l/100km</t>
        </is>
      </c>
      <c r="H732" s="18">
        <f>IFERROR(ROUND(INDEX(fillups!$N$2:$N$596,MATCH("corolla|2025-03-10 12:35",fillups!$O$2:$O$596,0)),2),"—")</f>
        <v/>
      </c>
      <c r="I732" s="2" t="inlineStr">
        <is>
          <t>spreadsheet</t>
        </is>
      </c>
      <c r="J732" s="2" t="n"/>
      <c r="K732" s="14" t="inlineStr">
        <is>
          <t>example formula (Claude): check it, or replace it with your own</t>
        </is>
      </c>
    </row>
    <row r="733">
      <c r="A733" s="2" t="n">
        <v>732</v>
      </c>
      <c r="B733" s="2" t="inlineStr">
        <is>
          <t>economy.segment</t>
        </is>
      </c>
      <c r="C733" s="2" t="inlineStr">
        <is>
          <t>sam</t>
        </is>
      </c>
      <c r="D733" s="2" t="inlineStr">
        <is>
          <t>corolla</t>
        </is>
      </c>
      <c r="E733" s="2" t="inlineStr">
        <is>
          <t>segment ending 2025-03-27 18:13</t>
        </is>
      </c>
      <c r="F733" s="2" t="n"/>
      <c r="G733" s="2" t="inlineStr">
        <is>
          <t>l/100km</t>
        </is>
      </c>
      <c r="H733" s="18">
        <f>IFERROR(ROUND(INDEX(fillups!$N$2:$N$596,MATCH("corolla|2025-03-27 18:13",fillups!$O$2:$O$596,0)),2),"—")</f>
        <v/>
      </c>
      <c r="I733" s="2" t="inlineStr">
        <is>
          <t>spreadsheet</t>
        </is>
      </c>
      <c r="J733" s="2" t="n"/>
      <c r="K733" s="14" t="inlineStr">
        <is>
          <t>example formula (Claude): check it, or replace it with your own</t>
        </is>
      </c>
    </row>
    <row r="734">
      <c r="A734" s="2" t="n">
        <v>733</v>
      </c>
      <c r="B734" s="2" t="inlineStr">
        <is>
          <t>economy.segment</t>
        </is>
      </c>
      <c r="C734" s="2" t="inlineStr">
        <is>
          <t>sam</t>
        </is>
      </c>
      <c r="D734" s="2" t="inlineStr">
        <is>
          <t>corolla</t>
        </is>
      </c>
      <c r="E734" s="2" t="inlineStr">
        <is>
          <t>segment ending 2025-04-28 07:11</t>
        </is>
      </c>
      <c r="F734" s="2" t="n"/>
      <c r="G734" s="2" t="inlineStr">
        <is>
          <t>l/100km</t>
        </is>
      </c>
      <c r="H734" s="18">
        <f>IFERROR(ROUND(INDEX(fillups!$N$2:$N$596,MATCH("corolla|2025-04-28 07:11",fillups!$O$2:$O$596,0)),2),"—")</f>
        <v/>
      </c>
      <c r="I734" s="2" t="inlineStr">
        <is>
          <t>spreadsheet</t>
        </is>
      </c>
      <c r="J734" s="2" t="n"/>
      <c r="K734" s="14" t="inlineStr">
        <is>
          <t>example formula (Claude): check it, or replace it with your own</t>
        </is>
      </c>
    </row>
    <row r="735">
      <c r="A735" s="2" t="n">
        <v>734</v>
      </c>
      <c r="B735" s="2" t="inlineStr">
        <is>
          <t>economy.segment</t>
        </is>
      </c>
      <c r="C735" s="2" t="inlineStr">
        <is>
          <t>sam</t>
        </is>
      </c>
      <c r="D735" s="2" t="inlineStr">
        <is>
          <t>corolla</t>
        </is>
      </c>
      <c r="E735" s="2" t="inlineStr">
        <is>
          <t>segment ending 2025-05-12 15:52</t>
        </is>
      </c>
      <c r="F735" s="2" t="n"/>
      <c r="G735" s="2" t="inlineStr">
        <is>
          <t>l/100km</t>
        </is>
      </c>
      <c r="H735" s="18">
        <f>IFERROR(ROUND(INDEX(fillups!$N$2:$N$596,MATCH("corolla|2025-05-12 15:52",fillups!$O$2:$O$596,0)),2),"—")</f>
        <v/>
      </c>
      <c r="I735" s="2" t="inlineStr">
        <is>
          <t>spreadsheet</t>
        </is>
      </c>
      <c r="J735" s="2" t="n"/>
      <c r="K735" s="14" t="inlineStr">
        <is>
          <t>example formula (Claude): check it, or replace it with your own</t>
        </is>
      </c>
    </row>
    <row r="736">
      <c r="A736" s="2" t="n">
        <v>735</v>
      </c>
      <c r="B736" s="2" t="inlineStr">
        <is>
          <t>economy.segment</t>
        </is>
      </c>
      <c r="C736" s="2" t="inlineStr">
        <is>
          <t>sam</t>
        </is>
      </c>
      <c r="D736" s="2" t="inlineStr">
        <is>
          <t>corolla</t>
        </is>
      </c>
      <c r="E736" s="2" t="inlineStr">
        <is>
          <t>segment ending 2025-05-25 14:04</t>
        </is>
      </c>
      <c r="F736" s="2" t="n"/>
      <c r="G736" s="2" t="inlineStr">
        <is>
          <t>l/100km</t>
        </is>
      </c>
      <c r="H736" s="18">
        <f>IFERROR(ROUND(INDEX(fillups!$N$2:$N$596,MATCH("corolla|2025-05-25 14:04",fillups!$O$2:$O$596,0)),2),"—")</f>
        <v/>
      </c>
      <c r="I736" s="2" t="inlineStr">
        <is>
          <t>spreadsheet</t>
        </is>
      </c>
      <c r="J736" s="2" t="n"/>
      <c r="K736" s="14" t="inlineStr">
        <is>
          <t>example formula (Claude): check it, or replace it with your own</t>
        </is>
      </c>
    </row>
    <row r="737">
      <c r="A737" s="2" t="n">
        <v>736</v>
      </c>
      <c r="B737" s="2" t="inlineStr">
        <is>
          <t>economy.segment</t>
        </is>
      </c>
      <c r="C737" s="2" t="inlineStr">
        <is>
          <t>sam</t>
        </is>
      </c>
      <c r="D737" s="2" t="inlineStr">
        <is>
          <t>corolla</t>
        </is>
      </c>
      <c r="E737" s="2" t="inlineStr">
        <is>
          <t>segment ending 2025-06-08 13:53</t>
        </is>
      </c>
      <c r="F737" s="2" t="n"/>
      <c r="G737" s="2" t="inlineStr">
        <is>
          <t>l/100km</t>
        </is>
      </c>
      <c r="H737" s="18">
        <f>IFERROR(ROUND(INDEX(fillups!$N$2:$N$596,MATCH("corolla|2025-06-08 13:53",fillups!$O$2:$O$596,0)),2),"—")</f>
        <v/>
      </c>
      <c r="I737" s="2" t="inlineStr">
        <is>
          <t>spreadsheet</t>
        </is>
      </c>
      <c r="J737" s="2" t="n"/>
      <c r="K737" s="14" t="inlineStr">
        <is>
          <t>example formula (Claude): check it, or replace it with your own</t>
        </is>
      </c>
    </row>
    <row r="738">
      <c r="A738" s="2" t="n">
        <v>737</v>
      </c>
      <c r="B738" s="2" t="inlineStr">
        <is>
          <t>economy.segment</t>
        </is>
      </c>
      <c r="C738" s="2" t="inlineStr">
        <is>
          <t>sam</t>
        </is>
      </c>
      <c r="D738" s="2" t="inlineStr">
        <is>
          <t>corolla</t>
        </is>
      </c>
      <c r="E738" s="2" t="inlineStr">
        <is>
          <t>segment ending 2025-06-27 16:29</t>
        </is>
      </c>
      <c r="F738" s="2" t="n"/>
      <c r="G738" s="2" t="inlineStr">
        <is>
          <t>l/100km</t>
        </is>
      </c>
      <c r="H738" s="18">
        <f>IFERROR(ROUND(INDEX(fillups!$N$2:$N$596,MATCH("corolla|2025-06-27 16:29",fillups!$O$2:$O$596,0)),2),"—")</f>
        <v/>
      </c>
      <c r="I738" s="2" t="inlineStr">
        <is>
          <t>spreadsheet</t>
        </is>
      </c>
      <c r="J738" s="2" t="n"/>
      <c r="K738" s="14" t="inlineStr">
        <is>
          <t>example formula (Claude): check it, or replace it with your own</t>
        </is>
      </c>
    </row>
    <row r="739">
      <c r="A739" s="2" t="n">
        <v>738</v>
      </c>
      <c r="B739" s="2" t="inlineStr">
        <is>
          <t>economy.segment</t>
        </is>
      </c>
      <c r="C739" s="2" t="inlineStr">
        <is>
          <t>sam</t>
        </is>
      </c>
      <c r="D739" s="2" t="inlineStr">
        <is>
          <t>corolla</t>
        </is>
      </c>
      <c r="E739" s="2" t="inlineStr">
        <is>
          <t>segment ending 2025-07-11 07:57</t>
        </is>
      </c>
      <c r="F739" s="2" t="n"/>
      <c r="G739" s="2" t="inlineStr">
        <is>
          <t>l/100km</t>
        </is>
      </c>
      <c r="H739" s="18">
        <f>IFERROR(ROUND(INDEX(fillups!$N$2:$N$596,MATCH("corolla|2025-07-11 07:57",fillups!$O$2:$O$596,0)),2),"—")</f>
        <v/>
      </c>
      <c r="I739" s="2" t="inlineStr">
        <is>
          <t>spreadsheet</t>
        </is>
      </c>
      <c r="J739" s="2" t="n"/>
      <c r="K739" s="14" t="inlineStr">
        <is>
          <t>example formula (Claude): check it, or replace it with your own</t>
        </is>
      </c>
    </row>
    <row r="740">
      <c r="A740" s="2" t="n">
        <v>739</v>
      </c>
      <c r="B740" s="2" t="inlineStr">
        <is>
          <t>economy.segment</t>
        </is>
      </c>
      <c r="C740" s="2" t="inlineStr">
        <is>
          <t>sam</t>
        </is>
      </c>
      <c r="D740" s="2" t="inlineStr">
        <is>
          <t>corolla</t>
        </is>
      </c>
      <c r="E740" s="2" t="inlineStr">
        <is>
          <t>segment ending 2025-07-27 11:10</t>
        </is>
      </c>
      <c r="F740" s="2" t="n"/>
      <c r="G740" s="2" t="inlineStr">
        <is>
          <t>l/100km</t>
        </is>
      </c>
      <c r="H740" s="18">
        <f>IFERROR(ROUND(INDEX(fillups!$N$2:$N$596,MATCH("corolla|2025-07-27 11:10",fillups!$O$2:$O$596,0)),2),"—")</f>
        <v/>
      </c>
      <c r="I740" s="2" t="inlineStr">
        <is>
          <t>spreadsheet</t>
        </is>
      </c>
      <c r="J740" s="2" t="n"/>
      <c r="K740" s="14" t="inlineStr">
        <is>
          <t>example formula (Claude): check it, or replace it with your own</t>
        </is>
      </c>
    </row>
    <row r="741">
      <c r="A741" s="2" t="n">
        <v>740</v>
      </c>
      <c r="B741" s="2" t="inlineStr">
        <is>
          <t>economy.segment</t>
        </is>
      </c>
      <c r="C741" s="2" t="inlineStr">
        <is>
          <t>sam</t>
        </is>
      </c>
      <c r="D741" s="2" t="inlineStr">
        <is>
          <t>corolla</t>
        </is>
      </c>
      <c r="E741" s="2" t="inlineStr">
        <is>
          <t>segment ending 2025-08-10 10:39</t>
        </is>
      </c>
      <c r="F741" s="2" t="n"/>
      <c r="G741" s="2" t="inlineStr">
        <is>
          <t>l/100km</t>
        </is>
      </c>
      <c r="H741" s="18">
        <f>IFERROR(ROUND(INDEX(fillups!$N$2:$N$596,MATCH("corolla|2025-08-10 10:39",fillups!$O$2:$O$596,0)),2),"—")</f>
        <v/>
      </c>
      <c r="I741" s="2" t="inlineStr">
        <is>
          <t>spreadsheet</t>
        </is>
      </c>
      <c r="J741" s="2" t="n"/>
      <c r="K741" s="14" t="inlineStr">
        <is>
          <t>example formula (Claude): check it, or replace it with your own</t>
        </is>
      </c>
    </row>
    <row r="742">
      <c r="A742" s="2" t="n">
        <v>741</v>
      </c>
      <c r="B742" s="2" t="inlineStr">
        <is>
          <t>economy.segment</t>
        </is>
      </c>
      <c r="C742" s="2" t="inlineStr">
        <is>
          <t>sam</t>
        </is>
      </c>
      <c r="D742" s="2" t="inlineStr">
        <is>
          <t>corolla</t>
        </is>
      </c>
      <c r="E742" s="2" t="inlineStr">
        <is>
          <t>segment ending 2025-08-23 16:31</t>
        </is>
      </c>
      <c r="F742" s="2" t="n"/>
      <c r="G742" s="2" t="inlineStr">
        <is>
          <t>l/100km</t>
        </is>
      </c>
      <c r="H742" s="18">
        <f>IFERROR(ROUND(INDEX(fillups!$N$2:$N$596,MATCH("corolla|2025-08-23 16:31",fillups!$O$2:$O$596,0)),2),"—")</f>
        <v/>
      </c>
      <c r="I742" s="2" t="inlineStr">
        <is>
          <t>spreadsheet</t>
        </is>
      </c>
      <c r="J742" s="2" t="n"/>
      <c r="K742" s="14" t="inlineStr">
        <is>
          <t>example formula (Claude): check it, or replace it with your own</t>
        </is>
      </c>
    </row>
    <row r="743">
      <c r="A743" s="2" t="n">
        <v>742</v>
      </c>
      <c r="B743" s="2" t="inlineStr">
        <is>
          <t>economy.segment</t>
        </is>
      </c>
      <c r="C743" s="2" t="inlineStr">
        <is>
          <t>sam</t>
        </is>
      </c>
      <c r="D743" s="2" t="inlineStr">
        <is>
          <t>corolla</t>
        </is>
      </c>
      <c r="E743" s="2" t="inlineStr">
        <is>
          <t>segment ending 2025-09-07 08:24</t>
        </is>
      </c>
      <c r="F743" s="2" t="n"/>
      <c r="G743" s="2" t="inlineStr">
        <is>
          <t>l/100km</t>
        </is>
      </c>
      <c r="H743" s="18">
        <f>IFERROR(ROUND(INDEX(fillups!$N$2:$N$596,MATCH("corolla|2025-09-07 08:24",fillups!$O$2:$O$596,0)),2),"—")</f>
        <v/>
      </c>
      <c r="I743" s="2" t="inlineStr">
        <is>
          <t>spreadsheet</t>
        </is>
      </c>
      <c r="J743" s="2" t="n"/>
      <c r="K743" s="14" t="inlineStr">
        <is>
          <t>example formula (Claude): check it, or replace it with your own</t>
        </is>
      </c>
    </row>
    <row r="744">
      <c r="A744" s="2" t="n">
        <v>743</v>
      </c>
      <c r="B744" s="2" t="inlineStr">
        <is>
          <t>economy.segment</t>
        </is>
      </c>
      <c r="C744" s="2" t="inlineStr">
        <is>
          <t>sam</t>
        </is>
      </c>
      <c r="D744" s="2" t="inlineStr">
        <is>
          <t>corolla</t>
        </is>
      </c>
      <c r="E744" s="2" t="inlineStr">
        <is>
          <t>segment ending 2025-09-20 11:30</t>
        </is>
      </c>
      <c r="F744" s="2" t="n"/>
      <c r="G744" s="2" t="inlineStr">
        <is>
          <t>l/100km</t>
        </is>
      </c>
      <c r="H744" s="18">
        <f>IFERROR(ROUND(INDEX(fillups!$N$2:$N$596,MATCH("corolla|2025-09-20 11:30",fillups!$O$2:$O$596,0)),2),"—")</f>
        <v/>
      </c>
      <c r="I744" s="2" t="inlineStr">
        <is>
          <t>spreadsheet</t>
        </is>
      </c>
      <c r="J744" s="2" t="n"/>
      <c r="K744" s="14" t="inlineStr">
        <is>
          <t>example formula (Claude): check it, or replace it with your own</t>
        </is>
      </c>
    </row>
    <row r="745">
      <c r="A745" s="2" t="n">
        <v>744</v>
      </c>
      <c r="B745" s="2" t="inlineStr">
        <is>
          <t>economy.segment</t>
        </is>
      </c>
      <c r="C745" s="2" t="inlineStr">
        <is>
          <t>sam</t>
        </is>
      </c>
      <c r="D745" s="2" t="inlineStr">
        <is>
          <t>corolla</t>
        </is>
      </c>
      <c r="E745" s="2" t="inlineStr">
        <is>
          <t>segment ending 2025-10-06 13:04</t>
        </is>
      </c>
      <c r="F745" s="2" t="n"/>
      <c r="G745" s="2" t="inlineStr">
        <is>
          <t>l/100km</t>
        </is>
      </c>
      <c r="H745" s="18">
        <f>IFERROR(ROUND(INDEX(fillups!$N$2:$N$596,MATCH("corolla|2025-10-06 13:04",fillups!$O$2:$O$596,0)),2),"—")</f>
        <v/>
      </c>
      <c r="I745" s="2" t="inlineStr">
        <is>
          <t>spreadsheet</t>
        </is>
      </c>
      <c r="J745" s="2" t="n"/>
      <c r="K745" s="14" t="inlineStr">
        <is>
          <t>example formula (Claude): check it, or replace it with your own</t>
        </is>
      </c>
    </row>
    <row r="746">
      <c r="A746" s="2" t="n">
        <v>745</v>
      </c>
      <c r="B746" s="2" t="inlineStr">
        <is>
          <t>economy.segment</t>
        </is>
      </c>
      <c r="C746" s="2" t="inlineStr">
        <is>
          <t>sam</t>
        </is>
      </c>
      <c r="D746" s="2" t="inlineStr">
        <is>
          <t>corolla</t>
        </is>
      </c>
      <c r="E746" s="2" t="inlineStr">
        <is>
          <t>segment ending 2025-10-21 15:06</t>
        </is>
      </c>
      <c r="F746" s="2" t="n"/>
      <c r="G746" s="2" t="inlineStr">
        <is>
          <t>l/100km</t>
        </is>
      </c>
      <c r="H746" s="18">
        <f>IFERROR(ROUND(INDEX(fillups!$N$2:$N$596,MATCH("corolla|2025-10-21 15:06",fillups!$O$2:$O$596,0)),2),"—")</f>
        <v/>
      </c>
      <c r="I746" s="2" t="inlineStr">
        <is>
          <t>spreadsheet</t>
        </is>
      </c>
      <c r="J746" s="2" t="n"/>
      <c r="K746" s="14" t="inlineStr">
        <is>
          <t>example formula (Claude): check it, or replace it with your own</t>
        </is>
      </c>
    </row>
    <row r="747">
      <c r="A747" s="2" t="n">
        <v>746</v>
      </c>
      <c r="B747" s="2" t="inlineStr">
        <is>
          <t>economy.segment</t>
        </is>
      </c>
      <c r="C747" s="2" t="inlineStr">
        <is>
          <t>sam</t>
        </is>
      </c>
      <c r="D747" s="2" t="inlineStr">
        <is>
          <t>corolla</t>
        </is>
      </c>
      <c r="E747" s="2" t="inlineStr">
        <is>
          <t>segment ending 2025-11-03 16:29</t>
        </is>
      </c>
      <c r="F747" s="2" t="n"/>
      <c r="G747" s="2" t="inlineStr">
        <is>
          <t>l/100km</t>
        </is>
      </c>
      <c r="H747" s="18">
        <f>IFERROR(ROUND(INDEX(fillups!$N$2:$N$596,MATCH("corolla|2025-11-03 16:29",fillups!$O$2:$O$596,0)),2),"—")</f>
        <v/>
      </c>
      <c r="I747" s="2" t="inlineStr">
        <is>
          <t>spreadsheet</t>
        </is>
      </c>
      <c r="J747" s="2" t="n"/>
      <c r="K747" s="14" t="inlineStr">
        <is>
          <t>example formula (Claude): check it, or replace it with your own</t>
        </is>
      </c>
    </row>
    <row r="748">
      <c r="A748" s="2" t="n">
        <v>747</v>
      </c>
      <c r="B748" s="2" t="inlineStr">
        <is>
          <t>economy.segment</t>
        </is>
      </c>
      <c r="C748" s="2" t="inlineStr">
        <is>
          <t>sam</t>
        </is>
      </c>
      <c r="D748" s="2" t="inlineStr">
        <is>
          <t>corolla</t>
        </is>
      </c>
      <c r="E748" s="2" t="inlineStr">
        <is>
          <t>segment ending 2025-11-22 11:04</t>
        </is>
      </c>
      <c r="F748" s="2" t="n"/>
      <c r="G748" s="2" t="inlineStr">
        <is>
          <t>l/100km</t>
        </is>
      </c>
      <c r="H748" s="18">
        <f>IFERROR(ROUND(INDEX(fillups!$N$2:$N$596,MATCH("corolla|2025-11-22 11:04",fillups!$O$2:$O$596,0)),2),"—")</f>
        <v/>
      </c>
      <c r="I748" s="2" t="inlineStr">
        <is>
          <t>spreadsheet</t>
        </is>
      </c>
      <c r="J748" s="2" t="n"/>
      <c r="K748" s="14" t="inlineStr">
        <is>
          <t>example formula (Claude): check it, or replace it with your own</t>
        </is>
      </c>
    </row>
    <row r="749">
      <c r="A749" s="2" t="n">
        <v>748</v>
      </c>
      <c r="B749" s="2" t="inlineStr">
        <is>
          <t>economy.segment</t>
        </is>
      </c>
      <c r="C749" s="2" t="inlineStr">
        <is>
          <t>sam</t>
        </is>
      </c>
      <c r="D749" s="2" t="inlineStr">
        <is>
          <t>corolla</t>
        </is>
      </c>
      <c r="E749" s="2" t="inlineStr">
        <is>
          <t>segment ending 2025-12-07 14:18</t>
        </is>
      </c>
      <c r="F749" s="2" t="n"/>
      <c r="G749" s="2" t="inlineStr">
        <is>
          <t>l/100km</t>
        </is>
      </c>
      <c r="H749" s="18">
        <f>IFERROR(ROUND(INDEX(fillups!$N$2:$N$596,MATCH("corolla|2025-12-07 14:18",fillups!$O$2:$O$596,0)),2),"—")</f>
        <v/>
      </c>
      <c r="I749" s="2" t="inlineStr">
        <is>
          <t>spreadsheet</t>
        </is>
      </c>
      <c r="J749" s="2" t="n"/>
      <c r="K749" s="14" t="inlineStr">
        <is>
          <t>example formula (Claude): check it, or replace it with your own</t>
        </is>
      </c>
    </row>
    <row r="750">
      <c r="A750" s="2" t="n">
        <v>749</v>
      </c>
      <c r="B750" s="2" t="inlineStr">
        <is>
          <t>economy.segment</t>
        </is>
      </c>
      <c r="C750" s="2" t="inlineStr">
        <is>
          <t>sam</t>
        </is>
      </c>
      <c r="D750" s="2" t="inlineStr">
        <is>
          <t>corolla</t>
        </is>
      </c>
      <c r="E750" s="2" t="inlineStr">
        <is>
          <t>segment ending 2025-12-22 20:07</t>
        </is>
      </c>
      <c r="F750" s="2" t="n"/>
      <c r="G750" s="2" t="inlineStr">
        <is>
          <t>l/100km</t>
        </is>
      </c>
      <c r="H750" s="18">
        <f>IFERROR(ROUND(INDEX(fillups!$N$2:$N$596,MATCH("corolla|2025-12-22 20:07",fillups!$O$2:$O$596,0)),2),"—")</f>
        <v/>
      </c>
      <c r="I750" s="2" t="inlineStr">
        <is>
          <t>spreadsheet</t>
        </is>
      </c>
      <c r="J750" s="2" t="n"/>
      <c r="K750" s="14" t="inlineStr">
        <is>
          <t>example formula (Claude): check it, or replace it with your own</t>
        </is>
      </c>
    </row>
    <row r="751">
      <c r="A751" s="2" t="n">
        <v>750</v>
      </c>
      <c r="B751" s="2" t="inlineStr">
        <is>
          <t>economy.segment</t>
        </is>
      </c>
      <c r="C751" s="2" t="inlineStr">
        <is>
          <t>sam</t>
        </is>
      </c>
      <c r="D751" s="2" t="inlineStr">
        <is>
          <t>corolla</t>
        </is>
      </c>
      <c r="E751" s="2" t="inlineStr">
        <is>
          <t>segment ending 2026-01-07 20:50</t>
        </is>
      </c>
      <c r="F751" s="2" t="n"/>
      <c r="G751" s="2" t="inlineStr">
        <is>
          <t>l/100km</t>
        </is>
      </c>
      <c r="H751" s="18">
        <f>IFERROR(ROUND(INDEX(fillups!$N$2:$N$596,MATCH("corolla|2026-01-07 20:50",fillups!$O$2:$O$596,0)),2),"—")</f>
        <v/>
      </c>
      <c r="I751" s="2" t="inlineStr">
        <is>
          <t>spreadsheet</t>
        </is>
      </c>
      <c r="J751" s="2" t="n"/>
      <c r="K751" s="14" t="inlineStr">
        <is>
          <t>example formula (Claude): check it, or replace it with your own</t>
        </is>
      </c>
    </row>
    <row r="752">
      <c r="A752" s="2" t="n">
        <v>751</v>
      </c>
      <c r="B752" s="2" t="inlineStr">
        <is>
          <t>economy.segment</t>
        </is>
      </c>
      <c r="C752" s="2" t="inlineStr">
        <is>
          <t>sam</t>
        </is>
      </c>
      <c r="D752" s="2" t="inlineStr">
        <is>
          <t>corolla</t>
        </is>
      </c>
      <c r="E752" s="2" t="inlineStr">
        <is>
          <t>segment ending 2026-01-19 13:50</t>
        </is>
      </c>
      <c r="F752" s="2" t="n"/>
      <c r="G752" s="2" t="inlineStr">
        <is>
          <t>l/100km</t>
        </is>
      </c>
      <c r="H752" s="18">
        <f>IFERROR(ROUND(INDEX(fillups!$N$2:$N$596,MATCH("corolla|2026-01-19 13:50",fillups!$O$2:$O$596,0)),2),"—")</f>
        <v/>
      </c>
      <c r="I752" s="2" t="inlineStr">
        <is>
          <t>spreadsheet</t>
        </is>
      </c>
      <c r="J752" s="2" t="n"/>
      <c r="K752" s="14" t="inlineStr">
        <is>
          <t>example formula (Claude): check it, or replace it with your own</t>
        </is>
      </c>
    </row>
    <row r="753">
      <c r="A753" s="2" t="n">
        <v>752</v>
      </c>
      <c r="B753" s="2" t="inlineStr">
        <is>
          <t>economy.segment</t>
        </is>
      </c>
      <c r="C753" s="2" t="inlineStr">
        <is>
          <t>sam</t>
        </is>
      </c>
      <c r="D753" s="2" t="inlineStr">
        <is>
          <t>corolla</t>
        </is>
      </c>
      <c r="E753" s="2" t="inlineStr">
        <is>
          <t>segment ending 2026-02-04 08:10</t>
        </is>
      </c>
      <c r="F753" s="2" t="n"/>
      <c r="G753" s="2" t="inlineStr">
        <is>
          <t>l/100km</t>
        </is>
      </c>
      <c r="H753" s="18">
        <f>IFERROR(ROUND(INDEX(fillups!$N$2:$N$596,MATCH("corolla|2026-02-04 08:10",fillups!$O$2:$O$596,0)),2),"—")</f>
        <v/>
      </c>
      <c r="I753" s="2" t="inlineStr">
        <is>
          <t>spreadsheet</t>
        </is>
      </c>
      <c r="J753" s="2" t="n"/>
      <c r="K753" s="14" t="inlineStr">
        <is>
          <t>example formula (Claude): check it, or replace it with your own</t>
        </is>
      </c>
    </row>
    <row r="754">
      <c r="A754" s="2" t="n">
        <v>753</v>
      </c>
      <c r="B754" s="2" t="inlineStr">
        <is>
          <t>economy.segment</t>
        </is>
      </c>
      <c r="C754" s="2" t="inlineStr">
        <is>
          <t>sam</t>
        </is>
      </c>
      <c r="D754" s="2" t="inlineStr">
        <is>
          <t>corolla</t>
        </is>
      </c>
      <c r="E754" s="2" t="inlineStr">
        <is>
          <t>segment ending 2026-02-19 19:22</t>
        </is>
      </c>
      <c r="F754" s="2" t="n"/>
      <c r="G754" s="2" t="inlineStr">
        <is>
          <t>l/100km</t>
        </is>
      </c>
      <c r="H754" s="18">
        <f>IFERROR(ROUND(INDEX(fillups!$N$2:$N$596,MATCH("corolla|2026-02-19 19:22",fillups!$O$2:$O$596,0)),2),"—")</f>
        <v/>
      </c>
      <c r="I754" s="2" t="inlineStr">
        <is>
          <t>spreadsheet</t>
        </is>
      </c>
      <c r="J754" s="2" t="n"/>
      <c r="K754" s="14" t="inlineStr">
        <is>
          <t>example formula (Claude): check it, or replace it with your own</t>
        </is>
      </c>
    </row>
    <row r="755">
      <c r="A755" s="2" t="n">
        <v>754</v>
      </c>
      <c r="B755" s="2" t="inlineStr">
        <is>
          <t>economy.segment</t>
        </is>
      </c>
      <c r="C755" s="2" t="inlineStr">
        <is>
          <t>sam</t>
        </is>
      </c>
      <c r="D755" s="2" t="inlineStr">
        <is>
          <t>corolla</t>
        </is>
      </c>
      <c r="E755" s="2" t="inlineStr">
        <is>
          <t>segment ending 2026-03-11 17:48</t>
        </is>
      </c>
      <c r="F755" s="2" t="n"/>
      <c r="G755" s="2" t="inlineStr">
        <is>
          <t>l/100km</t>
        </is>
      </c>
      <c r="H755" s="18">
        <f>IFERROR(ROUND(INDEX(fillups!$N$2:$N$596,MATCH("corolla|2026-03-11 17:48",fillups!$O$2:$O$596,0)),2),"—")</f>
        <v/>
      </c>
      <c r="I755" s="2" t="inlineStr">
        <is>
          <t>spreadsheet</t>
        </is>
      </c>
      <c r="J755" s="2" t="n"/>
      <c r="K755" s="14" t="inlineStr">
        <is>
          <t>example formula (Claude): check it, or replace it with your own</t>
        </is>
      </c>
    </row>
    <row r="756">
      <c r="A756" s="2" t="n">
        <v>755</v>
      </c>
      <c r="B756" s="2" t="inlineStr">
        <is>
          <t>economy.segment</t>
        </is>
      </c>
      <c r="C756" s="2" t="inlineStr">
        <is>
          <t>sam</t>
        </is>
      </c>
      <c r="D756" s="2" t="inlineStr">
        <is>
          <t>corolla</t>
        </is>
      </c>
      <c r="E756" s="2" t="inlineStr">
        <is>
          <t>segment ending 2026-03-24 19:58</t>
        </is>
      </c>
      <c r="F756" s="2" t="n"/>
      <c r="G756" s="2" t="inlineStr">
        <is>
          <t>l/100km</t>
        </is>
      </c>
      <c r="H756" s="18">
        <f>IFERROR(ROUND(INDEX(fillups!$N$2:$N$596,MATCH("corolla|2026-03-24 19:58",fillups!$O$2:$O$596,0)),2),"—")</f>
        <v/>
      </c>
      <c r="I756" s="2" t="inlineStr">
        <is>
          <t>spreadsheet</t>
        </is>
      </c>
      <c r="J756" s="2" t="n"/>
      <c r="K756" s="14" t="inlineStr">
        <is>
          <t>example formula (Claude): check it, or replace it with your own</t>
        </is>
      </c>
    </row>
    <row r="757">
      <c r="A757" s="2" t="n">
        <v>756</v>
      </c>
      <c r="B757" s="2" t="inlineStr">
        <is>
          <t>economy.segment</t>
        </is>
      </c>
      <c r="C757" s="2" t="inlineStr">
        <is>
          <t>sam</t>
        </is>
      </c>
      <c r="D757" s="2" t="inlineStr">
        <is>
          <t>corolla</t>
        </is>
      </c>
      <c r="E757" s="2" t="inlineStr">
        <is>
          <t>segment ending 2026-04-08 19:29</t>
        </is>
      </c>
      <c r="F757" s="2" t="n"/>
      <c r="G757" s="2" t="inlineStr">
        <is>
          <t>l/100km</t>
        </is>
      </c>
      <c r="H757" s="18">
        <f>IFERROR(ROUND(INDEX(fillups!$N$2:$N$596,MATCH("corolla|2026-04-08 19:29",fillups!$O$2:$O$596,0)),2),"—")</f>
        <v/>
      </c>
      <c r="I757" s="2" t="inlineStr">
        <is>
          <t>spreadsheet</t>
        </is>
      </c>
      <c r="J757" s="2" t="n"/>
      <c r="K757" s="14" t="inlineStr">
        <is>
          <t>example formula (Claude): check it, or replace it with your own</t>
        </is>
      </c>
    </row>
    <row r="758">
      <c r="A758" s="2" t="n">
        <v>757</v>
      </c>
      <c r="B758" s="2" t="inlineStr">
        <is>
          <t>economy.segment</t>
        </is>
      </c>
      <c r="C758" s="2" t="inlineStr">
        <is>
          <t>sam</t>
        </is>
      </c>
      <c r="D758" s="2" t="inlineStr">
        <is>
          <t>corolla</t>
        </is>
      </c>
      <c r="E758" s="2" t="inlineStr">
        <is>
          <t>segment ending 2026-04-23 10:16</t>
        </is>
      </c>
      <c r="F758" s="2" t="n"/>
      <c r="G758" s="2" t="inlineStr">
        <is>
          <t>l/100km</t>
        </is>
      </c>
      <c r="H758" s="18">
        <f>IFERROR(ROUND(INDEX(fillups!$N$2:$N$596,MATCH("corolla|2026-04-23 10:16",fillups!$O$2:$O$596,0)),2),"—")</f>
        <v/>
      </c>
      <c r="I758" s="2" t="inlineStr">
        <is>
          <t>spreadsheet</t>
        </is>
      </c>
      <c r="J758" s="2" t="n"/>
      <c r="K758" s="14" t="inlineStr">
        <is>
          <t>example formula (Claude): check it, or replace it with your own</t>
        </is>
      </c>
    </row>
    <row r="759">
      <c r="A759" s="2" t="n">
        <v>758</v>
      </c>
      <c r="B759" s="2" t="inlineStr">
        <is>
          <t>economy.segment</t>
        </is>
      </c>
      <c r="C759" s="2" t="inlineStr">
        <is>
          <t>sam</t>
        </is>
      </c>
      <c r="D759" s="2" t="inlineStr">
        <is>
          <t>corolla</t>
        </is>
      </c>
      <c r="E759" s="2" t="inlineStr">
        <is>
          <t>segment ending 2026-05-08 20:15</t>
        </is>
      </c>
      <c r="F759" s="2" t="n"/>
      <c r="G759" s="2" t="inlineStr">
        <is>
          <t>l/100km</t>
        </is>
      </c>
      <c r="H759" s="18">
        <f>IFERROR(ROUND(INDEX(fillups!$N$2:$N$596,MATCH("corolla|2026-05-08 20:15",fillups!$O$2:$O$596,0)),2),"—")</f>
        <v/>
      </c>
      <c r="I759" s="2" t="inlineStr">
        <is>
          <t>spreadsheet</t>
        </is>
      </c>
      <c r="J759" s="2" t="n"/>
      <c r="K759" s="14" t="inlineStr">
        <is>
          <t>example formula (Claude): check it, or replace it with your own</t>
        </is>
      </c>
    </row>
    <row r="760">
      <c r="A760" s="2" t="n">
        <v>759</v>
      </c>
      <c r="B760" s="2" t="inlineStr">
        <is>
          <t>economy.segment</t>
        </is>
      </c>
      <c r="C760" s="2" t="inlineStr">
        <is>
          <t>sam</t>
        </is>
      </c>
      <c r="D760" s="2" t="inlineStr">
        <is>
          <t>corolla</t>
        </is>
      </c>
      <c r="E760" s="2" t="inlineStr">
        <is>
          <t>segment ending 2026-05-22 09:20</t>
        </is>
      </c>
      <c r="F760" s="2" t="n"/>
      <c r="G760" s="2" t="inlineStr">
        <is>
          <t>l/100km</t>
        </is>
      </c>
      <c r="H760" s="18">
        <f>IFERROR(ROUND(INDEX(fillups!$N$2:$N$596,MATCH("corolla|2026-05-22 09:20",fillups!$O$2:$O$596,0)),2),"—")</f>
        <v/>
      </c>
      <c r="I760" s="2" t="inlineStr">
        <is>
          <t>spreadsheet</t>
        </is>
      </c>
      <c r="J760" s="2" t="n"/>
      <c r="K760" s="14" t="inlineStr">
        <is>
          <t>example formula (Claude): check it, or replace it with your own</t>
        </is>
      </c>
    </row>
    <row r="761">
      <c r="A761" s="2" t="n">
        <v>760</v>
      </c>
      <c r="B761" s="2" t="inlineStr">
        <is>
          <t>economy.segment</t>
        </is>
      </c>
      <c r="C761" s="2" t="inlineStr">
        <is>
          <t>sam</t>
        </is>
      </c>
      <c r="D761" s="2" t="inlineStr">
        <is>
          <t>corolla</t>
        </is>
      </c>
      <c r="E761" s="2" t="inlineStr">
        <is>
          <t>segment ending 2026-06-08 07:49</t>
        </is>
      </c>
      <c r="F761" s="2" t="n"/>
      <c r="G761" s="2" t="inlineStr">
        <is>
          <t>l/100km</t>
        </is>
      </c>
      <c r="H761" s="18">
        <f>IFERROR(ROUND(INDEX(fillups!$N$2:$N$596,MATCH("corolla|2026-06-08 07:49",fillups!$O$2:$O$596,0)),2),"—")</f>
        <v/>
      </c>
      <c r="I761" s="2" t="inlineStr">
        <is>
          <t>spreadsheet</t>
        </is>
      </c>
      <c r="J761" s="2" t="n"/>
      <c r="K761" s="14" t="inlineStr">
        <is>
          <t>example formula (Claude): check it, or replace it with your own</t>
        </is>
      </c>
    </row>
    <row r="762">
      <c r="A762" s="2" t="n">
        <v>761</v>
      </c>
      <c r="B762" s="2" t="inlineStr">
        <is>
          <t>economy.segment</t>
        </is>
      </c>
      <c r="C762" s="2" t="inlineStr">
        <is>
          <t>sam</t>
        </is>
      </c>
      <c r="D762" s="2" t="inlineStr">
        <is>
          <t>corolla</t>
        </is>
      </c>
      <c r="E762" s="2" t="inlineStr">
        <is>
          <t>segment ending 2026-06-20 08:09</t>
        </is>
      </c>
      <c r="F762" s="2" t="n"/>
      <c r="G762" s="2" t="inlineStr">
        <is>
          <t>l/100km</t>
        </is>
      </c>
      <c r="H762" s="18">
        <f>IFERROR(ROUND(INDEX(fillups!$N$2:$N$596,MATCH("corolla|2026-06-20 08:09",fillups!$O$2:$O$596,0)),2),"—")</f>
        <v/>
      </c>
      <c r="I762" s="2" t="inlineStr">
        <is>
          <t>spreadsheet</t>
        </is>
      </c>
      <c r="J762" s="2" t="n"/>
      <c r="K762" s="14" t="inlineStr">
        <is>
          <t>example formula (Claude): check it, or replace it with your own</t>
        </is>
      </c>
    </row>
    <row r="763">
      <c r="A763" s="2" t="n">
        <v>762</v>
      </c>
      <c r="B763" s="2" t="inlineStr">
        <is>
          <t>economy.segment</t>
        </is>
      </c>
      <c r="C763" s="2" t="inlineStr">
        <is>
          <t>sam</t>
        </is>
      </c>
      <c r="D763" s="2" t="inlineStr">
        <is>
          <t>corolla</t>
        </is>
      </c>
      <c r="E763" s="2" t="inlineStr">
        <is>
          <t>segment ending 2026-07-08 16:49</t>
        </is>
      </c>
      <c r="F763" s="2" t="n"/>
      <c r="G763" s="2" t="inlineStr">
        <is>
          <t>l/100km</t>
        </is>
      </c>
      <c r="H763" s="18">
        <f>IFERROR(ROUND(INDEX(fillups!$N$2:$N$596,MATCH("corolla|2026-07-08 16:49",fillups!$O$2:$O$596,0)),2),"—")</f>
        <v/>
      </c>
      <c r="I763" s="2" t="inlineStr">
        <is>
          <t>spreadsheet</t>
        </is>
      </c>
      <c r="J763" s="2" t="n"/>
      <c r="K763" s="14" t="inlineStr">
        <is>
          <t>example formula (Claude): check it, or replace it with your own</t>
        </is>
      </c>
    </row>
    <row r="764">
      <c r="A764" s="2" t="n">
        <v>763</v>
      </c>
      <c r="B764" s="2" t="inlineStr">
        <is>
          <t>economy.segment</t>
        </is>
      </c>
      <c r="C764" s="2" t="inlineStr">
        <is>
          <t>sam</t>
        </is>
      </c>
      <c r="D764" s="2" t="inlineStr">
        <is>
          <t>corolla</t>
        </is>
      </c>
      <c r="E764" s="2" t="inlineStr">
        <is>
          <t>segment ending 2026-08-06 17:26</t>
        </is>
      </c>
      <c r="F764" s="2" t="n"/>
      <c r="G764" s="2" t="inlineStr">
        <is>
          <t>l/100km</t>
        </is>
      </c>
      <c r="H764" s="18">
        <f>IFERROR(ROUND(INDEX(fillups!$N$2:$N$596,MATCH("corolla|2026-08-06 17:26",fillups!$O$2:$O$596,0)),2),"—")</f>
        <v/>
      </c>
      <c r="I764" s="2" t="inlineStr">
        <is>
          <t>spreadsheet</t>
        </is>
      </c>
      <c r="J764" s="2" t="n"/>
      <c r="K764" s="14" t="inlineStr">
        <is>
          <t>example formula (Claude): check it, or replace it with your own</t>
        </is>
      </c>
    </row>
    <row r="765">
      <c r="A765" s="2" t="n">
        <v>764</v>
      </c>
      <c r="B765" s="2" t="inlineStr">
        <is>
          <t>economy.segment</t>
        </is>
      </c>
      <c r="C765" s="2" t="inlineStr">
        <is>
          <t>sam</t>
        </is>
      </c>
      <c r="D765" s="2" t="inlineStr">
        <is>
          <t>corolla</t>
        </is>
      </c>
      <c r="E765" s="2" t="inlineStr">
        <is>
          <t>segment ending 2026-08-20 20:24</t>
        </is>
      </c>
      <c r="F765" s="2" t="n"/>
      <c r="G765" s="2" t="inlineStr">
        <is>
          <t>l/100km</t>
        </is>
      </c>
      <c r="H765" s="18">
        <f>IFERROR(ROUND(INDEX(fillups!$N$2:$N$596,MATCH("corolla|2026-08-20 20:24",fillups!$O$2:$O$596,0)),2),"—")</f>
        <v/>
      </c>
      <c r="I765" s="2" t="inlineStr">
        <is>
          <t>spreadsheet</t>
        </is>
      </c>
      <c r="J765" s="2" t="n"/>
      <c r="K765" s="14" t="inlineStr">
        <is>
          <t>example formula (Claude): check it, or replace it with your own</t>
        </is>
      </c>
    </row>
    <row r="766">
      <c r="A766" s="2" t="n">
        <v>765</v>
      </c>
      <c r="B766" s="2" t="inlineStr">
        <is>
          <t>economy.segment</t>
        </is>
      </c>
      <c r="C766" s="2" t="inlineStr">
        <is>
          <t>sam</t>
        </is>
      </c>
      <c r="D766" s="2" t="inlineStr">
        <is>
          <t>corolla</t>
        </is>
      </c>
      <c r="E766" s="2" t="inlineStr">
        <is>
          <t>segment ending 2026-09-04 14:31</t>
        </is>
      </c>
      <c r="F766" s="2" t="n"/>
      <c r="G766" s="2" t="inlineStr">
        <is>
          <t>l/100km</t>
        </is>
      </c>
      <c r="H766" s="18">
        <f>IFERROR(ROUND(INDEX(fillups!$N$2:$N$596,MATCH("corolla|2026-09-04 14:31",fillups!$O$2:$O$596,0)),2),"—")</f>
        <v/>
      </c>
      <c r="I766" s="2" t="inlineStr">
        <is>
          <t>spreadsheet</t>
        </is>
      </c>
      <c r="J766" s="2" t="n"/>
      <c r="K766" s="14" t="inlineStr">
        <is>
          <t>example formula (Claude): check it, or replace it with your own</t>
        </is>
      </c>
    </row>
    <row r="767">
      <c r="A767" s="2" t="n">
        <v>766</v>
      </c>
      <c r="B767" s="2" t="inlineStr">
        <is>
          <t>reports.group.fuel</t>
        </is>
      </c>
      <c r="C767" s="2" t="inlineStr">
        <is>
          <t>alex</t>
        </is>
      </c>
      <c r="D767" s="2" t="inlineStr">
        <is>
          <t>golf</t>
        </is>
      </c>
      <c r="E767" s="2" t="inlineStr">
        <is>
          <t>2023</t>
        </is>
      </c>
      <c r="F767" s="2" t="inlineStr">
        <is>
          <t>GBP</t>
        </is>
      </c>
      <c r="G767" s="2" t="inlineStr">
        <is>
          <t>money</t>
        </is>
      </c>
      <c r="H767" s="18">
        <f>ROUND(SUMIFS(Ledger!$E$2:$E$846,Ledger!$A$2:$A$846,"golf",Ledger!$F$2:$F$846,"2023",Ledger!$C$2:$C$846,"fuel"),2)</f>
        <v/>
      </c>
      <c r="I767" s="2" t="inlineStr">
        <is>
          <t>spreadsheet</t>
        </is>
      </c>
      <c r="J767" s="2" t="n"/>
      <c r="K767" s="14" t="inlineStr">
        <is>
          <t>example formula (Claude): check it, or replace it with your own</t>
        </is>
      </c>
    </row>
    <row r="768">
      <c r="A768" s="2" t="n">
        <v>767</v>
      </c>
      <c r="B768" s="2" t="inlineStr">
        <is>
          <t>reports.group.maintenance</t>
        </is>
      </c>
      <c r="C768" s="2" t="inlineStr">
        <is>
          <t>alex</t>
        </is>
      </c>
      <c r="D768" s="2" t="inlineStr">
        <is>
          <t>golf</t>
        </is>
      </c>
      <c r="E768" s="2" t="inlineStr">
        <is>
          <t>2023</t>
        </is>
      </c>
      <c r="F768" s="2" t="inlineStr">
        <is>
          <t>GBP</t>
        </is>
      </c>
      <c r="G768" s="2" t="inlineStr">
        <is>
          <t>money</t>
        </is>
      </c>
      <c r="H768" s="18">
        <f>ROUND(SUMIFS(Ledger!$E$2:$E$846,Ledger!$A$2:$A$846,"golf",Ledger!$F$2:$F$846,"2023",Ledger!$C$2:$C$846,"maintenance"),2)</f>
        <v/>
      </c>
      <c r="I768" s="2" t="inlineStr">
        <is>
          <t>spreadsheet</t>
        </is>
      </c>
      <c r="J768" s="2" t="n"/>
      <c r="K768" s="14" t="inlineStr">
        <is>
          <t>example formula (Claude): check it, or replace it with your own</t>
        </is>
      </c>
    </row>
    <row r="769">
      <c r="A769" s="2" t="n">
        <v>768</v>
      </c>
      <c r="B769" s="2" t="inlineStr">
        <is>
          <t>reports.group.compliance</t>
        </is>
      </c>
      <c r="C769" s="2" t="inlineStr">
        <is>
          <t>alex</t>
        </is>
      </c>
      <c r="D769" s="2" t="inlineStr">
        <is>
          <t>golf</t>
        </is>
      </c>
      <c r="E769" s="2" t="inlineStr">
        <is>
          <t>2023</t>
        </is>
      </c>
      <c r="F769" s="2" t="inlineStr">
        <is>
          <t>GBP</t>
        </is>
      </c>
      <c r="G769" s="2" t="inlineStr">
        <is>
          <t>money</t>
        </is>
      </c>
      <c r="H769" s="18">
        <f>ROUND(SUMIFS(Ledger!$E$2:$E$846,Ledger!$A$2:$A$846,"golf",Ledger!$F$2:$F$846,"2023",Ledger!$C$2:$C$846,"compliance"),2)</f>
        <v/>
      </c>
      <c r="I769" s="2" t="inlineStr">
        <is>
          <t>spreadsheet</t>
        </is>
      </c>
      <c r="J769" s="2" t="n"/>
      <c r="K769" s="14" t="inlineStr">
        <is>
          <t>example formula (Claude): check it, or replace it with your own</t>
        </is>
      </c>
    </row>
    <row r="770">
      <c r="A770" s="2" t="n">
        <v>769</v>
      </c>
      <c r="B770" s="2" t="inlineStr">
        <is>
          <t>reports.group.other</t>
        </is>
      </c>
      <c r="C770" s="2" t="inlineStr">
        <is>
          <t>alex</t>
        </is>
      </c>
      <c r="D770" s="2" t="inlineStr">
        <is>
          <t>golf</t>
        </is>
      </c>
      <c r="E770" s="2" t="inlineStr">
        <is>
          <t>2023</t>
        </is>
      </c>
      <c r="F770" s="2" t="inlineStr">
        <is>
          <t>GBP</t>
        </is>
      </c>
      <c r="G770" s="2" t="inlineStr">
        <is>
          <t>money</t>
        </is>
      </c>
      <c r="H770" s="18">
        <f>ROUND(SUMIFS(Ledger!$E$2:$E$846,Ledger!$A$2:$A$846,"golf",Ledger!$F$2:$F$846,"2023",Ledger!$C$2:$C$846,"other"),2)</f>
        <v/>
      </c>
      <c r="I770" s="2" t="inlineStr">
        <is>
          <t>spreadsheet</t>
        </is>
      </c>
      <c r="J770" s="2" t="n"/>
      <c r="K770" s="14" t="inlineStr">
        <is>
          <t>example formula (Claude): check it, or replace it with your own</t>
        </is>
      </c>
    </row>
    <row r="771">
      <c r="A771" s="2" t="n">
        <v>770</v>
      </c>
      <c r="B771" s="2" t="inlineStr">
        <is>
          <t>reports.group.total</t>
        </is>
      </c>
      <c r="C771" s="2" t="inlineStr">
        <is>
          <t>alex</t>
        </is>
      </c>
      <c r="D771" s="2" t="inlineStr">
        <is>
          <t>golf</t>
        </is>
      </c>
      <c r="E771" s="2" t="inlineStr">
        <is>
          <t>2023</t>
        </is>
      </c>
      <c r="F771" s="2" t="inlineStr">
        <is>
          <t>GBP</t>
        </is>
      </c>
      <c r="G771" s="2" t="inlineStr">
        <is>
          <t>money</t>
        </is>
      </c>
      <c r="H771" s="18">
        <f>ROUND(SUMIFS(Ledger!$E$2:$E$846,Ledger!$A$2:$A$846,"golf",Ledger!$F$2:$F$846,"2023"),2)</f>
        <v/>
      </c>
      <c r="I771" s="2" t="inlineStr">
        <is>
          <t>spreadsheet</t>
        </is>
      </c>
      <c r="J771" s="2" t="n"/>
      <c r="K771" s="14" t="inlineStr">
        <is>
          <t>example formula (Claude): check it, or replace it with your own</t>
        </is>
      </c>
    </row>
    <row r="772">
      <c r="A772" s="2" t="n">
        <v>771</v>
      </c>
      <c r="B772" s="2" t="inlineStr">
        <is>
          <t>reports.group.fuel</t>
        </is>
      </c>
      <c r="C772" s="2" t="inlineStr">
        <is>
          <t>alex</t>
        </is>
      </c>
      <c r="D772" s="2" t="inlineStr">
        <is>
          <t>golf</t>
        </is>
      </c>
      <c r="E772" s="2" t="inlineStr">
        <is>
          <t>2024</t>
        </is>
      </c>
      <c r="F772" s="2" t="inlineStr">
        <is>
          <t>GBP</t>
        </is>
      </c>
      <c r="G772" s="2" t="inlineStr">
        <is>
          <t>money</t>
        </is>
      </c>
      <c r="H772" s="18">
        <f>ROUND(SUMIFS(Ledger!$E$2:$E$846,Ledger!$A$2:$A$846,"golf",Ledger!$F$2:$F$846,"2024",Ledger!$C$2:$C$846,"fuel"),2)</f>
        <v/>
      </c>
      <c r="I772" s="2" t="inlineStr">
        <is>
          <t>spreadsheet</t>
        </is>
      </c>
      <c r="J772" s="2" t="n"/>
      <c r="K772" s="14" t="inlineStr">
        <is>
          <t>example formula (Claude): check it, or replace it with your own</t>
        </is>
      </c>
    </row>
    <row r="773">
      <c r="A773" s="2" t="n">
        <v>772</v>
      </c>
      <c r="B773" s="2" t="inlineStr">
        <is>
          <t>reports.group.maintenance</t>
        </is>
      </c>
      <c r="C773" s="2" t="inlineStr">
        <is>
          <t>alex</t>
        </is>
      </c>
      <c r="D773" s="2" t="inlineStr">
        <is>
          <t>golf</t>
        </is>
      </c>
      <c r="E773" s="2" t="inlineStr">
        <is>
          <t>2024</t>
        </is>
      </c>
      <c r="F773" s="2" t="inlineStr">
        <is>
          <t>GBP</t>
        </is>
      </c>
      <c r="G773" s="2" t="inlineStr">
        <is>
          <t>money</t>
        </is>
      </c>
      <c r="H773" s="18">
        <f>ROUND(SUMIFS(Ledger!$E$2:$E$846,Ledger!$A$2:$A$846,"golf",Ledger!$F$2:$F$846,"2024",Ledger!$C$2:$C$846,"maintenance"),2)</f>
        <v/>
      </c>
      <c r="I773" s="2" t="inlineStr">
        <is>
          <t>spreadsheet</t>
        </is>
      </c>
      <c r="J773" s="2" t="n"/>
      <c r="K773" s="14" t="inlineStr">
        <is>
          <t>example formula (Claude): check it, or replace it with your own</t>
        </is>
      </c>
    </row>
    <row r="774">
      <c r="A774" s="2" t="n">
        <v>773</v>
      </c>
      <c r="B774" s="2" t="inlineStr">
        <is>
          <t>reports.group.compliance</t>
        </is>
      </c>
      <c r="C774" s="2" t="inlineStr">
        <is>
          <t>alex</t>
        </is>
      </c>
      <c r="D774" s="2" t="inlineStr">
        <is>
          <t>golf</t>
        </is>
      </c>
      <c r="E774" s="2" t="inlineStr">
        <is>
          <t>2024</t>
        </is>
      </c>
      <c r="F774" s="2" t="inlineStr">
        <is>
          <t>GBP</t>
        </is>
      </c>
      <c r="G774" s="2" t="inlineStr">
        <is>
          <t>money</t>
        </is>
      </c>
      <c r="H774" s="18">
        <f>ROUND(SUMIFS(Ledger!$E$2:$E$846,Ledger!$A$2:$A$846,"golf",Ledger!$F$2:$F$846,"2024",Ledger!$C$2:$C$846,"compliance"),2)</f>
        <v/>
      </c>
      <c r="I774" s="2" t="inlineStr">
        <is>
          <t>spreadsheet</t>
        </is>
      </c>
      <c r="J774" s="2" t="n"/>
      <c r="K774" s="14" t="inlineStr">
        <is>
          <t>example formula (Claude): check it, or replace it with your own</t>
        </is>
      </c>
    </row>
    <row r="775">
      <c r="A775" s="2" t="n">
        <v>774</v>
      </c>
      <c r="B775" s="2" t="inlineStr">
        <is>
          <t>reports.group.other</t>
        </is>
      </c>
      <c r="C775" s="2" t="inlineStr">
        <is>
          <t>alex</t>
        </is>
      </c>
      <c r="D775" s="2" t="inlineStr">
        <is>
          <t>golf</t>
        </is>
      </c>
      <c r="E775" s="2" t="inlineStr">
        <is>
          <t>2024</t>
        </is>
      </c>
      <c r="F775" s="2" t="inlineStr">
        <is>
          <t>GBP</t>
        </is>
      </c>
      <c r="G775" s="2" t="inlineStr">
        <is>
          <t>money</t>
        </is>
      </c>
      <c r="H775" s="18">
        <f>ROUND(SUMIFS(Ledger!$E$2:$E$846,Ledger!$A$2:$A$846,"golf",Ledger!$F$2:$F$846,"2024",Ledger!$C$2:$C$846,"other"),2)</f>
        <v/>
      </c>
      <c r="I775" s="2" t="inlineStr">
        <is>
          <t>spreadsheet</t>
        </is>
      </c>
      <c r="J775" s="2" t="n"/>
      <c r="K775" s="14" t="inlineStr">
        <is>
          <t>example formula (Claude): check it, or replace it with your own</t>
        </is>
      </c>
    </row>
    <row r="776">
      <c r="A776" s="2" t="n">
        <v>775</v>
      </c>
      <c r="B776" s="2" t="inlineStr">
        <is>
          <t>reports.group.total</t>
        </is>
      </c>
      <c r="C776" s="2" t="inlineStr">
        <is>
          <t>alex</t>
        </is>
      </c>
      <c r="D776" s="2" t="inlineStr">
        <is>
          <t>golf</t>
        </is>
      </c>
      <c r="E776" s="2" t="inlineStr">
        <is>
          <t>2024</t>
        </is>
      </c>
      <c r="F776" s="2" t="inlineStr">
        <is>
          <t>GBP</t>
        </is>
      </c>
      <c r="G776" s="2" t="inlineStr">
        <is>
          <t>money</t>
        </is>
      </c>
      <c r="H776" s="18">
        <f>ROUND(SUMIFS(Ledger!$E$2:$E$846,Ledger!$A$2:$A$846,"golf",Ledger!$F$2:$F$846,"2024"),2)</f>
        <v/>
      </c>
      <c r="I776" s="2" t="inlineStr">
        <is>
          <t>spreadsheet</t>
        </is>
      </c>
      <c r="J776" s="2" t="n"/>
      <c r="K776" s="14" t="inlineStr">
        <is>
          <t>example formula (Claude): check it, or replace it with your own</t>
        </is>
      </c>
    </row>
    <row r="777">
      <c r="A777" s="2" t="n">
        <v>776</v>
      </c>
      <c r="B777" s="2" t="inlineStr">
        <is>
          <t>reports.group.fuel</t>
        </is>
      </c>
      <c r="C777" s="2" t="inlineStr">
        <is>
          <t>alex</t>
        </is>
      </c>
      <c r="D777" s="2" t="inlineStr">
        <is>
          <t>golf</t>
        </is>
      </c>
      <c r="E777" s="2" t="inlineStr">
        <is>
          <t>2025</t>
        </is>
      </c>
      <c r="F777" s="2" t="inlineStr">
        <is>
          <t>GBP</t>
        </is>
      </c>
      <c r="G777" s="2" t="inlineStr">
        <is>
          <t>money</t>
        </is>
      </c>
      <c r="H777" s="18">
        <f>ROUND(SUMIFS(Ledger!$E$2:$E$846,Ledger!$A$2:$A$846,"golf",Ledger!$F$2:$F$846,"2025",Ledger!$C$2:$C$846,"fuel"),2)</f>
        <v/>
      </c>
      <c r="I777" s="2" t="inlineStr">
        <is>
          <t>spreadsheet</t>
        </is>
      </c>
      <c r="J777" s="2" t="n"/>
      <c r="K777" s="14" t="inlineStr">
        <is>
          <t>example formula (Claude): check it, or replace it with your own</t>
        </is>
      </c>
    </row>
    <row r="778">
      <c r="A778" s="2" t="n">
        <v>777</v>
      </c>
      <c r="B778" s="2" t="inlineStr">
        <is>
          <t>reports.group.maintenance</t>
        </is>
      </c>
      <c r="C778" s="2" t="inlineStr">
        <is>
          <t>alex</t>
        </is>
      </c>
      <c r="D778" s="2" t="inlineStr">
        <is>
          <t>golf</t>
        </is>
      </c>
      <c r="E778" s="2" t="inlineStr">
        <is>
          <t>2025</t>
        </is>
      </c>
      <c r="F778" s="2" t="inlineStr">
        <is>
          <t>GBP</t>
        </is>
      </c>
      <c r="G778" s="2" t="inlineStr">
        <is>
          <t>money</t>
        </is>
      </c>
      <c r="H778" s="18">
        <f>ROUND(SUMIFS(Ledger!$E$2:$E$846,Ledger!$A$2:$A$846,"golf",Ledger!$F$2:$F$846,"2025",Ledger!$C$2:$C$846,"maintenance"),2)</f>
        <v/>
      </c>
      <c r="I778" s="2" t="inlineStr">
        <is>
          <t>spreadsheet</t>
        </is>
      </c>
      <c r="J778" s="2" t="n"/>
      <c r="K778" s="14" t="inlineStr">
        <is>
          <t>example formula (Claude): check it, or replace it with your own</t>
        </is>
      </c>
    </row>
    <row r="779">
      <c r="A779" s="2" t="n">
        <v>778</v>
      </c>
      <c r="B779" s="2" t="inlineStr">
        <is>
          <t>reports.group.compliance</t>
        </is>
      </c>
      <c r="C779" s="2" t="inlineStr">
        <is>
          <t>alex</t>
        </is>
      </c>
      <c r="D779" s="2" t="inlineStr">
        <is>
          <t>golf</t>
        </is>
      </c>
      <c r="E779" s="2" t="inlineStr">
        <is>
          <t>2025</t>
        </is>
      </c>
      <c r="F779" s="2" t="inlineStr">
        <is>
          <t>GBP</t>
        </is>
      </c>
      <c r="G779" s="2" t="inlineStr">
        <is>
          <t>money</t>
        </is>
      </c>
      <c r="H779" s="18">
        <f>ROUND(SUMIFS(Ledger!$E$2:$E$846,Ledger!$A$2:$A$846,"golf",Ledger!$F$2:$F$846,"2025",Ledger!$C$2:$C$846,"compliance"),2)</f>
        <v/>
      </c>
      <c r="I779" s="2" t="inlineStr">
        <is>
          <t>spreadsheet</t>
        </is>
      </c>
      <c r="J779" s="2" t="n"/>
      <c r="K779" s="14" t="inlineStr">
        <is>
          <t>example formula (Claude): check it, or replace it with your own</t>
        </is>
      </c>
    </row>
    <row r="780">
      <c r="A780" s="2" t="n">
        <v>779</v>
      </c>
      <c r="B780" s="2" t="inlineStr">
        <is>
          <t>reports.group.other</t>
        </is>
      </c>
      <c r="C780" s="2" t="inlineStr">
        <is>
          <t>alex</t>
        </is>
      </c>
      <c r="D780" s="2" t="inlineStr">
        <is>
          <t>golf</t>
        </is>
      </c>
      <c r="E780" s="2" t="inlineStr">
        <is>
          <t>2025</t>
        </is>
      </c>
      <c r="F780" s="2" t="inlineStr">
        <is>
          <t>GBP</t>
        </is>
      </c>
      <c r="G780" s="2" t="inlineStr">
        <is>
          <t>money</t>
        </is>
      </c>
      <c r="H780" s="18">
        <f>ROUND(SUMIFS(Ledger!$E$2:$E$846,Ledger!$A$2:$A$846,"golf",Ledger!$F$2:$F$846,"2025",Ledger!$C$2:$C$846,"other"),2)</f>
        <v/>
      </c>
      <c r="I780" s="2" t="inlineStr">
        <is>
          <t>spreadsheet</t>
        </is>
      </c>
      <c r="J780" s="2" t="n"/>
      <c r="K780" s="14" t="inlineStr">
        <is>
          <t>example formula (Claude): check it, or replace it with your own</t>
        </is>
      </c>
    </row>
    <row r="781">
      <c r="A781" s="2" t="n">
        <v>780</v>
      </c>
      <c r="B781" s="2" t="inlineStr">
        <is>
          <t>reports.group.total</t>
        </is>
      </c>
      <c r="C781" s="2" t="inlineStr">
        <is>
          <t>alex</t>
        </is>
      </c>
      <c r="D781" s="2" t="inlineStr">
        <is>
          <t>golf</t>
        </is>
      </c>
      <c r="E781" s="2" t="inlineStr">
        <is>
          <t>2025</t>
        </is>
      </c>
      <c r="F781" s="2" t="inlineStr">
        <is>
          <t>GBP</t>
        </is>
      </c>
      <c r="G781" s="2" t="inlineStr">
        <is>
          <t>money</t>
        </is>
      </c>
      <c r="H781" s="18">
        <f>ROUND(SUMIFS(Ledger!$E$2:$E$846,Ledger!$A$2:$A$846,"golf",Ledger!$F$2:$F$846,"2025"),2)</f>
        <v/>
      </c>
      <c r="I781" s="2" t="inlineStr">
        <is>
          <t>spreadsheet</t>
        </is>
      </c>
      <c r="J781" s="2" t="n"/>
      <c r="K781" s="14" t="inlineStr">
        <is>
          <t>example formula (Claude): check it, or replace it with your own</t>
        </is>
      </c>
    </row>
    <row r="782">
      <c r="A782" s="2" t="n">
        <v>781</v>
      </c>
      <c r="B782" s="2" t="inlineStr">
        <is>
          <t>reports.group.fuel</t>
        </is>
      </c>
      <c r="C782" s="2" t="inlineStr">
        <is>
          <t>alex</t>
        </is>
      </c>
      <c r="D782" s="2" t="inlineStr">
        <is>
          <t>golf</t>
        </is>
      </c>
      <c r="E782" s="2" t="inlineStr">
        <is>
          <t>2026</t>
        </is>
      </c>
      <c r="F782" s="2" t="inlineStr">
        <is>
          <t>GBP</t>
        </is>
      </c>
      <c r="G782" s="2" t="inlineStr">
        <is>
          <t>money</t>
        </is>
      </c>
      <c r="H782" s="18">
        <f>ROUND(SUMIFS(Ledger!$E$2:$E$846,Ledger!$A$2:$A$846,"golf",Ledger!$F$2:$F$846,"2026",Ledger!$C$2:$C$846,"fuel"),2)</f>
        <v/>
      </c>
      <c r="I782" s="2" t="inlineStr">
        <is>
          <t>spreadsheet</t>
        </is>
      </c>
      <c r="J782" s="2" t="n"/>
      <c r="K782" s="14" t="inlineStr">
        <is>
          <t>example formula (Claude): check it, or replace it with your own</t>
        </is>
      </c>
    </row>
    <row r="783">
      <c r="A783" s="2" t="n">
        <v>782</v>
      </c>
      <c r="B783" s="2" t="inlineStr">
        <is>
          <t>reports.group.maintenance</t>
        </is>
      </c>
      <c r="C783" s="2" t="inlineStr">
        <is>
          <t>alex</t>
        </is>
      </c>
      <c r="D783" s="2" t="inlineStr">
        <is>
          <t>golf</t>
        </is>
      </c>
      <c r="E783" s="2" t="inlineStr">
        <is>
          <t>2026</t>
        </is>
      </c>
      <c r="F783" s="2" t="inlineStr">
        <is>
          <t>GBP</t>
        </is>
      </c>
      <c r="G783" s="2" t="inlineStr">
        <is>
          <t>money</t>
        </is>
      </c>
      <c r="H783" s="18">
        <f>ROUND(SUMIFS(Ledger!$E$2:$E$846,Ledger!$A$2:$A$846,"golf",Ledger!$F$2:$F$846,"2026",Ledger!$C$2:$C$846,"maintenance"),2)</f>
        <v/>
      </c>
      <c r="I783" s="2" t="inlineStr">
        <is>
          <t>spreadsheet</t>
        </is>
      </c>
      <c r="J783" s="2" t="n"/>
      <c r="K783" s="14" t="inlineStr">
        <is>
          <t>example formula (Claude): check it, or replace it with your own</t>
        </is>
      </c>
    </row>
    <row r="784">
      <c r="A784" s="2" t="n">
        <v>783</v>
      </c>
      <c r="B784" s="2" t="inlineStr">
        <is>
          <t>reports.group.compliance</t>
        </is>
      </c>
      <c r="C784" s="2" t="inlineStr">
        <is>
          <t>alex</t>
        </is>
      </c>
      <c r="D784" s="2" t="inlineStr">
        <is>
          <t>golf</t>
        </is>
      </c>
      <c r="E784" s="2" t="inlineStr">
        <is>
          <t>2026</t>
        </is>
      </c>
      <c r="F784" s="2" t="inlineStr">
        <is>
          <t>GBP</t>
        </is>
      </c>
      <c r="G784" s="2" t="inlineStr">
        <is>
          <t>money</t>
        </is>
      </c>
      <c r="H784" s="18">
        <f>ROUND(SUMIFS(Ledger!$E$2:$E$846,Ledger!$A$2:$A$846,"golf",Ledger!$F$2:$F$846,"2026",Ledger!$C$2:$C$846,"compliance"),2)</f>
        <v/>
      </c>
      <c r="I784" s="2" t="inlineStr">
        <is>
          <t>spreadsheet</t>
        </is>
      </c>
      <c r="J784" s="2" t="n"/>
      <c r="K784" s="14" t="inlineStr">
        <is>
          <t>example formula (Claude): check it, or replace it with your own</t>
        </is>
      </c>
    </row>
    <row r="785">
      <c r="A785" s="2" t="n">
        <v>784</v>
      </c>
      <c r="B785" s="2" t="inlineStr">
        <is>
          <t>reports.group.other</t>
        </is>
      </c>
      <c r="C785" s="2" t="inlineStr">
        <is>
          <t>alex</t>
        </is>
      </c>
      <c r="D785" s="2" t="inlineStr">
        <is>
          <t>golf</t>
        </is>
      </c>
      <c r="E785" s="2" t="inlineStr">
        <is>
          <t>2026</t>
        </is>
      </c>
      <c r="F785" s="2" t="inlineStr">
        <is>
          <t>GBP</t>
        </is>
      </c>
      <c r="G785" s="2" t="inlineStr">
        <is>
          <t>money</t>
        </is>
      </c>
      <c r="H785" s="18">
        <f>ROUND(SUMIFS(Ledger!$E$2:$E$846,Ledger!$A$2:$A$846,"golf",Ledger!$F$2:$F$846,"2026",Ledger!$C$2:$C$846,"other"),2)</f>
        <v/>
      </c>
      <c r="I785" s="2" t="inlineStr">
        <is>
          <t>spreadsheet</t>
        </is>
      </c>
      <c r="J785" s="2" t="n"/>
      <c r="K785" s="14" t="inlineStr">
        <is>
          <t>example formula (Claude): check it, or replace it with your own</t>
        </is>
      </c>
    </row>
    <row r="786">
      <c r="A786" s="2" t="n">
        <v>785</v>
      </c>
      <c r="B786" s="2" t="inlineStr">
        <is>
          <t>reports.group.total</t>
        </is>
      </c>
      <c r="C786" s="2" t="inlineStr">
        <is>
          <t>alex</t>
        </is>
      </c>
      <c r="D786" s="2" t="inlineStr">
        <is>
          <t>golf</t>
        </is>
      </c>
      <c r="E786" s="2" t="inlineStr">
        <is>
          <t>2026</t>
        </is>
      </c>
      <c r="F786" s="2" t="inlineStr">
        <is>
          <t>GBP</t>
        </is>
      </c>
      <c r="G786" s="2" t="inlineStr">
        <is>
          <t>money</t>
        </is>
      </c>
      <c r="H786" s="18">
        <f>ROUND(SUMIFS(Ledger!$E$2:$E$846,Ledger!$A$2:$A$846,"golf",Ledger!$F$2:$F$846,"2026"),2)</f>
        <v/>
      </c>
      <c r="I786" s="2" t="inlineStr">
        <is>
          <t>spreadsheet</t>
        </is>
      </c>
      <c r="J786" s="2" t="n"/>
      <c r="K786" s="14" t="inlineStr">
        <is>
          <t>example formula (Claude): check it, or replace it with your own</t>
        </is>
      </c>
    </row>
    <row r="787">
      <c r="A787" s="2" t="n">
        <v>786</v>
      </c>
      <c r="B787" s="2" t="inlineStr">
        <is>
          <t>reports.cost_per_distance</t>
        </is>
      </c>
      <c r="C787" s="2" t="inlineStr">
        <is>
          <t>alex</t>
        </is>
      </c>
      <c r="D787" s="2" t="inlineStr">
        <is>
          <t>golf</t>
        </is>
      </c>
      <c r="E787" s="2" t="inlineStr">
        <is>
          <t>all_time</t>
        </is>
      </c>
      <c r="F787" s="2" t="inlineStr">
        <is>
          <t>GBP</t>
        </is>
      </c>
      <c r="G787" s="2" t="inlineStr">
        <is>
          <t>money/mi</t>
        </is>
      </c>
      <c r="H787" s="23" t="n"/>
      <c r="I787" s="2" t="inlineStr">
        <is>
          <t>spreadsheet</t>
        </is>
      </c>
      <c r="J787" s="2" t="n"/>
      <c r="K787" s="14" t="inlineStr">
        <is>
          <t>yours</t>
        </is>
      </c>
    </row>
    <row r="788">
      <c r="A788" s="2" t="n">
        <v>787</v>
      </c>
      <c r="B788" s="2" t="inlineStr">
        <is>
          <t>reports.group.fuel</t>
        </is>
      </c>
      <c r="C788" s="2" t="inlineStr">
        <is>
          <t>alex</t>
        </is>
      </c>
      <c r="D788" s="2" t="inlineStr">
        <is>
          <t>ev</t>
        </is>
      </c>
      <c r="E788" s="2" t="inlineStr">
        <is>
          <t>2024</t>
        </is>
      </c>
      <c r="F788" s="2" t="inlineStr">
        <is>
          <t>GBP</t>
        </is>
      </c>
      <c r="G788" s="2" t="inlineStr">
        <is>
          <t>money</t>
        </is>
      </c>
      <c r="H788" s="18">
        <f>ROUND(SUMIFS(Ledger!$E$2:$E$846,Ledger!$A$2:$A$846,"ev",Ledger!$F$2:$F$846,"2024",Ledger!$C$2:$C$846,"fuel"),2)</f>
        <v/>
      </c>
      <c r="I788" s="2" t="inlineStr">
        <is>
          <t>spreadsheet</t>
        </is>
      </c>
      <c r="J788" s="2" t="n"/>
      <c r="K788" s="14" t="inlineStr">
        <is>
          <t>example formula (Claude): check it, or replace it with your own</t>
        </is>
      </c>
    </row>
    <row r="789">
      <c r="A789" s="2" t="n">
        <v>788</v>
      </c>
      <c r="B789" s="2" t="inlineStr">
        <is>
          <t>reports.group.maintenance</t>
        </is>
      </c>
      <c r="C789" s="2" t="inlineStr">
        <is>
          <t>alex</t>
        </is>
      </c>
      <c r="D789" s="2" t="inlineStr">
        <is>
          <t>ev</t>
        </is>
      </c>
      <c r="E789" s="2" t="inlineStr">
        <is>
          <t>2024</t>
        </is>
      </c>
      <c r="F789" s="2" t="inlineStr">
        <is>
          <t>GBP</t>
        </is>
      </c>
      <c r="G789" s="2" t="inlineStr">
        <is>
          <t>money</t>
        </is>
      </c>
      <c r="H789" s="18">
        <f>ROUND(SUMIFS(Ledger!$E$2:$E$846,Ledger!$A$2:$A$846,"ev",Ledger!$F$2:$F$846,"2024",Ledger!$C$2:$C$846,"maintenance"),2)</f>
        <v/>
      </c>
      <c r="I789" s="2" t="inlineStr">
        <is>
          <t>spreadsheet</t>
        </is>
      </c>
      <c r="J789" s="2" t="n"/>
      <c r="K789" s="14" t="inlineStr">
        <is>
          <t>example formula (Claude): check it, or replace it with your own</t>
        </is>
      </c>
    </row>
    <row r="790">
      <c r="A790" s="2" t="n">
        <v>789</v>
      </c>
      <c r="B790" s="2" t="inlineStr">
        <is>
          <t>reports.group.compliance</t>
        </is>
      </c>
      <c r="C790" s="2" t="inlineStr">
        <is>
          <t>alex</t>
        </is>
      </c>
      <c r="D790" s="2" t="inlineStr">
        <is>
          <t>ev</t>
        </is>
      </c>
      <c r="E790" s="2" t="inlineStr">
        <is>
          <t>2024</t>
        </is>
      </c>
      <c r="F790" s="2" t="inlineStr">
        <is>
          <t>GBP</t>
        </is>
      </c>
      <c r="G790" s="2" t="inlineStr">
        <is>
          <t>money</t>
        </is>
      </c>
      <c r="H790" s="18">
        <f>ROUND(SUMIFS(Ledger!$E$2:$E$846,Ledger!$A$2:$A$846,"ev",Ledger!$F$2:$F$846,"2024",Ledger!$C$2:$C$846,"compliance"),2)</f>
        <v/>
      </c>
      <c r="I790" s="2" t="inlineStr">
        <is>
          <t>spreadsheet</t>
        </is>
      </c>
      <c r="J790" s="2" t="n"/>
      <c r="K790" s="14" t="inlineStr">
        <is>
          <t>example formula (Claude): check it, or replace it with your own</t>
        </is>
      </c>
    </row>
    <row r="791">
      <c r="A791" s="2" t="n">
        <v>790</v>
      </c>
      <c r="B791" s="2" t="inlineStr">
        <is>
          <t>reports.group.other</t>
        </is>
      </c>
      <c r="C791" s="2" t="inlineStr">
        <is>
          <t>alex</t>
        </is>
      </c>
      <c r="D791" s="2" t="inlineStr">
        <is>
          <t>ev</t>
        </is>
      </c>
      <c r="E791" s="2" t="inlineStr">
        <is>
          <t>2024</t>
        </is>
      </c>
      <c r="F791" s="2" t="inlineStr">
        <is>
          <t>GBP</t>
        </is>
      </c>
      <c r="G791" s="2" t="inlineStr">
        <is>
          <t>money</t>
        </is>
      </c>
      <c r="H791" s="18">
        <f>ROUND(SUMIFS(Ledger!$E$2:$E$846,Ledger!$A$2:$A$846,"ev",Ledger!$F$2:$F$846,"2024",Ledger!$C$2:$C$846,"other"),2)</f>
        <v/>
      </c>
      <c r="I791" s="2" t="inlineStr">
        <is>
          <t>spreadsheet</t>
        </is>
      </c>
      <c r="J791" s="2" t="n"/>
      <c r="K791" s="14" t="inlineStr">
        <is>
          <t>example formula (Claude): check it, or replace it with your own</t>
        </is>
      </c>
    </row>
    <row r="792">
      <c r="A792" s="2" t="n">
        <v>791</v>
      </c>
      <c r="B792" s="2" t="inlineStr">
        <is>
          <t>reports.group.total</t>
        </is>
      </c>
      <c r="C792" s="2" t="inlineStr">
        <is>
          <t>alex</t>
        </is>
      </c>
      <c r="D792" s="2" t="inlineStr">
        <is>
          <t>ev</t>
        </is>
      </c>
      <c r="E792" s="2" t="inlineStr">
        <is>
          <t>2024</t>
        </is>
      </c>
      <c r="F792" s="2" t="inlineStr">
        <is>
          <t>GBP</t>
        </is>
      </c>
      <c r="G792" s="2" t="inlineStr">
        <is>
          <t>money</t>
        </is>
      </c>
      <c r="H792" s="18">
        <f>ROUND(SUMIFS(Ledger!$E$2:$E$846,Ledger!$A$2:$A$846,"ev",Ledger!$F$2:$F$846,"2024"),2)</f>
        <v/>
      </c>
      <c r="I792" s="2" t="inlineStr">
        <is>
          <t>spreadsheet</t>
        </is>
      </c>
      <c r="J792" s="2" t="n"/>
      <c r="K792" s="14" t="inlineStr">
        <is>
          <t>example formula (Claude): check it, or replace it with your own</t>
        </is>
      </c>
    </row>
    <row r="793">
      <c r="A793" s="2" t="n">
        <v>792</v>
      </c>
      <c r="B793" s="2" t="inlineStr">
        <is>
          <t>reports.group.fuel</t>
        </is>
      </c>
      <c r="C793" s="2" t="inlineStr">
        <is>
          <t>alex</t>
        </is>
      </c>
      <c r="D793" s="2" t="inlineStr">
        <is>
          <t>ev</t>
        </is>
      </c>
      <c r="E793" s="2" t="inlineStr">
        <is>
          <t>2025</t>
        </is>
      </c>
      <c r="F793" s="2" t="inlineStr">
        <is>
          <t>GBP</t>
        </is>
      </c>
      <c r="G793" s="2" t="inlineStr">
        <is>
          <t>money</t>
        </is>
      </c>
      <c r="H793" s="18">
        <f>ROUND(SUMIFS(Ledger!$E$2:$E$846,Ledger!$A$2:$A$846,"ev",Ledger!$F$2:$F$846,"2025",Ledger!$C$2:$C$846,"fuel"),2)</f>
        <v/>
      </c>
      <c r="I793" s="2" t="inlineStr">
        <is>
          <t>spreadsheet</t>
        </is>
      </c>
      <c r="J793" s="2" t="n"/>
      <c r="K793" s="14" t="inlineStr">
        <is>
          <t>example formula (Claude): check it, or replace it with your own</t>
        </is>
      </c>
    </row>
    <row r="794">
      <c r="A794" s="2" t="n">
        <v>793</v>
      </c>
      <c r="B794" s="2" t="inlineStr">
        <is>
          <t>reports.group.maintenance</t>
        </is>
      </c>
      <c r="C794" s="2" t="inlineStr">
        <is>
          <t>alex</t>
        </is>
      </c>
      <c r="D794" s="2" t="inlineStr">
        <is>
          <t>ev</t>
        </is>
      </c>
      <c r="E794" s="2" t="inlineStr">
        <is>
          <t>2025</t>
        </is>
      </c>
      <c r="F794" s="2" t="inlineStr">
        <is>
          <t>GBP</t>
        </is>
      </c>
      <c r="G794" s="2" t="inlineStr">
        <is>
          <t>money</t>
        </is>
      </c>
      <c r="H794" s="18">
        <f>ROUND(SUMIFS(Ledger!$E$2:$E$846,Ledger!$A$2:$A$846,"ev",Ledger!$F$2:$F$846,"2025",Ledger!$C$2:$C$846,"maintenance"),2)</f>
        <v/>
      </c>
      <c r="I794" s="2" t="inlineStr">
        <is>
          <t>spreadsheet</t>
        </is>
      </c>
      <c r="J794" s="2" t="n"/>
      <c r="K794" s="14" t="inlineStr">
        <is>
          <t>example formula (Claude): check it, or replace it with your own</t>
        </is>
      </c>
    </row>
    <row r="795">
      <c r="A795" s="2" t="n">
        <v>794</v>
      </c>
      <c r="B795" s="2" t="inlineStr">
        <is>
          <t>reports.group.compliance</t>
        </is>
      </c>
      <c r="C795" s="2" t="inlineStr">
        <is>
          <t>alex</t>
        </is>
      </c>
      <c r="D795" s="2" t="inlineStr">
        <is>
          <t>ev</t>
        </is>
      </c>
      <c r="E795" s="2" t="inlineStr">
        <is>
          <t>2025</t>
        </is>
      </c>
      <c r="F795" s="2" t="inlineStr">
        <is>
          <t>GBP</t>
        </is>
      </c>
      <c r="G795" s="2" t="inlineStr">
        <is>
          <t>money</t>
        </is>
      </c>
      <c r="H795" s="18">
        <f>ROUND(SUMIFS(Ledger!$E$2:$E$846,Ledger!$A$2:$A$846,"ev",Ledger!$F$2:$F$846,"2025",Ledger!$C$2:$C$846,"compliance"),2)</f>
        <v/>
      </c>
      <c r="I795" s="2" t="inlineStr">
        <is>
          <t>spreadsheet</t>
        </is>
      </c>
      <c r="J795" s="2" t="n"/>
      <c r="K795" s="14" t="inlineStr">
        <is>
          <t>example formula (Claude): check it, or replace it with your own</t>
        </is>
      </c>
    </row>
    <row r="796">
      <c r="A796" s="2" t="n">
        <v>795</v>
      </c>
      <c r="B796" s="2" t="inlineStr">
        <is>
          <t>reports.group.other</t>
        </is>
      </c>
      <c r="C796" s="2" t="inlineStr">
        <is>
          <t>alex</t>
        </is>
      </c>
      <c r="D796" s="2" t="inlineStr">
        <is>
          <t>ev</t>
        </is>
      </c>
      <c r="E796" s="2" t="inlineStr">
        <is>
          <t>2025</t>
        </is>
      </c>
      <c r="F796" s="2" t="inlineStr">
        <is>
          <t>GBP</t>
        </is>
      </c>
      <c r="G796" s="2" t="inlineStr">
        <is>
          <t>money</t>
        </is>
      </c>
      <c r="H796" s="18">
        <f>ROUND(SUMIFS(Ledger!$E$2:$E$846,Ledger!$A$2:$A$846,"ev",Ledger!$F$2:$F$846,"2025",Ledger!$C$2:$C$846,"other"),2)</f>
        <v/>
      </c>
      <c r="I796" s="2" t="inlineStr">
        <is>
          <t>spreadsheet</t>
        </is>
      </c>
      <c r="J796" s="2" t="n"/>
      <c r="K796" s="14" t="inlineStr">
        <is>
          <t>example formula (Claude): check it, or replace it with your own</t>
        </is>
      </c>
    </row>
    <row r="797">
      <c r="A797" s="2" t="n">
        <v>796</v>
      </c>
      <c r="B797" s="2" t="inlineStr">
        <is>
          <t>reports.group.total</t>
        </is>
      </c>
      <c r="C797" s="2" t="inlineStr">
        <is>
          <t>alex</t>
        </is>
      </c>
      <c r="D797" s="2" t="inlineStr">
        <is>
          <t>ev</t>
        </is>
      </c>
      <c r="E797" s="2" t="inlineStr">
        <is>
          <t>2025</t>
        </is>
      </c>
      <c r="F797" s="2" t="inlineStr">
        <is>
          <t>GBP</t>
        </is>
      </c>
      <c r="G797" s="2" t="inlineStr">
        <is>
          <t>money</t>
        </is>
      </c>
      <c r="H797" s="18">
        <f>ROUND(SUMIFS(Ledger!$E$2:$E$846,Ledger!$A$2:$A$846,"ev",Ledger!$F$2:$F$846,"2025"),2)</f>
        <v/>
      </c>
      <c r="I797" s="2" t="inlineStr">
        <is>
          <t>spreadsheet</t>
        </is>
      </c>
      <c r="J797" s="2" t="n"/>
      <c r="K797" s="14" t="inlineStr">
        <is>
          <t>example formula (Claude): check it, or replace it with your own</t>
        </is>
      </c>
    </row>
    <row r="798">
      <c r="A798" s="2" t="n">
        <v>797</v>
      </c>
      <c r="B798" s="2" t="inlineStr">
        <is>
          <t>reports.group.fuel</t>
        </is>
      </c>
      <c r="C798" s="2" t="inlineStr">
        <is>
          <t>alex</t>
        </is>
      </c>
      <c r="D798" s="2" t="inlineStr">
        <is>
          <t>ev</t>
        </is>
      </c>
      <c r="E798" s="2" t="inlineStr">
        <is>
          <t>2026</t>
        </is>
      </c>
      <c r="F798" s="2" t="inlineStr">
        <is>
          <t>GBP</t>
        </is>
      </c>
      <c r="G798" s="2" t="inlineStr">
        <is>
          <t>money</t>
        </is>
      </c>
      <c r="H798" s="18">
        <f>ROUND(SUMIFS(Ledger!$E$2:$E$846,Ledger!$A$2:$A$846,"ev",Ledger!$F$2:$F$846,"2026",Ledger!$C$2:$C$846,"fuel"),2)</f>
        <v/>
      </c>
      <c r="I798" s="2" t="inlineStr">
        <is>
          <t>spreadsheet</t>
        </is>
      </c>
      <c r="J798" s="2" t="n"/>
      <c r="K798" s="14" t="inlineStr">
        <is>
          <t>example formula (Claude): check it, or replace it with your own</t>
        </is>
      </c>
    </row>
    <row r="799">
      <c r="A799" s="2" t="n">
        <v>798</v>
      </c>
      <c r="B799" s="2" t="inlineStr">
        <is>
          <t>reports.group.maintenance</t>
        </is>
      </c>
      <c r="C799" s="2" t="inlineStr">
        <is>
          <t>alex</t>
        </is>
      </c>
      <c r="D799" s="2" t="inlineStr">
        <is>
          <t>ev</t>
        </is>
      </c>
      <c r="E799" s="2" t="inlineStr">
        <is>
          <t>2026</t>
        </is>
      </c>
      <c r="F799" s="2" t="inlineStr">
        <is>
          <t>GBP</t>
        </is>
      </c>
      <c r="G799" s="2" t="inlineStr">
        <is>
          <t>money</t>
        </is>
      </c>
      <c r="H799" s="18">
        <f>ROUND(SUMIFS(Ledger!$E$2:$E$846,Ledger!$A$2:$A$846,"ev",Ledger!$F$2:$F$846,"2026",Ledger!$C$2:$C$846,"maintenance"),2)</f>
        <v/>
      </c>
      <c r="I799" s="2" t="inlineStr">
        <is>
          <t>spreadsheet</t>
        </is>
      </c>
      <c r="J799" s="2" t="n"/>
      <c r="K799" s="14" t="inlineStr">
        <is>
          <t>example formula (Claude): check it, or replace it with your own</t>
        </is>
      </c>
    </row>
    <row r="800">
      <c r="A800" s="2" t="n">
        <v>799</v>
      </c>
      <c r="B800" s="2" t="inlineStr">
        <is>
          <t>reports.group.compliance</t>
        </is>
      </c>
      <c r="C800" s="2" t="inlineStr">
        <is>
          <t>alex</t>
        </is>
      </c>
      <c r="D800" s="2" t="inlineStr">
        <is>
          <t>ev</t>
        </is>
      </c>
      <c r="E800" s="2" t="inlineStr">
        <is>
          <t>2026</t>
        </is>
      </c>
      <c r="F800" s="2" t="inlineStr">
        <is>
          <t>GBP</t>
        </is>
      </c>
      <c r="G800" s="2" t="inlineStr">
        <is>
          <t>money</t>
        </is>
      </c>
      <c r="H800" s="18">
        <f>ROUND(SUMIFS(Ledger!$E$2:$E$846,Ledger!$A$2:$A$846,"ev",Ledger!$F$2:$F$846,"2026",Ledger!$C$2:$C$846,"compliance"),2)</f>
        <v/>
      </c>
      <c r="I800" s="2" t="inlineStr">
        <is>
          <t>spreadsheet</t>
        </is>
      </c>
      <c r="J800" s="2" t="n"/>
      <c r="K800" s="14" t="inlineStr">
        <is>
          <t>example formula (Claude): check it, or replace it with your own</t>
        </is>
      </c>
    </row>
    <row r="801">
      <c r="A801" s="2" t="n">
        <v>800</v>
      </c>
      <c r="B801" s="2" t="inlineStr">
        <is>
          <t>reports.group.other</t>
        </is>
      </c>
      <c r="C801" s="2" t="inlineStr">
        <is>
          <t>alex</t>
        </is>
      </c>
      <c r="D801" s="2" t="inlineStr">
        <is>
          <t>ev</t>
        </is>
      </c>
      <c r="E801" s="2" t="inlineStr">
        <is>
          <t>2026</t>
        </is>
      </c>
      <c r="F801" s="2" t="inlineStr">
        <is>
          <t>GBP</t>
        </is>
      </c>
      <c r="G801" s="2" t="inlineStr">
        <is>
          <t>money</t>
        </is>
      </c>
      <c r="H801" s="18">
        <f>ROUND(SUMIFS(Ledger!$E$2:$E$846,Ledger!$A$2:$A$846,"ev",Ledger!$F$2:$F$846,"2026",Ledger!$C$2:$C$846,"other"),2)</f>
        <v/>
      </c>
      <c r="I801" s="2" t="inlineStr">
        <is>
          <t>spreadsheet</t>
        </is>
      </c>
      <c r="J801" s="2" t="n"/>
      <c r="K801" s="14" t="inlineStr">
        <is>
          <t>example formula (Claude): check it, or replace it with your own</t>
        </is>
      </c>
    </row>
    <row r="802">
      <c r="A802" s="2" t="n">
        <v>801</v>
      </c>
      <c r="B802" s="2" t="inlineStr">
        <is>
          <t>reports.group.total</t>
        </is>
      </c>
      <c r="C802" s="2" t="inlineStr">
        <is>
          <t>alex</t>
        </is>
      </c>
      <c r="D802" s="2" t="inlineStr">
        <is>
          <t>ev</t>
        </is>
      </c>
      <c r="E802" s="2" t="inlineStr">
        <is>
          <t>2026</t>
        </is>
      </c>
      <c r="F802" s="2" t="inlineStr">
        <is>
          <t>GBP</t>
        </is>
      </c>
      <c r="G802" s="2" t="inlineStr">
        <is>
          <t>money</t>
        </is>
      </c>
      <c r="H802" s="18">
        <f>ROUND(SUMIFS(Ledger!$E$2:$E$846,Ledger!$A$2:$A$846,"ev",Ledger!$F$2:$F$846,"2026"),2)</f>
        <v/>
      </c>
      <c r="I802" s="2" t="inlineStr">
        <is>
          <t>spreadsheet</t>
        </is>
      </c>
      <c r="J802" s="2" t="n"/>
      <c r="K802" s="14" t="inlineStr">
        <is>
          <t>example formula (Claude): check it, or replace it with your own</t>
        </is>
      </c>
    </row>
    <row r="803">
      <c r="A803" s="2" t="n">
        <v>802</v>
      </c>
      <c r="B803" s="2" t="inlineStr">
        <is>
          <t>reports.cost_per_distance</t>
        </is>
      </c>
      <c r="C803" s="2" t="inlineStr">
        <is>
          <t>alex</t>
        </is>
      </c>
      <c r="D803" s="2" t="inlineStr">
        <is>
          <t>ev</t>
        </is>
      </c>
      <c r="E803" s="2" t="inlineStr">
        <is>
          <t>all_time</t>
        </is>
      </c>
      <c r="F803" s="2" t="inlineStr">
        <is>
          <t>GBP</t>
        </is>
      </c>
      <c r="G803" s="2" t="inlineStr">
        <is>
          <t>money/mi</t>
        </is>
      </c>
      <c r="H803" s="23" t="n"/>
      <c r="I803" s="2" t="inlineStr">
        <is>
          <t>spreadsheet</t>
        </is>
      </c>
      <c r="J803" s="2" t="n"/>
      <c r="K803" s="14" t="inlineStr">
        <is>
          <t>yours</t>
        </is>
      </c>
    </row>
    <row r="804">
      <c r="A804" s="2" t="n">
        <v>803</v>
      </c>
      <c r="B804" s="2" t="inlineStr">
        <is>
          <t>reports.group.fuel</t>
        </is>
      </c>
      <c r="C804" s="2" t="inlineStr">
        <is>
          <t>alex</t>
        </is>
      </c>
      <c r="D804" s="2" t="inlineStr">
        <is>
          <t>focus</t>
        </is>
      </c>
      <c r="E804" s="2" t="inlineStr">
        <is>
          <t>2023</t>
        </is>
      </c>
      <c r="F804" s="2" t="inlineStr">
        <is>
          <t>GBP</t>
        </is>
      </c>
      <c r="G804" s="2" t="inlineStr">
        <is>
          <t>money</t>
        </is>
      </c>
      <c r="H804" s="18">
        <f>ROUND(SUMIFS(Ledger!$E$2:$E$846,Ledger!$A$2:$A$846,"focus",Ledger!$F$2:$F$846,"2023",Ledger!$C$2:$C$846,"fuel"),2)</f>
        <v/>
      </c>
      <c r="I804" s="2" t="inlineStr">
        <is>
          <t>spreadsheet</t>
        </is>
      </c>
      <c r="J804" s="2" t="n"/>
      <c r="K804" s="14" t="inlineStr">
        <is>
          <t>example formula (Claude): check it, or replace it with your own</t>
        </is>
      </c>
    </row>
    <row r="805">
      <c r="A805" s="2" t="n">
        <v>804</v>
      </c>
      <c r="B805" s="2" t="inlineStr">
        <is>
          <t>reports.group.maintenance</t>
        </is>
      </c>
      <c r="C805" s="2" t="inlineStr">
        <is>
          <t>alex</t>
        </is>
      </c>
      <c r="D805" s="2" t="inlineStr">
        <is>
          <t>focus</t>
        </is>
      </c>
      <c r="E805" s="2" t="inlineStr">
        <is>
          <t>2023</t>
        </is>
      </c>
      <c r="F805" s="2" t="inlineStr">
        <is>
          <t>GBP</t>
        </is>
      </c>
      <c r="G805" s="2" t="inlineStr">
        <is>
          <t>money</t>
        </is>
      </c>
      <c r="H805" s="18">
        <f>ROUND(SUMIFS(Ledger!$E$2:$E$846,Ledger!$A$2:$A$846,"focus",Ledger!$F$2:$F$846,"2023",Ledger!$C$2:$C$846,"maintenance"),2)</f>
        <v/>
      </c>
      <c r="I805" s="2" t="inlineStr">
        <is>
          <t>spreadsheet</t>
        </is>
      </c>
      <c r="J805" s="2" t="n"/>
      <c r="K805" s="14" t="inlineStr">
        <is>
          <t>example formula (Claude): check it, or replace it with your own</t>
        </is>
      </c>
    </row>
    <row r="806">
      <c r="A806" s="2" t="n">
        <v>805</v>
      </c>
      <c r="B806" s="2" t="inlineStr">
        <is>
          <t>reports.group.compliance</t>
        </is>
      </c>
      <c r="C806" s="2" t="inlineStr">
        <is>
          <t>alex</t>
        </is>
      </c>
      <c r="D806" s="2" t="inlineStr">
        <is>
          <t>focus</t>
        </is>
      </c>
      <c r="E806" s="2" t="inlineStr">
        <is>
          <t>2023</t>
        </is>
      </c>
      <c r="F806" s="2" t="inlineStr">
        <is>
          <t>GBP</t>
        </is>
      </c>
      <c r="G806" s="2" t="inlineStr">
        <is>
          <t>money</t>
        </is>
      </c>
      <c r="H806" s="18">
        <f>ROUND(SUMIFS(Ledger!$E$2:$E$846,Ledger!$A$2:$A$846,"focus",Ledger!$F$2:$F$846,"2023",Ledger!$C$2:$C$846,"compliance"),2)</f>
        <v/>
      </c>
      <c r="I806" s="2" t="inlineStr">
        <is>
          <t>spreadsheet</t>
        </is>
      </c>
      <c r="J806" s="2" t="n"/>
      <c r="K806" s="14" t="inlineStr">
        <is>
          <t>example formula (Claude): check it, or replace it with your own</t>
        </is>
      </c>
    </row>
    <row r="807">
      <c r="A807" s="2" t="n">
        <v>806</v>
      </c>
      <c r="B807" s="2" t="inlineStr">
        <is>
          <t>reports.group.other</t>
        </is>
      </c>
      <c r="C807" s="2" t="inlineStr">
        <is>
          <t>alex</t>
        </is>
      </c>
      <c r="D807" s="2" t="inlineStr">
        <is>
          <t>focus</t>
        </is>
      </c>
      <c r="E807" s="2" t="inlineStr">
        <is>
          <t>2023</t>
        </is>
      </c>
      <c r="F807" s="2" t="inlineStr">
        <is>
          <t>GBP</t>
        </is>
      </c>
      <c r="G807" s="2" t="inlineStr">
        <is>
          <t>money</t>
        </is>
      </c>
      <c r="H807" s="18">
        <f>ROUND(SUMIFS(Ledger!$E$2:$E$846,Ledger!$A$2:$A$846,"focus",Ledger!$F$2:$F$846,"2023",Ledger!$C$2:$C$846,"other"),2)</f>
        <v/>
      </c>
      <c r="I807" s="2" t="inlineStr">
        <is>
          <t>spreadsheet</t>
        </is>
      </c>
      <c r="J807" s="2" t="n"/>
      <c r="K807" s="14" t="inlineStr">
        <is>
          <t>example formula (Claude): check it, or replace it with your own</t>
        </is>
      </c>
    </row>
    <row r="808">
      <c r="A808" s="2" t="n">
        <v>807</v>
      </c>
      <c r="B808" s="2" t="inlineStr">
        <is>
          <t>reports.group.total</t>
        </is>
      </c>
      <c r="C808" s="2" t="inlineStr">
        <is>
          <t>alex</t>
        </is>
      </c>
      <c r="D808" s="2" t="inlineStr">
        <is>
          <t>focus</t>
        </is>
      </c>
      <c r="E808" s="2" t="inlineStr">
        <is>
          <t>2023</t>
        </is>
      </c>
      <c r="F808" s="2" t="inlineStr">
        <is>
          <t>GBP</t>
        </is>
      </c>
      <c r="G808" s="2" t="inlineStr">
        <is>
          <t>money</t>
        </is>
      </c>
      <c r="H808" s="18">
        <f>ROUND(SUMIFS(Ledger!$E$2:$E$846,Ledger!$A$2:$A$846,"focus",Ledger!$F$2:$F$846,"2023"),2)</f>
        <v/>
      </c>
      <c r="I808" s="2" t="inlineStr">
        <is>
          <t>spreadsheet</t>
        </is>
      </c>
      <c r="J808" s="2" t="n"/>
      <c r="K808" s="14" t="inlineStr">
        <is>
          <t>example formula (Claude): check it, or replace it with your own</t>
        </is>
      </c>
    </row>
    <row r="809">
      <c r="A809" s="2" t="n">
        <v>808</v>
      </c>
      <c r="B809" s="2" t="inlineStr">
        <is>
          <t>reports.group.fuel</t>
        </is>
      </c>
      <c r="C809" s="2" t="inlineStr">
        <is>
          <t>alex</t>
        </is>
      </c>
      <c r="D809" s="2" t="inlineStr">
        <is>
          <t>focus</t>
        </is>
      </c>
      <c r="E809" s="2" t="inlineStr">
        <is>
          <t>2024</t>
        </is>
      </c>
      <c r="F809" s="2" t="inlineStr">
        <is>
          <t>GBP</t>
        </is>
      </c>
      <c r="G809" s="2" t="inlineStr">
        <is>
          <t>money</t>
        </is>
      </c>
      <c r="H809" s="18">
        <f>ROUND(SUMIFS(Ledger!$E$2:$E$846,Ledger!$A$2:$A$846,"focus",Ledger!$F$2:$F$846,"2024",Ledger!$C$2:$C$846,"fuel"),2)</f>
        <v/>
      </c>
      <c r="I809" s="2" t="inlineStr">
        <is>
          <t>spreadsheet</t>
        </is>
      </c>
      <c r="J809" s="2" t="n"/>
      <c r="K809" s="14" t="inlineStr">
        <is>
          <t>example formula (Claude): check it, or replace it with your own</t>
        </is>
      </c>
    </row>
    <row r="810">
      <c r="A810" s="2" t="n">
        <v>809</v>
      </c>
      <c r="B810" s="2" t="inlineStr">
        <is>
          <t>reports.group.maintenance</t>
        </is>
      </c>
      <c r="C810" s="2" t="inlineStr">
        <is>
          <t>alex</t>
        </is>
      </c>
      <c r="D810" s="2" t="inlineStr">
        <is>
          <t>focus</t>
        </is>
      </c>
      <c r="E810" s="2" t="inlineStr">
        <is>
          <t>2024</t>
        </is>
      </c>
      <c r="F810" s="2" t="inlineStr">
        <is>
          <t>GBP</t>
        </is>
      </c>
      <c r="G810" s="2" t="inlineStr">
        <is>
          <t>money</t>
        </is>
      </c>
      <c r="H810" s="18">
        <f>ROUND(SUMIFS(Ledger!$E$2:$E$846,Ledger!$A$2:$A$846,"focus",Ledger!$F$2:$F$846,"2024",Ledger!$C$2:$C$846,"maintenance"),2)</f>
        <v/>
      </c>
      <c r="I810" s="2" t="inlineStr">
        <is>
          <t>spreadsheet</t>
        </is>
      </c>
      <c r="J810" s="2" t="n"/>
      <c r="K810" s="14" t="inlineStr">
        <is>
          <t>example formula (Claude): check it, or replace it with your own</t>
        </is>
      </c>
    </row>
    <row r="811">
      <c r="A811" s="2" t="n">
        <v>810</v>
      </c>
      <c r="B811" s="2" t="inlineStr">
        <is>
          <t>reports.group.compliance</t>
        </is>
      </c>
      <c r="C811" s="2" t="inlineStr">
        <is>
          <t>alex</t>
        </is>
      </c>
      <c r="D811" s="2" t="inlineStr">
        <is>
          <t>focus</t>
        </is>
      </c>
      <c r="E811" s="2" t="inlineStr">
        <is>
          <t>2024</t>
        </is>
      </c>
      <c r="F811" s="2" t="inlineStr">
        <is>
          <t>GBP</t>
        </is>
      </c>
      <c r="G811" s="2" t="inlineStr">
        <is>
          <t>money</t>
        </is>
      </c>
      <c r="H811" s="18">
        <f>ROUND(SUMIFS(Ledger!$E$2:$E$846,Ledger!$A$2:$A$846,"focus",Ledger!$F$2:$F$846,"2024",Ledger!$C$2:$C$846,"compliance"),2)</f>
        <v/>
      </c>
      <c r="I811" s="2" t="inlineStr">
        <is>
          <t>spreadsheet</t>
        </is>
      </c>
      <c r="J811" s="2" t="n"/>
      <c r="K811" s="14" t="inlineStr">
        <is>
          <t>example formula (Claude): check it, or replace it with your own</t>
        </is>
      </c>
    </row>
    <row r="812">
      <c r="A812" s="2" t="n">
        <v>811</v>
      </c>
      <c r="B812" s="2" t="inlineStr">
        <is>
          <t>reports.group.other</t>
        </is>
      </c>
      <c r="C812" s="2" t="inlineStr">
        <is>
          <t>alex</t>
        </is>
      </c>
      <c r="D812" s="2" t="inlineStr">
        <is>
          <t>focus</t>
        </is>
      </c>
      <c r="E812" s="2" t="inlineStr">
        <is>
          <t>2024</t>
        </is>
      </c>
      <c r="F812" s="2" t="inlineStr">
        <is>
          <t>GBP</t>
        </is>
      </c>
      <c r="G812" s="2" t="inlineStr">
        <is>
          <t>money</t>
        </is>
      </c>
      <c r="H812" s="18">
        <f>ROUND(SUMIFS(Ledger!$E$2:$E$846,Ledger!$A$2:$A$846,"focus",Ledger!$F$2:$F$846,"2024",Ledger!$C$2:$C$846,"other"),2)</f>
        <v/>
      </c>
      <c r="I812" s="2" t="inlineStr">
        <is>
          <t>spreadsheet</t>
        </is>
      </c>
      <c r="J812" s="2" t="n"/>
      <c r="K812" s="14" t="inlineStr">
        <is>
          <t>example formula (Claude): check it, or replace it with your own</t>
        </is>
      </c>
    </row>
    <row r="813">
      <c r="A813" s="2" t="n">
        <v>812</v>
      </c>
      <c r="B813" s="2" t="inlineStr">
        <is>
          <t>reports.group.total</t>
        </is>
      </c>
      <c r="C813" s="2" t="inlineStr">
        <is>
          <t>alex</t>
        </is>
      </c>
      <c r="D813" s="2" t="inlineStr">
        <is>
          <t>focus</t>
        </is>
      </c>
      <c r="E813" s="2" t="inlineStr">
        <is>
          <t>2024</t>
        </is>
      </c>
      <c r="F813" s="2" t="inlineStr">
        <is>
          <t>GBP</t>
        </is>
      </c>
      <c r="G813" s="2" t="inlineStr">
        <is>
          <t>money</t>
        </is>
      </c>
      <c r="H813" s="18">
        <f>ROUND(SUMIFS(Ledger!$E$2:$E$846,Ledger!$A$2:$A$846,"focus",Ledger!$F$2:$F$846,"2024"),2)</f>
        <v/>
      </c>
      <c r="I813" s="2" t="inlineStr">
        <is>
          <t>spreadsheet</t>
        </is>
      </c>
      <c r="J813" s="2" t="n"/>
      <c r="K813" s="14" t="inlineStr">
        <is>
          <t>example formula (Claude): check it, or replace it with your own</t>
        </is>
      </c>
    </row>
    <row r="814">
      <c r="A814" s="2" t="n">
        <v>813</v>
      </c>
      <c r="B814" s="2" t="inlineStr">
        <is>
          <t>reports.group.fuel</t>
        </is>
      </c>
      <c r="C814" s="2" t="inlineStr">
        <is>
          <t>alex</t>
        </is>
      </c>
      <c r="D814" s="2" t="inlineStr">
        <is>
          <t>focus</t>
        </is>
      </c>
      <c r="E814" s="2" t="inlineStr">
        <is>
          <t>2025</t>
        </is>
      </c>
      <c r="F814" s="2" t="inlineStr">
        <is>
          <t>GBP</t>
        </is>
      </c>
      <c r="G814" s="2" t="inlineStr">
        <is>
          <t>money</t>
        </is>
      </c>
      <c r="H814" s="18">
        <f>ROUND(SUMIFS(Ledger!$E$2:$E$846,Ledger!$A$2:$A$846,"focus",Ledger!$F$2:$F$846,"2025",Ledger!$C$2:$C$846,"fuel"),2)</f>
        <v/>
      </c>
      <c r="I814" s="2" t="inlineStr">
        <is>
          <t>spreadsheet</t>
        </is>
      </c>
      <c r="J814" s="2" t="n"/>
      <c r="K814" s="14" t="inlineStr">
        <is>
          <t>example formula (Claude): check it, or replace it with your own</t>
        </is>
      </c>
    </row>
    <row r="815">
      <c r="A815" s="2" t="n">
        <v>814</v>
      </c>
      <c r="B815" s="2" t="inlineStr">
        <is>
          <t>reports.group.maintenance</t>
        </is>
      </c>
      <c r="C815" s="2" t="inlineStr">
        <is>
          <t>alex</t>
        </is>
      </c>
      <c r="D815" s="2" t="inlineStr">
        <is>
          <t>focus</t>
        </is>
      </c>
      <c r="E815" s="2" t="inlineStr">
        <is>
          <t>2025</t>
        </is>
      </c>
      <c r="F815" s="2" t="inlineStr">
        <is>
          <t>GBP</t>
        </is>
      </c>
      <c r="G815" s="2" t="inlineStr">
        <is>
          <t>money</t>
        </is>
      </c>
      <c r="H815" s="18">
        <f>ROUND(SUMIFS(Ledger!$E$2:$E$846,Ledger!$A$2:$A$846,"focus",Ledger!$F$2:$F$846,"2025",Ledger!$C$2:$C$846,"maintenance"),2)</f>
        <v/>
      </c>
      <c r="I815" s="2" t="inlineStr">
        <is>
          <t>spreadsheet</t>
        </is>
      </c>
      <c r="J815" s="2" t="n"/>
      <c r="K815" s="14" t="inlineStr">
        <is>
          <t>example formula (Claude): check it, or replace it with your own</t>
        </is>
      </c>
    </row>
    <row r="816">
      <c r="A816" s="2" t="n">
        <v>815</v>
      </c>
      <c r="B816" s="2" t="inlineStr">
        <is>
          <t>reports.group.compliance</t>
        </is>
      </c>
      <c r="C816" s="2" t="inlineStr">
        <is>
          <t>alex</t>
        </is>
      </c>
      <c r="D816" s="2" t="inlineStr">
        <is>
          <t>focus</t>
        </is>
      </c>
      <c r="E816" s="2" t="inlineStr">
        <is>
          <t>2025</t>
        </is>
      </c>
      <c r="F816" s="2" t="inlineStr">
        <is>
          <t>GBP</t>
        </is>
      </c>
      <c r="G816" s="2" t="inlineStr">
        <is>
          <t>money</t>
        </is>
      </c>
      <c r="H816" s="18">
        <f>ROUND(SUMIFS(Ledger!$E$2:$E$846,Ledger!$A$2:$A$846,"focus",Ledger!$F$2:$F$846,"2025",Ledger!$C$2:$C$846,"compliance"),2)</f>
        <v/>
      </c>
      <c r="I816" s="2" t="inlineStr">
        <is>
          <t>spreadsheet</t>
        </is>
      </c>
      <c r="J816" s="2" t="n"/>
      <c r="K816" s="14" t="inlineStr">
        <is>
          <t>example formula (Claude): check it, or replace it with your own</t>
        </is>
      </c>
    </row>
    <row r="817">
      <c r="A817" s="2" t="n">
        <v>816</v>
      </c>
      <c r="B817" s="2" t="inlineStr">
        <is>
          <t>reports.group.other</t>
        </is>
      </c>
      <c r="C817" s="2" t="inlineStr">
        <is>
          <t>alex</t>
        </is>
      </c>
      <c r="D817" s="2" t="inlineStr">
        <is>
          <t>focus</t>
        </is>
      </c>
      <c r="E817" s="2" t="inlineStr">
        <is>
          <t>2025</t>
        </is>
      </c>
      <c r="F817" s="2" t="inlineStr">
        <is>
          <t>GBP</t>
        </is>
      </c>
      <c r="G817" s="2" t="inlineStr">
        <is>
          <t>money</t>
        </is>
      </c>
      <c r="H817" s="18">
        <f>ROUND(SUMIFS(Ledger!$E$2:$E$846,Ledger!$A$2:$A$846,"focus",Ledger!$F$2:$F$846,"2025",Ledger!$C$2:$C$846,"other"),2)</f>
        <v/>
      </c>
      <c r="I817" s="2" t="inlineStr">
        <is>
          <t>spreadsheet</t>
        </is>
      </c>
      <c r="J817" s="2" t="n"/>
      <c r="K817" s="14" t="inlineStr">
        <is>
          <t>example formula (Claude): check it, or replace it with your own</t>
        </is>
      </c>
    </row>
    <row r="818">
      <c r="A818" s="2" t="n">
        <v>817</v>
      </c>
      <c r="B818" s="2" t="inlineStr">
        <is>
          <t>reports.group.total</t>
        </is>
      </c>
      <c r="C818" s="2" t="inlineStr">
        <is>
          <t>alex</t>
        </is>
      </c>
      <c r="D818" s="2" t="inlineStr">
        <is>
          <t>focus</t>
        </is>
      </c>
      <c r="E818" s="2" t="inlineStr">
        <is>
          <t>2025</t>
        </is>
      </c>
      <c r="F818" s="2" t="inlineStr">
        <is>
          <t>GBP</t>
        </is>
      </c>
      <c r="G818" s="2" t="inlineStr">
        <is>
          <t>money</t>
        </is>
      </c>
      <c r="H818" s="18">
        <f>ROUND(SUMIFS(Ledger!$E$2:$E$846,Ledger!$A$2:$A$846,"focus",Ledger!$F$2:$F$846,"2025"),2)</f>
        <v/>
      </c>
      <c r="I818" s="2" t="inlineStr">
        <is>
          <t>spreadsheet</t>
        </is>
      </c>
      <c r="J818" s="2" t="n"/>
      <c r="K818" s="14" t="inlineStr">
        <is>
          <t>example formula (Claude): check it, or replace it with your own</t>
        </is>
      </c>
    </row>
    <row r="819">
      <c r="A819" s="2" t="n">
        <v>818</v>
      </c>
      <c r="B819" s="2" t="inlineStr">
        <is>
          <t>reports.group.fuel</t>
        </is>
      </c>
      <c r="C819" s="2" t="inlineStr">
        <is>
          <t>alex</t>
        </is>
      </c>
      <c r="D819" s="2" t="inlineStr">
        <is>
          <t>focus</t>
        </is>
      </c>
      <c r="E819" s="2" t="inlineStr">
        <is>
          <t>2026</t>
        </is>
      </c>
      <c r="F819" s="2" t="inlineStr">
        <is>
          <t>GBP</t>
        </is>
      </c>
      <c r="G819" s="2" t="inlineStr">
        <is>
          <t>money</t>
        </is>
      </c>
      <c r="H819" s="18">
        <f>ROUND(SUMIFS(Ledger!$E$2:$E$846,Ledger!$A$2:$A$846,"focus",Ledger!$F$2:$F$846,"2026",Ledger!$C$2:$C$846,"fuel"),2)</f>
        <v/>
      </c>
      <c r="I819" s="2" t="inlineStr">
        <is>
          <t>spreadsheet</t>
        </is>
      </c>
      <c r="J819" s="2" t="n"/>
      <c r="K819" s="14" t="inlineStr">
        <is>
          <t>example formula (Claude): check it, or replace it with your own</t>
        </is>
      </c>
    </row>
    <row r="820">
      <c r="A820" s="2" t="n">
        <v>819</v>
      </c>
      <c r="B820" s="2" t="inlineStr">
        <is>
          <t>reports.group.maintenance</t>
        </is>
      </c>
      <c r="C820" s="2" t="inlineStr">
        <is>
          <t>alex</t>
        </is>
      </c>
      <c r="D820" s="2" t="inlineStr">
        <is>
          <t>focus</t>
        </is>
      </c>
      <c r="E820" s="2" t="inlineStr">
        <is>
          <t>2026</t>
        </is>
      </c>
      <c r="F820" s="2" t="inlineStr">
        <is>
          <t>GBP</t>
        </is>
      </c>
      <c r="G820" s="2" t="inlineStr">
        <is>
          <t>money</t>
        </is>
      </c>
      <c r="H820" s="18">
        <f>ROUND(SUMIFS(Ledger!$E$2:$E$846,Ledger!$A$2:$A$846,"focus",Ledger!$F$2:$F$846,"2026",Ledger!$C$2:$C$846,"maintenance"),2)</f>
        <v/>
      </c>
      <c r="I820" s="2" t="inlineStr">
        <is>
          <t>spreadsheet</t>
        </is>
      </c>
      <c r="J820" s="2" t="n"/>
      <c r="K820" s="14" t="inlineStr">
        <is>
          <t>example formula (Claude): check it, or replace it with your own</t>
        </is>
      </c>
    </row>
    <row r="821">
      <c r="A821" s="2" t="n">
        <v>820</v>
      </c>
      <c r="B821" s="2" t="inlineStr">
        <is>
          <t>reports.group.compliance</t>
        </is>
      </c>
      <c r="C821" s="2" t="inlineStr">
        <is>
          <t>alex</t>
        </is>
      </c>
      <c r="D821" s="2" t="inlineStr">
        <is>
          <t>focus</t>
        </is>
      </c>
      <c r="E821" s="2" t="inlineStr">
        <is>
          <t>2026</t>
        </is>
      </c>
      <c r="F821" s="2" t="inlineStr">
        <is>
          <t>GBP</t>
        </is>
      </c>
      <c r="G821" s="2" t="inlineStr">
        <is>
          <t>money</t>
        </is>
      </c>
      <c r="H821" s="18">
        <f>ROUND(SUMIFS(Ledger!$E$2:$E$846,Ledger!$A$2:$A$846,"focus",Ledger!$F$2:$F$846,"2026",Ledger!$C$2:$C$846,"compliance"),2)</f>
        <v/>
      </c>
      <c r="I821" s="2" t="inlineStr">
        <is>
          <t>spreadsheet</t>
        </is>
      </c>
      <c r="J821" s="2" t="n"/>
      <c r="K821" s="14" t="inlineStr">
        <is>
          <t>example formula (Claude): check it, or replace it with your own</t>
        </is>
      </c>
    </row>
    <row r="822">
      <c r="A822" s="2" t="n">
        <v>821</v>
      </c>
      <c r="B822" s="2" t="inlineStr">
        <is>
          <t>reports.group.other</t>
        </is>
      </c>
      <c r="C822" s="2" t="inlineStr">
        <is>
          <t>alex</t>
        </is>
      </c>
      <c r="D822" s="2" t="inlineStr">
        <is>
          <t>focus</t>
        </is>
      </c>
      <c r="E822" s="2" t="inlineStr">
        <is>
          <t>2026</t>
        </is>
      </c>
      <c r="F822" s="2" t="inlineStr">
        <is>
          <t>GBP</t>
        </is>
      </c>
      <c r="G822" s="2" t="inlineStr">
        <is>
          <t>money</t>
        </is>
      </c>
      <c r="H822" s="18">
        <f>ROUND(SUMIFS(Ledger!$E$2:$E$846,Ledger!$A$2:$A$846,"focus",Ledger!$F$2:$F$846,"2026",Ledger!$C$2:$C$846,"other"),2)</f>
        <v/>
      </c>
      <c r="I822" s="2" t="inlineStr">
        <is>
          <t>spreadsheet</t>
        </is>
      </c>
      <c r="J822" s="2" t="n"/>
      <c r="K822" s="14" t="inlineStr">
        <is>
          <t>example formula (Claude): check it, or replace it with your own</t>
        </is>
      </c>
    </row>
    <row r="823">
      <c r="A823" s="2" t="n">
        <v>822</v>
      </c>
      <c r="B823" s="2" t="inlineStr">
        <is>
          <t>reports.group.total</t>
        </is>
      </c>
      <c r="C823" s="2" t="inlineStr">
        <is>
          <t>alex</t>
        </is>
      </c>
      <c r="D823" s="2" t="inlineStr">
        <is>
          <t>focus</t>
        </is>
      </c>
      <c r="E823" s="2" t="inlineStr">
        <is>
          <t>2026</t>
        </is>
      </c>
      <c r="F823" s="2" t="inlineStr">
        <is>
          <t>GBP</t>
        </is>
      </c>
      <c r="G823" s="2" t="inlineStr">
        <is>
          <t>money</t>
        </is>
      </c>
      <c r="H823" s="18">
        <f>ROUND(SUMIFS(Ledger!$E$2:$E$846,Ledger!$A$2:$A$846,"focus",Ledger!$F$2:$F$846,"2026"),2)</f>
        <v/>
      </c>
      <c r="I823" s="2" t="inlineStr">
        <is>
          <t>spreadsheet</t>
        </is>
      </c>
      <c r="J823" s="2" t="n"/>
      <c r="K823" s="14" t="inlineStr">
        <is>
          <t>example formula (Claude): check it, or replace it with your own</t>
        </is>
      </c>
    </row>
    <row r="824">
      <c r="A824" s="2" t="n">
        <v>823</v>
      </c>
      <c r="B824" s="2" t="inlineStr">
        <is>
          <t>reports.cost_per_distance</t>
        </is>
      </c>
      <c r="C824" s="2" t="inlineStr">
        <is>
          <t>alex</t>
        </is>
      </c>
      <c r="D824" s="2" t="inlineStr">
        <is>
          <t>focus</t>
        </is>
      </c>
      <c r="E824" s="2" t="inlineStr">
        <is>
          <t>all_time</t>
        </is>
      </c>
      <c r="F824" s="2" t="inlineStr">
        <is>
          <t>GBP</t>
        </is>
      </c>
      <c r="G824" s="2" t="inlineStr">
        <is>
          <t>money/mi</t>
        </is>
      </c>
      <c r="H824" s="23" t="n"/>
      <c r="I824" s="2" t="inlineStr">
        <is>
          <t>spreadsheet</t>
        </is>
      </c>
      <c r="J824" s="2" t="n"/>
      <c r="K824" s="14" t="inlineStr">
        <is>
          <t>yours</t>
        </is>
      </c>
    </row>
    <row r="825">
      <c r="A825" s="2" t="n">
        <v>824</v>
      </c>
      <c r="B825" s="2" t="inlineStr">
        <is>
          <t>reports.group.fuel</t>
        </is>
      </c>
      <c r="C825" s="2" t="inlineStr">
        <is>
          <t>alex</t>
        </is>
      </c>
      <c r="D825" s="2" t="inlineStr">
        <is>
          <t>corolla</t>
        </is>
      </c>
      <c r="E825" s="2" t="inlineStr">
        <is>
          <t>2023</t>
        </is>
      </c>
      <c r="F825" s="2" t="inlineStr">
        <is>
          <t>EUR</t>
        </is>
      </c>
      <c r="G825" s="2" t="inlineStr">
        <is>
          <t>money</t>
        </is>
      </c>
      <c r="H825" s="18">
        <f>ROUND(SUMIFS(Ledger!$E$2:$E$846,Ledger!$A$2:$A$846,"corolla",Ledger!$F$2:$F$846,"2023",Ledger!$C$2:$C$846,"fuel"),2)</f>
        <v/>
      </c>
      <c r="I825" s="2" t="inlineStr">
        <is>
          <t>spreadsheet</t>
        </is>
      </c>
      <c r="J825" s="2" t="n"/>
      <c r="K825" s="14" t="inlineStr">
        <is>
          <t>example formula (Claude): check it, or replace it with your own</t>
        </is>
      </c>
    </row>
    <row r="826">
      <c r="A826" s="2" t="n">
        <v>825</v>
      </c>
      <c r="B826" s="2" t="inlineStr">
        <is>
          <t>reports.group.maintenance</t>
        </is>
      </c>
      <c r="C826" s="2" t="inlineStr">
        <is>
          <t>alex</t>
        </is>
      </c>
      <c r="D826" s="2" t="inlineStr">
        <is>
          <t>corolla</t>
        </is>
      </c>
      <c r="E826" s="2" t="inlineStr">
        <is>
          <t>2023</t>
        </is>
      </c>
      <c r="F826" s="2" t="inlineStr">
        <is>
          <t>EUR</t>
        </is>
      </c>
      <c r="G826" s="2" t="inlineStr">
        <is>
          <t>money</t>
        </is>
      </c>
      <c r="H826" s="18">
        <f>ROUND(SUMIFS(Ledger!$E$2:$E$846,Ledger!$A$2:$A$846,"corolla",Ledger!$F$2:$F$846,"2023",Ledger!$C$2:$C$846,"maintenance"),2)</f>
        <v/>
      </c>
      <c r="I826" s="2" t="inlineStr">
        <is>
          <t>spreadsheet</t>
        </is>
      </c>
      <c r="J826" s="2" t="n"/>
      <c r="K826" s="14" t="inlineStr">
        <is>
          <t>example formula (Claude): check it, or replace it with your own</t>
        </is>
      </c>
    </row>
    <row r="827">
      <c r="A827" s="2" t="n">
        <v>826</v>
      </c>
      <c r="B827" s="2" t="inlineStr">
        <is>
          <t>reports.group.compliance</t>
        </is>
      </c>
      <c r="C827" s="2" t="inlineStr">
        <is>
          <t>alex</t>
        </is>
      </c>
      <c r="D827" s="2" t="inlineStr">
        <is>
          <t>corolla</t>
        </is>
      </c>
      <c r="E827" s="2" t="inlineStr">
        <is>
          <t>2023</t>
        </is>
      </c>
      <c r="F827" s="2" t="inlineStr">
        <is>
          <t>EUR</t>
        </is>
      </c>
      <c r="G827" s="2" t="inlineStr">
        <is>
          <t>money</t>
        </is>
      </c>
      <c r="H827" s="18">
        <f>ROUND(SUMIFS(Ledger!$E$2:$E$846,Ledger!$A$2:$A$846,"corolla",Ledger!$F$2:$F$846,"2023",Ledger!$C$2:$C$846,"compliance"),2)</f>
        <v/>
      </c>
      <c r="I827" s="2" t="inlineStr">
        <is>
          <t>spreadsheet</t>
        </is>
      </c>
      <c r="J827" s="2" t="n"/>
      <c r="K827" s="14" t="inlineStr">
        <is>
          <t>example formula (Claude): check it, or replace it with your own</t>
        </is>
      </c>
    </row>
    <row r="828">
      <c r="A828" s="2" t="n">
        <v>827</v>
      </c>
      <c r="B828" s="2" t="inlineStr">
        <is>
          <t>reports.group.other</t>
        </is>
      </c>
      <c r="C828" s="2" t="inlineStr">
        <is>
          <t>alex</t>
        </is>
      </c>
      <c r="D828" s="2" t="inlineStr">
        <is>
          <t>corolla</t>
        </is>
      </c>
      <c r="E828" s="2" t="inlineStr">
        <is>
          <t>2023</t>
        </is>
      </c>
      <c r="F828" s="2" t="inlineStr">
        <is>
          <t>EUR</t>
        </is>
      </c>
      <c r="G828" s="2" t="inlineStr">
        <is>
          <t>money</t>
        </is>
      </c>
      <c r="H828" s="18">
        <f>ROUND(SUMIFS(Ledger!$E$2:$E$846,Ledger!$A$2:$A$846,"corolla",Ledger!$F$2:$F$846,"2023",Ledger!$C$2:$C$846,"other"),2)</f>
        <v/>
      </c>
      <c r="I828" s="2" t="inlineStr">
        <is>
          <t>spreadsheet</t>
        </is>
      </c>
      <c r="J828" s="2" t="n"/>
      <c r="K828" s="14" t="inlineStr">
        <is>
          <t>example formula (Claude): check it, or replace it with your own</t>
        </is>
      </c>
    </row>
    <row r="829">
      <c r="A829" s="2" t="n">
        <v>828</v>
      </c>
      <c r="B829" s="2" t="inlineStr">
        <is>
          <t>reports.group.total</t>
        </is>
      </c>
      <c r="C829" s="2" t="inlineStr">
        <is>
          <t>alex</t>
        </is>
      </c>
      <c r="D829" s="2" t="inlineStr">
        <is>
          <t>corolla</t>
        </is>
      </c>
      <c r="E829" s="2" t="inlineStr">
        <is>
          <t>2023</t>
        </is>
      </c>
      <c r="F829" s="2" t="inlineStr">
        <is>
          <t>EUR</t>
        </is>
      </c>
      <c r="G829" s="2" t="inlineStr">
        <is>
          <t>money</t>
        </is>
      </c>
      <c r="H829" s="18">
        <f>ROUND(SUMIFS(Ledger!$E$2:$E$846,Ledger!$A$2:$A$846,"corolla",Ledger!$F$2:$F$846,"2023"),2)</f>
        <v/>
      </c>
      <c r="I829" s="2" t="inlineStr">
        <is>
          <t>spreadsheet</t>
        </is>
      </c>
      <c r="J829" s="2" t="n"/>
      <c r="K829" s="14" t="inlineStr">
        <is>
          <t>example formula (Claude): check it, or replace it with your own</t>
        </is>
      </c>
    </row>
    <row r="830">
      <c r="A830" s="2" t="n">
        <v>829</v>
      </c>
      <c r="B830" s="2" t="inlineStr">
        <is>
          <t>reports.group.fuel</t>
        </is>
      </c>
      <c r="C830" s="2" t="inlineStr">
        <is>
          <t>alex</t>
        </is>
      </c>
      <c r="D830" s="2" t="inlineStr">
        <is>
          <t>corolla</t>
        </is>
      </c>
      <c r="E830" s="2" t="inlineStr">
        <is>
          <t>2024</t>
        </is>
      </c>
      <c r="F830" s="2" t="inlineStr">
        <is>
          <t>EUR</t>
        </is>
      </c>
      <c r="G830" s="2" t="inlineStr">
        <is>
          <t>money</t>
        </is>
      </c>
      <c r="H830" s="18">
        <f>ROUND(SUMIFS(Ledger!$E$2:$E$846,Ledger!$A$2:$A$846,"corolla",Ledger!$F$2:$F$846,"2024",Ledger!$C$2:$C$846,"fuel"),2)</f>
        <v/>
      </c>
      <c r="I830" s="2" t="inlineStr">
        <is>
          <t>spreadsheet</t>
        </is>
      </c>
      <c r="J830" s="2" t="n"/>
      <c r="K830" s="14" t="inlineStr">
        <is>
          <t>example formula (Claude): check it, or replace it with your own</t>
        </is>
      </c>
    </row>
    <row r="831">
      <c r="A831" s="2" t="n">
        <v>830</v>
      </c>
      <c r="B831" s="2" t="inlineStr">
        <is>
          <t>reports.group.maintenance</t>
        </is>
      </c>
      <c r="C831" s="2" t="inlineStr">
        <is>
          <t>alex</t>
        </is>
      </c>
      <c r="D831" s="2" t="inlineStr">
        <is>
          <t>corolla</t>
        </is>
      </c>
      <c r="E831" s="2" t="inlineStr">
        <is>
          <t>2024</t>
        </is>
      </c>
      <c r="F831" s="2" t="inlineStr">
        <is>
          <t>EUR</t>
        </is>
      </c>
      <c r="G831" s="2" t="inlineStr">
        <is>
          <t>money</t>
        </is>
      </c>
      <c r="H831" s="18">
        <f>ROUND(SUMIFS(Ledger!$E$2:$E$846,Ledger!$A$2:$A$846,"corolla",Ledger!$F$2:$F$846,"2024",Ledger!$C$2:$C$846,"maintenance"),2)</f>
        <v/>
      </c>
      <c r="I831" s="2" t="inlineStr">
        <is>
          <t>spreadsheet</t>
        </is>
      </c>
      <c r="J831" s="2" t="n"/>
      <c r="K831" s="14" t="inlineStr">
        <is>
          <t>example formula (Claude): check it, or replace it with your own</t>
        </is>
      </c>
    </row>
    <row r="832">
      <c r="A832" s="2" t="n">
        <v>831</v>
      </c>
      <c r="B832" s="2" t="inlineStr">
        <is>
          <t>reports.group.compliance</t>
        </is>
      </c>
      <c r="C832" s="2" t="inlineStr">
        <is>
          <t>alex</t>
        </is>
      </c>
      <c r="D832" s="2" t="inlineStr">
        <is>
          <t>corolla</t>
        </is>
      </c>
      <c r="E832" s="2" t="inlineStr">
        <is>
          <t>2024</t>
        </is>
      </c>
      <c r="F832" s="2" t="inlineStr">
        <is>
          <t>EUR</t>
        </is>
      </c>
      <c r="G832" s="2" t="inlineStr">
        <is>
          <t>money</t>
        </is>
      </c>
      <c r="H832" s="18">
        <f>ROUND(SUMIFS(Ledger!$E$2:$E$846,Ledger!$A$2:$A$846,"corolla",Ledger!$F$2:$F$846,"2024",Ledger!$C$2:$C$846,"compliance"),2)</f>
        <v/>
      </c>
      <c r="I832" s="2" t="inlineStr">
        <is>
          <t>spreadsheet</t>
        </is>
      </c>
      <c r="J832" s="2" t="n"/>
      <c r="K832" s="14" t="inlineStr">
        <is>
          <t>example formula (Claude): check it, or replace it with your own</t>
        </is>
      </c>
    </row>
    <row r="833">
      <c r="A833" s="2" t="n">
        <v>832</v>
      </c>
      <c r="B833" s="2" t="inlineStr">
        <is>
          <t>reports.group.other</t>
        </is>
      </c>
      <c r="C833" s="2" t="inlineStr">
        <is>
          <t>alex</t>
        </is>
      </c>
      <c r="D833" s="2" t="inlineStr">
        <is>
          <t>corolla</t>
        </is>
      </c>
      <c r="E833" s="2" t="inlineStr">
        <is>
          <t>2024</t>
        </is>
      </c>
      <c r="F833" s="2" t="inlineStr">
        <is>
          <t>EUR</t>
        </is>
      </c>
      <c r="G833" s="2" t="inlineStr">
        <is>
          <t>money</t>
        </is>
      </c>
      <c r="H833" s="18">
        <f>ROUND(SUMIFS(Ledger!$E$2:$E$846,Ledger!$A$2:$A$846,"corolla",Ledger!$F$2:$F$846,"2024",Ledger!$C$2:$C$846,"other"),2)</f>
        <v/>
      </c>
      <c r="I833" s="2" t="inlineStr">
        <is>
          <t>spreadsheet</t>
        </is>
      </c>
      <c r="J833" s="2" t="n"/>
      <c r="K833" s="14" t="inlineStr">
        <is>
          <t>example formula (Claude): check it, or replace it with your own</t>
        </is>
      </c>
    </row>
    <row r="834">
      <c r="A834" s="2" t="n">
        <v>833</v>
      </c>
      <c r="B834" s="2" t="inlineStr">
        <is>
          <t>reports.group.total</t>
        </is>
      </c>
      <c r="C834" s="2" t="inlineStr">
        <is>
          <t>alex</t>
        </is>
      </c>
      <c r="D834" s="2" t="inlineStr">
        <is>
          <t>corolla</t>
        </is>
      </c>
      <c r="E834" s="2" t="inlineStr">
        <is>
          <t>2024</t>
        </is>
      </c>
      <c r="F834" s="2" t="inlineStr">
        <is>
          <t>EUR</t>
        </is>
      </c>
      <c r="G834" s="2" t="inlineStr">
        <is>
          <t>money</t>
        </is>
      </c>
      <c r="H834" s="18">
        <f>ROUND(SUMIFS(Ledger!$E$2:$E$846,Ledger!$A$2:$A$846,"corolla",Ledger!$F$2:$F$846,"2024"),2)</f>
        <v/>
      </c>
      <c r="I834" s="2" t="inlineStr">
        <is>
          <t>spreadsheet</t>
        </is>
      </c>
      <c r="J834" s="2" t="n"/>
      <c r="K834" s="14" t="inlineStr">
        <is>
          <t>example formula (Claude): check it, or replace it with your own</t>
        </is>
      </c>
    </row>
    <row r="835">
      <c r="A835" s="2" t="n">
        <v>834</v>
      </c>
      <c r="B835" s="2" t="inlineStr">
        <is>
          <t>reports.group.fuel</t>
        </is>
      </c>
      <c r="C835" s="2" t="inlineStr">
        <is>
          <t>alex</t>
        </is>
      </c>
      <c r="D835" s="2" t="inlineStr">
        <is>
          <t>corolla</t>
        </is>
      </c>
      <c r="E835" s="2" t="inlineStr">
        <is>
          <t>2025</t>
        </is>
      </c>
      <c r="F835" s="2" t="inlineStr">
        <is>
          <t>EUR</t>
        </is>
      </c>
      <c r="G835" s="2" t="inlineStr">
        <is>
          <t>money</t>
        </is>
      </c>
      <c r="H835" s="18">
        <f>ROUND(SUMIFS(Ledger!$E$2:$E$846,Ledger!$A$2:$A$846,"corolla",Ledger!$F$2:$F$846,"2025",Ledger!$C$2:$C$846,"fuel"),2)</f>
        <v/>
      </c>
      <c r="I835" s="2" t="inlineStr">
        <is>
          <t>spreadsheet</t>
        </is>
      </c>
      <c r="J835" s="2" t="n"/>
      <c r="K835" s="14" t="inlineStr">
        <is>
          <t>example formula (Claude): check it, or replace it with your own</t>
        </is>
      </c>
    </row>
    <row r="836">
      <c r="A836" s="2" t="n">
        <v>835</v>
      </c>
      <c r="B836" s="2" t="inlineStr">
        <is>
          <t>reports.group.maintenance</t>
        </is>
      </c>
      <c r="C836" s="2" t="inlineStr">
        <is>
          <t>alex</t>
        </is>
      </c>
      <c r="D836" s="2" t="inlineStr">
        <is>
          <t>corolla</t>
        </is>
      </c>
      <c r="E836" s="2" t="inlineStr">
        <is>
          <t>2025</t>
        </is>
      </c>
      <c r="F836" s="2" t="inlineStr">
        <is>
          <t>EUR</t>
        </is>
      </c>
      <c r="G836" s="2" t="inlineStr">
        <is>
          <t>money</t>
        </is>
      </c>
      <c r="H836" s="18">
        <f>ROUND(SUMIFS(Ledger!$E$2:$E$846,Ledger!$A$2:$A$846,"corolla",Ledger!$F$2:$F$846,"2025",Ledger!$C$2:$C$846,"maintenance"),2)</f>
        <v/>
      </c>
      <c r="I836" s="2" t="inlineStr">
        <is>
          <t>spreadsheet</t>
        </is>
      </c>
      <c r="J836" s="2" t="n"/>
      <c r="K836" s="14" t="inlineStr">
        <is>
          <t>example formula (Claude): check it, or replace it with your own</t>
        </is>
      </c>
    </row>
    <row r="837">
      <c r="A837" s="2" t="n">
        <v>836</v>
      </c>
      <c r="B837" s="2" t="inlineStr">
        <is>
          <t>reports.group.compliance</t>
        </is>
      </c>
      <c r="C837" s="2" t="inlineStr">
        <is>
          <t>alex</t>
        </is>
      </c>
      <c r="D837" s="2" t="inlineStr">
        <is>
          <t>corolla</t>
        </is>
      </c>
      <c r="E837" s="2" t="inlineStr">
        <is>
          <t>2025</t>
        </is>
      </c>
      <c r="F837" s="2" t="inlineStr">
        <is>
          <t>EUR</t>
        </is>
      </c>
      <c r="G837" s="2" t="inlineStr">
        <is>
          <t>money</t>
        </is>
      </c>
      <c r="H837" s="18">
        <f>ROUND(SUMIFS(Ledger!$E$2:$E$846,Ledger!$A$2:$A$846,"corolla",Ledger!$F$2:$F$846,"2025",Ledger!$C$2:$C$846,"compliance"),2)</f>
        <v/>
      </c>
      <c r="I837" s="2" t="inlineStr">
        <is>
          <t>spreadsheet</t>
        </is>
      </c>
      <c r="J837" s="2" t="n"/>
      <c r="K837" s="14" t="inlineStr">
        <is>
          <t>example formula (Claude): check it, or replace it with your own</t>
        </is>
      </c>
    </row>
    <row r="838">
      <c r="A838" s="2" t="n">
        <v>837</v>
      </c>
      <c r="B838" s="2" t="inlineStr">
        <is>
          <t>reports.group.other</t>
        </is>
      </c>
      <c r="C838" s="2" t="inlineStr">
        <is>
          <t>alex</t>
        </is>
      </c>
      <c r="D838" s="2" t="inlineStr">
        <is>
          <t>corolla</t>
        </is>
      </c>
      <c r="E838" s="2" t="inlineStr">
        <is>
          <t>2025</t>
        </is>
      </c>
      <c r="F838" s="2" t="inlineStr">
        <is>
          <t>EUR</t>
        </is>
      </c>
      <c r="G838" s="2" t="inlineStr">
        <is>
          <t>money</t>
        </is>
      </c>
      <c r="H838" s="18">
        <f>ROUND(SUMIFS(Ledger!$E$2:$E$846,Ledger!$A$2:$A$846,"corolla",Ledger!$F$2:$F$846,"2025",Ledger!$C$2:$C$846,"other"),2)</f>
        <v/>
      </c>
      <c r="I838" s="2" t="inlineStr">
        <is>
          <t>spreadsheet</t>
        </is>
      </c>
      <c r="J838" s="2" t="n"/>
      <c r="K838" s="14" t="inlineStr">
        <is>
          <t>example formula (Claude): check it, or replace it with your own</t>
        </is>
      </c>
    </row>
    <row r="839">
      <c r="A839" s="2" t="n">
        <v>838</v>
      </c>
      <c r="B839" s="2" t="inlineStr">
        <is>
          <t>reports.group.total</t>
        </is>
      </c>
      <c r="C839" s="2" t="inlineStr">
        <is>
          <t>alex</t>
        </is>
      </c>
      <c r="D839" s="2" t="inlineStr">
        <is>
          <t>corolla</t>
        </is>
      </c>
      <c r="E839" s="2" t="inlineStr">
        <is>
          <t>2025</t>
        </is>
      </c>
      <c r="F839" s="2" t="inlineStr">
        <is>
          <t>EUR</t>
        </is>
      </c>
      <c r="G839" s="2" t="inlineStr">
        <is>
          <t>money</t>
        </is>
      </c>
      <c r="H839" s="18">
        <f>ROUND(SUMIFS(Ledger!$E$2:$E$846,Ledger!$A$2:$A$846,"corolla",Ledger!$F$2:$F$846,"2025"),2)</f>
        <v/>
      </c>
      <c r="I839" s="2" t="inlineStr">
        <is>
          <t>spreadsheet</t>
        </is>
      </c>
      <c r="J839" s="2" t="n"/>
      <c r="K839" s="14" t="inlineStr">
        <is>
          <t>example formula (Claude): check it, or replace it with your own</t>
        </is>
      </c>
    </row>
    <row r="840">
      <c r="A840" s="2" t="n">
        <v>839</v>
      </c>
      <c r="B840" s="2" t="inlineStr">
        <is>
          <t>reports.group.fuel</t>
        </is>
      </c>
      <c r="C840" s="2" t="inlineStr">
        <is>
          <t>alex</t>
        </is>
      </c>
      <c r="D840" s="2" t="inlineStr">
        <is>
          <t>corolla</t>
        </is>
      </c>
      <c r="E840" s="2" t="inlineStr">
        <is>
          <t>2026</t>
        </is>
      </c>
      <c r="F840" s="2" t="inlineStr">
        <is>
          <t>EUR</t>
        </is>
      </c>
      <c r="G840" s="2" t="inlineStr">
        <is>
          <t>money</t>
        </is>
      </c>
      <c r="H840" s="18">
        <f>ROUND(SUMIFS(Ledger!$E$2:$E$846,Ledger!$A$2:$A$846,"corolla",Ledger!$F$2:$F$846,"2026",Ledger!$C$2:$C$846,"fuel"),2)</f>
        <v/>
      </c>
      <c r="I840" s="2" t="inlineStr">
        <is>
          <t>spreadsheet</t>
        </is>
      </c>
      <c r="J840" s="2" t="n"/>
      <c r="K840" s="14" t="inlineStr">
        <is>
          <t>example formula (Claude): check it, or replace it with your own</t>
        </is>
      </c>
    </row>
    <row r="841">
      <c r="A841" s="2" t="n">
        <v>840</v>
      </c>
      <c r="B841" s="2" t="inlineStr">
        <is>
          <t>reports.group.maintenance</t>
        </is>
      </c>
      <c r="C841" s="2" t="inlineStr">
        <is>
          <t>alex</t>
        </is>
      </c>
      <c r="D841" s="2" t="inlineStr">
        <is>
          <t>corolla</t>
        </is>
      </c>
      <c r="E841" s="2" t="inlineStr">
        <is>
          <t>2026</t>
        </is>
      </c>
      <c r="F841" s="2" t="inlineStr">
        <is>
          <t>EUR</t>
        </is>
      </c>
      <c r="G841" s="2" t="inlineStr">
        <is>
          <t>money</t>
        </is>
      </c>
      <c r="H841" s="18">
        <f>ROUND(SUMIFS(Ledger!$E$2:$E$846,Ledger!$A$2:$A$846,"corolla",Ledger!$F$2:$F$846,"2026",Ledger!$C$2:$C$846,"maintenance"),2)</f>
        <v/>
      </c>
      <c r="I841" s="2" t="inlineStr">
        <is>
          <t>spreadsheet</t>
        </is>
      </c>
      <c r="J841" s="2" t="n"/>
      <c r="K841" s="14" t="inlineStr">
        <is>
          <t>example formula (Claude): check it, or replace it with your own</t>
        </is>
      </c>
    </row>
    <row r="842">
      <c r="A842" s="2" t="n">
        <v>841</v>
      </c>
      <c r="B842" s="2" t="inlineStr">
        <is>
          <t>reports.group.compliance</t>
        </is>
      </c>
      <c r="C842" s="2" t="inlineStr">
        <is>
          <t>alex</t>
        </is>
      </c>
      <c r="D842" s="2" t="inlineStr">
        <is>
          <t>corolla</t>
        </is>
      </c>
      <c r="E842" s="2" t="inlineStr">
        <is>
          <t>2026</t>
        </is>
      </c>
      <c r="F842" s="2" t="inlineStr">
        <is>
          <t>EUR</t>
        </is>
      </c>
      <c r="G842" s="2" t="inlineStr">
        <is>
          <t>money</t>
        </is>
      </c>
      <c r="H842" s="18">
        <f>ROUND(SUMIFS(Ledger!$E$2:$E$846,Ledger!$A$2:$A$846,"corolla",Ledger!$F$2:$F$846,"2026",Ledger!$C$2:$C$846,"compliance"),2)</f>
        <v/>
      </c>
      <c r="I842" s="2" t="inlineStr">
        <is>
          <t>spreadsheet</t>
        </is>
      </c>
      <c r="J842" s="2" t="n"/>
      <c r="K842" s="14" t="inlineStr">
        <is>
          <t>example formula (Claude): check it, or replace it with your own</t>
        </is>
      </c>
    </row>
    <row r="843">
      <c r="A843" s="2" t="n">
        <v>842</v>
      </c>
      <c r="B843" s="2" t="inlineStr">
        <is>
          <t>reports.group.other</t>
        </is>
      </c>
      <c r="C843" s="2" t="inlineStr">
        <is>
          <t>alex</t>
        </is>
      </c>
      <c r="D843" s="2" t="inlineStr">
        <is>
          <t>corolla</t>
        </is>
      </c>
      <c r="E843" s="2" t="inlineStr">
        <is>
          <t>2026</t>
        </is>
      </c>
      <c r="F843" s="2" t="inlineStr">
        <is>
          <t>EUR</t>
        </is>
      </c>
      <c r="G843" s="2" t="inlineStr">
        <is>
          <t>money</t>
        </is>
      </c>
      <c r="H843" s="18">
        <f>ROUND(SUMIFS(Ledger!$E$2:$E$846,Ledger!$A$2:$A$846,"corolla",Ledger!$F$2:$F$846,"2026",Ledger!$C$2:$C$846,"other"),2)</f>
        <v/>
      </c>
      <c r="I843" s="2" t="inlineStr">
        <is>
          <t>spreadsheet</t>
        </is>
      </c>
      <c r="J843" s="2" t="n"/>
      <c r="K843" s="14" t="inlineStr">
        <is>
          <t>example formula (Claude): check it, or replace it with your own</t>
        </is>
      </c>
    </row>
    <row r="844">
      <c r="A844" s="2" t="n">
        <v>843</v>
      </c>
      <c r="B844" s="2" t="inlineStr">
        <is>
          <t>reports.group.total</t>
        </is>
      </c>
      <c r="C844" s="2" t="inlineStr">
        <is>
          <t>alex</t>
        </is>
      </c>
      <c r="D844" s="2" t="inlineStr">
        <is>
          <t>corolla</t>
        </is>
      </c>
      <c r="E844" s="2" t="inlineStr">
        <is>
          <t>2026</t>
        </is>
      </c>
      <c r="F844" s="2" t="inlineStr">
        <is>
          <t>EUR</t>
        </is>
      </c>
      <c r="G844" s="2" t="inlineStr">
        <is>
          <t>money</t>
        </is>
      </c>
      <c r="H844" s="18">
        <f>ROUND(SUMIFS(Ledger!$E$2:$E$846,Ledger!$A$2:$A$846,"corolla",Ledger!$F$2:$F$846,"2026"),2)</f>
        <v/>
      </c>
      <c r="I844" s="2" t="inlineStr">
        <is>
          <t>spreadsheet</t>
        </is>
      </c>
      <c r="J844" s="2" t="n"/>
      <c r="K844" s="14" t="inlineStr">
        <is>
          <t>example formula (Claude): check it, or replace it with your own</t>
        </is>
      </c>
    </row>
    <row r="845">
      <c r="A845" s="2" t="n">
        <v>844</v>
      </c>
      <c r="B845" s="2" t="inlineStr">
        <is>
          <t>reports.cost_per_distance</t>
        </is>
      </c>
      <c r="C845" s="2" t="inlineStr">
        <is>
          <t>alex</t>
        </is>
      </c>
      <c r="D845" s="2" t="inlineStr">
        <is>
          <t>corolla</t>
        </is>
      </c>
      <c r="E845" s="2" t="inlineStr">
        <is>
          <t>all_time</t>
        </is>
      </c>
      <c r="F845" s="2" t="inlineStr">
        <is>
          <t>EUR</t>
        </is>
      </c>
      <c r="G845" s="2" t="inlineStr">
        <is>
          <t>money/mi</t>
        </is>
      </c>
      <c r="H845" s="23" t="n"/>
      <c r="I845" s="2" t="inlineStr">
        <is>
          <t>spreadsheet</t>
        </is>
      </c>
      <c r="J845" s="2" t="n"/>
      <c r="K845" s="14" t="inlineStr">
        <is>
          <t>yours</t>
        </is>
      </c>
    </row>
    <row r="846">
      <c r="A846" s="2" t="n">
        <v>845</v>
      </c>
      <c r="B846" s="2" t="inlineStr">
        <is>
          <t>reports.fleet.total</t>
        </is>
      </c>
      <c r="C846" s="2" t="inlineStr">
        <is>
          <t>alex</t>
        </is>
      </c>
      <c r="D846" s="2" t="inlineStr">
        <is>
          <t>fleet</t>
        </is>
      </c>
      <c r="E846" s="2" t="inlineStr">
        <is>
          <t>2023</t>
        </is>
      </c>
      <c r="F846" s="2" t="inlineStr">
        <is>
          <t>GBP</t>
        </is>
      </c>
      <c r="G846" s="2" t="inlineStr">
        <is>
          <t>money</t>
        </is>
      </c>
      <c r="H846" s="18">
        <f>ROUND(SUMIFS(Ledger!$E$2:$E$846,Ledger!$G$2:$G$846,"GBP",Ledger!$F$2:$F$846,"2023"),2)</f>
        <v/>
      </c>
      <c r="I846" s="2" t="inlineStr">
        <is>
          <t>spreadsheet</t>
        </is>
      </c>
      <c r="J846" s="2" t="n"/>
      <c r="K846" s="14" t="inlineStr">
        <is>
          <t>example formula (Claude): check it, or replace it with your own</t>
        </is>
      </c>
    </row>
    <row r="847">
      <c r="A847" s="2" t="n">
        <v>846</v>
      </c>
      <c r="B847" s="2" t="inlineStr">
        <is>
          <t>reports.fleet.total</t>
        </is>
      </c>
      <c r="C847" s="2" t="inlineStr">
        <is>
          <t>alex</t>
        </is>
      </c>
      <c r="D847" s="2" t="inlineStr">
        <is>
          <t>fleet</t>
        </is>
      </c>
      <c r="E847" s="2" t="inlineStr">
        <is>
          <t>2023</t>
        </is>
      </c>
      <c r="F847" s="2" t="inlineStr">
        <is>
          <t>EUR</t>
        </is>
      </c>
      <c r="G847" s="2" t="inlineStr">
        <is>
          <t>money</t>
        </is>
      </c>
      <c r="H847" s="18">
        <f>ROUND(SUMIFS(Ledger!$E$2:$E$846,Ledger!$G$2:$G$846,"EUR",Ledger!$F$2:$F$846,"2023"),2)</f>
        <v/>
      </c>
      <c r="I847" s="2" t="inlineStr">
        <is>
          <t>spreadsheet</t>
        </is>
      </c>
      <c r="J847" s="2" t="n"/>
      <c r="K847" s="14" t="inlineStr">
        <is>
          <t>example formula (Claude): check it, or replace it with your own</t>
        </is>
      </c>
    </row>
    <row r="848">
      <c r="A848" s="2" t="n">
        <v>847</v>
      </c>
      <c r="B848" s="2" t="inlineStr">
        <is>
          <t>reports.fleet.total</t>
        </is>
      </c>
      <c r="C848" s="2" t="inlineStr">
        <is>
          <t>alex</t>
        </is>
      </c>
      <c r="D848" s="2" t="inlineStr">
        <is>
          <t>fleet</t>
        </is>
      </c>
      <c r="E848" s="2" t="inlineStr">
        <is>
          <t>2024</t>
        </is>
      </c>
      <c r="F848" s="2" t="inlineStr">
        <is>
          <t>GBP</t>
        </is>
      </c>
      <c r="G848" s="2" t="inlineStr">
        <is>
          <t>money</t>
        </is>
      </c>
      <c r="H848" s="18">
        <f>ROUND(SUMIFS(Ledger!$E$2:$E$846,Ledger!$G$2:$G$846,"GBP",Ledger!$F$2:$F$846,"2024"),2)</f>
        <v/>
      </c>
      <c r="I848" s="2" t="inlineStr">
        <is>
          <t>spreadsheet</t>
        </is>
      </c>
      <c r="J848" s="2" t="n"/>
      <c r="K848" s="14" t="inlineStr">
        <is>
          <t>example formula (Claude): check it, or replace it with your own</t>
        </is>
      </c>
    </row>
    <row r="849">
      <c r="A849" s="2" t="n">
        <v>848</v>
      </c>
      <c r="B849" s="2" t="inlineStr">
        <is>
          <t>reports.fleet.total</t>
        </is>
      </c>
      <c r="C849" s="2" t="inlineStr">
        <is>
          <t>alex</t>
        </is>
      </c>
      <c r="D849" s="2" t="inlineStr">
        <is>
          <t>fleet</t>
        </is>
      </c>
      <c r="E849" s="2" t="inlineStr">
        <is>
          <t>2024</t>
        </is>
      </c>
      <c r="F849" s="2" t="inlineStr">
        <is>
          <t>EUR</t>
        </is>
      </c>
      <c r="G849" s="2" t="inlineStr">
        <is>
          <t>money</t>
        </is>
      </c>
      <c r="H849" s="18">
        <f>ROUND(SUMIFS(Ledger!$E$2:$E$846,Ledger!$G$2:$G$846,"EUR",Ledger!$F$2:$F$846,"2024"),2)</f>
        <v/>
      </c>
      <c r="I849" s="2" t="inlineStr">
        <is>
          <t>spreadsheet</t>
        </is>
      </c>
      <c r="J849" s="2" t="n"/>
      <c r="K849" s="14" t="inlineStr">
        <is>
          <t>example formula (Claude): check it, or replace it with your own</t>
        </is>
      </c>
    </row>
    <row r="850">
      <c r="A850" s="2" t="n">
        <v>849</v>
      </c>
      <c r="B850" s="2" t="inlineStr">
        <is>
          <t>reports.fleet.total</t>
        </is>
      </c>
      <c r="C850" s="2" t="inlineStr">
        <is>
          <t>alex</t>
        </is>
      </c>
      <c r="D850" s="2" t="inlineStr">
        <is>
          <t>fleet</t>
        </is>
      </c>
      <c r="E850" s="2" t="inlineStr">
        <is>
          <t>2025</t>
        </is>
      </c>
      <c r="F850" s="2" t="inlineStr">
        <is>
          <t>GBP</t>
        </is>
      </c>
      <c r="G850" s="2" t="inlineStr">
        <is>
          <t>money</t>
        </is>
      </c>
      <c r="H850" s="18">
        <f>ROUND(SUMIFS(Ledger!$E$2:$E$846,Ledger!$G$2:$G$846,"GBP",Ledger!$F$2:$F$846,"2025"),2)</f>
        <v/>
      </c>
      <c r="I850" s="2" t="inlineStr">
        <is>
          <t>spreadsheet</t>
        </is>
      </c>
      <c r="J850" s="2" t="n"/>
      <c r="K850" s="14" t="inlineStr">
        <is>
          <t>example formula (Claude): check it, or replace it with your own</t>
        </is>
      </c>
    </row>
    <row r="851">
      <c r="A851" s="2" t="n">
        <v>850</v>
      </c>
      <c r="B851" s="2" t="inlineStr">
        <is>
          <t>reports.fleet.total</t>
        </is>
      </c>
      <c r="C851" s="2" t="inlineStr">
        <is>
          <t>alex</t>
        </is>
      </c>
      <c r="D851" s="2" t="inlineStr">
        <is>
          <t>fleet</t>
        </is>
      </c>
      <c r="E851" s="2" t="inlineStr">
        <is>
          <t>2025</t>
        </is>
      </c>
      <c r="F851" s="2" t="inlineStr">
        <is>
          <t>EUR</t>
        </is>
      </c>
      <c r="G851" s="2" t="inlineStr">
        <is>
          <t>money</t>
        </is>
      </c>
      <c r="H851" s="18">
        <f>ROUND(SUMIFS(Ledger!$E$2:$E$846,Ledger!$G$2:$G$846,"EUR",Ledger!$F$2:$F$846,"2025"),2)</f>
        <v/>
      </c>
      <c r="I851" s="2" t="inlineStr">
        <is>
          <t>spreadsheet</t>
        </is>
      </c>
      <c r="J851" s="2" t="n"/>
      <c r="K851" s="14" t="inlineStr">
        <is>
          <t>example formula (Claude): check it, or replace it with your own</t>
        </is>
      </c>
    </row>
    <row r="852">
      <c r="A852" s="2" t="n">
        <v>851</v>
      </c>
      <c r="B852" s="2" t="inlineStr">
        <is>
          <t>reports.fleet.total</t>
        </is>
      </c>
      <c r="C852" s="2" t="inlineStr">
        <is>
          <t>alex</t>
        </is>
      </c>
      <c r="D852" s="2" t="inlineStr">
        <is>
          <t>fleet</t>
        </is>
      </c>
      <c r="E852" s="2" t="inlineStr">
        <is>
          <t>2026</t>
        </is>
      </c>
      <c r="F852" s="2" t="inlineStr">
        <is>
          <t>GBP</t>
        </is>
      </c>
      <c r="G852" s="2" t="inlineStr">
        <is>
          <t>money</t>
        </is>
      </c>
      <c r="H852" s="18">
        <f>ROUND(SUMIFS(Ledger!$E$2:$E$846,Ledger!$G$2:$G$846,"GBP",Ledger!$F$2:$F$846,"2026"),2)</f>
        <v/>
      </c>
      <c r="I852" s="2" t="inlineStr">
        <is>
          <t>spreadsheet</t>
        </is>
      </c>
      <c r="J852" s="2" t="n"/>
      <c r="K852" s="14" t="inlineStr">
        <is>
          <t>example formula (Claude): check it, or replace it with your own</t>
        </is>
      </c>
    </row>
    <row r="853">
      <c r="A853" s="2" t="n">
        <v>852</v>
      </c>
      <c r="B853" s="2" t="inlineStr">
        <is>
          <t>reports.fleet.total</t>
        </is>
      </c>
      <c r="C853" s="2" t="inlineStr">
        <is>
          <t>alex</t>
        </is>
      </c>
      <c r="D853" s="2" t="inlineStr">
        <is>
          <t>fleet</t>
        </is>
      </c>
      <c r="E853" s="2" t="inlineStr">
        <is>
          <t>2026</t>
        </is>
      </c>
      <c r="F853" s="2" t="inlineStr">
        <is>
          <t>EUR</t>
        </is>
      </c>
      <c r="G853" s="2" t="inlineStr">
        <is>
          <t>money</t>
        </is>
      </c>
      <c r="H853" s="18">
        <f>ROUND(SUMIFS(Ledger!$E$2:$E$846,Ledger!$G$2:$G$846,"EUR",Ledger!$F$2:$F$846,"2026"),2)</f>
        <v/>
      </c>
      <c r="I853" s="2" t="inlineStr">
        <is>
          <t>spreadsheet</t>
        </is>
      </c>
      <c r="J853" s="2" t="n"/>
      <c r="K853" s="14" t="inlineStr">
        <is>
          <t>example formula (Claude): check it, or replace it with your own</t>
        </is>
      </c>
    </row>
    <row r="854">
      <c r="A854" s="2" t="n">
        <v>853</v>
      </c>
      <c r="B854" s="2" t="inlineStr">
        <is>
          <t>digest.distance</t>
        </is>
      </c>
      <c r="C854" s="2" t="inlineStr">
        <is>
          <t>alex</t>
        </is>
      </c>
      <c r="D854" s="2" t="inlineStr">
        <is>
          <t>golf</t>
        </is>
      </c>
      <c r="E854" s="2" t="inlineStr">
        <is>
          <t>2026-08</t>
        </is>
      </c>
      <c r="F854" s="2" t="n"/>
      <c r="G854" s="2" t="inlineStr">
        <is>
          <t>mi</t>
        </is>
      </c>
      <c r="H854" s="16" t="n"/>
      <c r="I854" s="2" t="inlineStr">
        <is>
          <t>spreadsheet</t>
        </is>
      </c>
      <c r="J854" s="2" t="n"/>
      <c r="K854" s="14" t="inlineStr">
        <is>
          <t>yours</t>
        </is>
      </c>
    </row>
    <row r="855">
      <c r="A855" s="2" t="n">
        <v>854</v>
      </c>
      <c r="B855" s="2" t="inlineStr">
        <is>
          <t>digest.distance_average</t>
        </is>
      </c>
      <c r="C855" s="2" t="inlineStr">
        <is>
          <t>alex</t>
        </is>
      </c>
      <c r="D855" s="2" t="inlineStr">
        <is>
          <t>golf</t>
        </is>
      </c>
      <c r="E855" s="2" t="inlineStr">
        <is>
          <t>2026-08</t>
        </is>
      </c>
      <c r="F855" s="2" t="n"/>
      <c r="G855" s="2" t="inlineStr">
        <is>
          <t>mi</t>
        </is>
      </c>
      <c r="H855" s="16" t="n"/>
      <c r="I855" s="2" t="inlineStr">
        <is>
          <t>spreadsheet</t>
        </is>
      </c>
      <c r="J855" s="2" t="n"/>
      <c r="K855" s="14" t="inlineStr">
        <is>
          <t>yours</t>
        </is>
      </c>
    </row>
    <row r="856">
      <c r="A856" s="2" t="n">
        <v>855</v>
      </c>
      <c r="B856" s="2" t="inlineStr">
        <is>
          <t>digest.spend</t>
        </is>
      </c>
      <c r="C856" s="2" t="inlineStr">
        <is>
          <t>alex</t>
        </is>
      </c>
      <c r="D856" s="2" t="inlineStr">
        <is>
          <t>golf</t>
        </is>
      </c>
      <c r="E856" s="2" t="inlineStr">
        <is>
          <t>2026-08</t>
        </is>
      </c>
      <c r="F856" s="2" t="inlineStr">
        <is>
          <t>GBP</t>
        </is>
      </c>
      <c r="G856" s="2" t="inlineStr">
        <is>
          <t>money</t>
        </is>
      </c>
      <c r="H856" s="13" t="n"/>
      <c r="I856" s="2" t="inlineStr">
        <is>
          <t>spreadsheet</t>
        </is>
      </c>
      <c r="J856" s="2" t="n"/>
      <c r="K856" s="14" t="inlineStr">
        <is>
          <t>yours</t>
        </is>
      </c>
    </row>
    <row r="857">
      <c r="A857" s="2" t="n">
        <v>856</v>
      </c>
      <c r="B857" s="2" t="inlineStr">
        <is>
          <t>digest.spend_average</t>
        </is>
      </c>
      <c r="C857" s="2" t="inlineStr">
        <is>
          <t>alex</t>
        </is>
      </c>
      <c r="D857" s="2" t="inlineStr">
        <is>
          <t>golf</t>
        </is>
      </c>
      <c r="E857" s="2" t="inlineStr">
        <is>
          <t>2026-08</t>
        </is>
      </c>
      <c r="F857" s="2" t="inlineStr">
        <is>
          <t>GBP</t>
        </is>
      </c>
      <c r="G857" s="2" t="inlineStr">
        <is>
          <t>money</t>
        </is>
      </c>
      <c r="H857" s="13" t="n"/>
      <c r="I857" s="2" t="inlineStr">
        <is>
          <t>spreadsheet</t>
        </is>
      </c>
      <c r="J857" s="2" t="n"/>
      <c r="K857" s="14" t="inlineStr">
        <is>
          <t>yours</t>
        </is>
      </c>
    </row>
    <row r="858">
      <c r="A858" s="2" t="n">
        <v>857</v>
      </c>
      <c r="B858" s="2" t="inlineStr">
        <is>
          <t>digest.cost_per_distance</t>
        </is>
      </c>
      <c r="C858" s="2" t="inlineStr">
        <is>
          <t>alex</t>
        </is>
      </c>
      <c r="D858" s="2" t="inlineStr">
        <is>
          <t>golf</t>
        </is>
      </c>
      <c r="E858" s="2" t="inlineStr">
        <is>
          <t>2026-08</t>
        </is>
      </c>
      <c r="F858" s="2" t="inlineStr">
        <is>
          <t>GBP</t>
        </is>
      </c>
      <c r="G858" s="2" t="inlineStr">
        <is>
          <t>money/mi</t>
        </is>
      </c>
      <c r="H858" s="23" t="n"/>
      <c r="I858" s="2" t="inlineStr">
        <is>
          <t>spreadsheet</t>
        </is>
      </c>
      <c r="J858" s="2" t="n"/>
      <c r="K858" s="14" t="inlineStr">
        <is>
          <t>yours</t>
        </is>
      </c>
    </row>
    <row r="859">
      <c r="A859" s="2" t="n">
        <v>858</v>
      </c>
      <c r="B859" s="2" t="inlineStr">
        <is>
          <t>digest.cost_per_distance_average</t>
        </is>
      </c>
      <c r="C859" s="2" t="inlineStr">
        <is>
          <t>alex</t>
        </is>
      </c>
      <c r="D859" s="2" t="inlineStr">
        <is>
          <t>golf</t>
        </is>
      </c>
      <c r="E859" s="2" t="inlineStr">
        <is>
          <t>2026-08</t>
        </is>
      </c>
      <c r="F859" s="2" t="inlineStr">
        <is>
          <t>GBP</t>
        </is>
      </c>
      <c r="G859" s="2" t="inlineStr">
        <is>
          <t>money/mi</t>
        </is>
      </c>
      <c r="H859" s="23" t="n"/>
      <c r="I859" s="2" t="inlineStr">
        <is>
          <t>spreadsheet</t>
        </is>
      </c>
      <c r="J859" s="2" t="n"/>
      <c r="K859" s="14" t="inlineStr">
        <is>
          <t>yours</t>
        </is>
      </c>
    </row>
    <row r="860">
      <c r="A860" s="2" t="n">
        <v>859</v>
      </c>
      <c r="B860" s="2" t="inlineStr">
        <is>
          <t>digest.distance</t>
        </is>
      </c>
      <c r="C860" s="2" t="inlineStr">
        <is>
          <t>alex</t>
        </is>
      </c>
      <c r="D860" s="2" t="inlineStr">
        <is>
          <t>ev</t>
        </is>
      </c>
      <c r="E860" s="2" t="inlineStr">
        <is>
          <t>2026-08</t>
        </is>
      </c>
      <c r="F860" s="2" t="n"/>
      <c r="G860" s="2" t="inlineStr">
        <is>
          <t>mi</t>
        </is>
      </c>
      <c r="H860" s="16" t="n"/>
      <c r="I860" s="2" t="inlineStr">
        <is>
          <t>spreadsheet</t>
        </is>
      </c>
      <c r="J860" s="2" t="n"/>
      <c r="K860" s="14" t="inlineStr">
        <is>
          <t>yours</t>
        </is>
      </c>
    </row>
    <row r="861">
      <c r="A861" s="2" t="n">
        <v>860</v>
      </c>
      <c r="B861" s="2" t="inlineStr">
        <is>
          <t>digest.distance_average</t>
        </is>
      </c>
      <c r="C861" s="2" t="inlineStr">
        <is>
          <t>alex</t>
        </is>
      </c>
      <c r="D861" s="2" t="inlineStr">
        <is>
          <t>ev</t>
        </is>
      </c>
      <c r="E861" s="2" t="inlineStr">
        <is>
          <t>2026-08</t>
        </is>
      </c>
      <c r="F861" s="2" t="n"/>
      <c r="G861" s="2" t="inlineStr">
        <is>
          <t>mi</t>
        </is>
      </c>
      <c r="H861" s="16" t="n"/>
      <c r="I861" s="2" t="inlineStr">
        <is>
          <t>spreadsheet</t>
        </is>
      </c>
      <c r="J861" s="2" t="n"/>
      <c r="K861" s="14" t="inlineStr">
        <is>
          <t>yours</t>
        </is>
      </c>
    </row>
    <row r="862">
      <c r="A862" s="2" t="n">
        <v>861</v>
      </c>
      <c r="B862" s="2" t="inlineStr">
        <is>
          <t>digest.spend</t>
        </is>
      </c>
      <c r="C862" s="2" t="inlineStr">
        <is>
          <t>alex</t>
        </is>
      </c>
      <c r="D862" s="2" t="inlineStr">
        <is>
          <t>ev</t>
        </is>
      </c>
      <c r="E862" s="2" t="inlineStr">
        <is>
          <t>2026-08</t>
        </is>
      </c>
      <c r="F862" s="2" t="inlineStr">
        <is>
          <t>GBP</t>
        </is>
      </c>
      <c r="G862" s="2" t="inlineStr">
        <is>
          <t>money</t>
        </is>
      </c>
      <c r="H862" s="13" t="n"/>
      <c r="I862" s="2" t="inlineStr">
        <is>
          <t>spreadsheet</t>
        </is>
      </c>
      <c r="J862" s="2" t="n"/>
      <c r="K862" s="14" t="inlineStr">
        <is>
          <t>yours</t>
        </is>
      </c>
    </row>
    <row r="863">
      <c r="A863" s="2" t="n">
        <v>862</v>
      </c>
      <c r="B863" s="2" t="inlineStr">
        <is>
          <t>digest.spend_average</t>
        </is>
      </c>
      <c r="C863" s="2" t="inlineStr">
        <is>
          <t>alex</t>
        </is>
      </c>
      <c r="D863" s="2" t="inlineStr">
        <is>
          <t>ev</t>
        </is>
      </c>
      <c r="E863" s="2" t="inlineStr">
        <is>
          <t>2026-08</t>
        </is>
      </c>
      <c r="F863" s="2" t="inlineStr">
        <is>
          <t>GBP</t>
        </is>
      </c>
      <c r="G863" s="2" t="inlineStr">
        <is>
          <t>money</t>
        </is>
      </c>
      <c r="H863" s="13" t="n"/>
      <c r="I863" s="2" t="inlineStr">
        <is>
          <t>spreadsheet</t>
        </is>
      </c>
      <c r="J863" s="2" t="n"/>
      <c r="K863" s="14" t="inlineStr">
        <is>
          <t>yours</t>
        </is>
      </c>
    </row>
    <row r="864">
      <c r="A864" s="2" t="n">
        <v>863</v>
      </c>
      <c r="B864" s="2" t="inlineStr">
        <is>
          <t>digest.cost_per_distance</t>
        </is>
      </c>
      <c r="C864" s="2" t="inlineStr">
        <is>
          <t>alex</t>
        </is>
      </c>
      <c r="D864" s="2" t="inlineStr">
        <is>
          <t>ev</t>
        </is>
      </c>
      <c r="E864" s="2" t="inlineStr">
        <is>
          <t>2026-08</t>
        </is>
      </c>
      <c r="F864" s="2" t="inlineStr">
        <is>
          <t>GBP</t>
        </is>
      </c>
      <c r="G864" s="2" t="inlineStr">
        <is>
          <t>money/mi</t>
        </is>
      </c>
      <c r="H864" s="23" t="n"/>
      <c r="I864" s="2" t="inlineStr">
        <is>
          <t>spreadsheet</t>
        </is>
      </c>
      <c r="J864" s="2" t="n"/>
      <c r="K864" s="14" t="inlineStr">
        <is>
          <t>yours</t>
        </is>
      </c>
    </row>
    <row r="865">
      <c r="A865" s="2" t="n">
        <v>864</v>
      </c>
      <c r="B865" s="2" t="inlineStr">
        <is>
          <t>digest.cost_per_distance_average</t>
        </is>
      </c>
      <c r="C865" s="2" t="inlineStr">
        <is>
          <t>alex</t>
        </is>
      </c>
      <c r="D865" s="2" t="inlineStr">
        <is>
          <t>ev</t>
        </is>
      </c>
      <c r="E865" s="2" t="inlineStr">
        <is>
          <t>2026-08</t>
        </is>
      </c>
      <c r="F865" s="2" t="inlineStr">
        <is>
          <t>GBP</t>
        </is>
      </c>
      <c r="G865" s="2" t="inlineStr">
        <is>
          <t>money/mi</t>
        </is>
      </c>
      <c r="H865" s="23" t="n"/>
      <c r="I865" s="2" t="inlineStr">
        <is>
          <t>spreadsheet</t>
        </is>
      </c>
      <c r="J865" s="2" t="n"/>
      <c r="K865" s="14" t="inlineStr">
        <is>
          <t>yours</t>
        </is>
      </c>
    </row>
    <row r="866">
      <c r="A866" s="2" t="n">
        <v>865</v>
      </c>
      <c r="B866" s="2" t="inlineStr">
        <is>
          <t>digest.distance</t>
        </is>
      </c>
      <c r="C866" s="2" t="inlineStr">
        <is>
          <t>alex</t>
        </is>
      </c>
      <c r="D866" s="2" t="inlineStr">
        <is>
          <t>focus</t>
        </is>
      </c>
      <c r="E866" s="2" t="inlineStr">
        <is>
          <t>2026-08</t>
        </is>
      </c>
      <c r="F866" s="2" t="n"/>
      <c r="G866" s="2" t="inlineStr">
        <is>
          <t>mi</t>
        </is>
      </c>
      <c r="H866" s="16" t="n"/>
      <c r="I866" s="2" t="inlineStr">
        <is>
          <t>spreadsheet</t>
        </is>
      </c>
      <c r="J866" s="2" t="n"/>
      <c r="K866" s="14" t="inlineStr">
        <is>
          <t>yours</t>
        </is>
      </c>
    </row>
    <row r="867">
      <c r="A867" s="2" t="n">
        <v>866</v>
      </c>
      <c r="B867" s="2" t="inlineStr">
        <is>
          <t>digest.distance_average</t>
        </is>
      </c>
      <c r="C867" s="2" t="inlineStr">
        <is>
          <t>alex</t>
        </is>
      </c>
      <c r="D867" s="2" t="inlineStr">
        <is>
          <t>focus</t>
        </is>
      </c>
      <c r="E867" s="2" t="inlineStr">
        <is>
          <t>2026-08</t>
        </is>
      </c>
      <c r="F867" s="2" t="n"/>
      <c r="G867" s="2" t="inlineStr">
        <is>
          <t>mi</t>
        </is>
      </c>
      <c r="H867" s="16" t="n"/>
      <c r="I867" s="2" t="inlineStr">
        <is>
          <t>spreadsheet</t>
        </is>
      </c>
      <c r="J867" s="2" t="n"/>
      <c r="K867" s="14" t="inlineStr">
        <is>
          <t>yours</t>
        </is>
      </c>
    </row>
    <row r="868">
      <c r="A868" s="2" t="n">
        <v>867</v>
      </c>
      <c r="B868" s="2" t="inlineStr">
        <is>
          <t>digest.spend</t>
        </is>
      </c>
      <c r="C868" s="2" t="inlineStr">
        <is>
          <t>alex</t>
        </is>
      </c>
      <c r="D868" s="2" t="inlineStr">
        <is>
          <t>focus</t>
        </is>
      </c>
      <c r="E868" s="2" t="inlineStr">
        <is>
          <t>2026-08</t>
        </is>
      </c>
      <c r="F868" s="2" t="inlineStr">
        <is>
          <t>GBP</t>
        </is>
      </c>
      <c r="G868" s="2" t="inlineStr">
        <is>
          <t>money</t>
        </is>
      </c>
      <c r="H868" s="13" t="n"/>
      <c r="I868" s="2" t="inlineStr">
        <is>
          <t>spreadsheet</t>
        </is>
      </c>
      <c r="J868" s="2" t="n"/>
      <c r="K868" s="14" t="inlineStr">
        <is>
          <t>yours</t>
        </is>
      </c>
    </row>
    <row r="869">
      <c r="A869" s="2" t="n">
        <v>868</v>
      </c>
      <c r="B869" s="2" t="inlineStr">
        <is>
          <t>digest.spend_average</t>
        </is>
      </c>
      <c r="C869" s="2" t="inlineStr">
        <is>
          <t>alex</t>
        </is>
      </c>
      <c r="D869" s="2" t="inlineStr">
        <is>
          <t>focus</t>
        </is>
      </c>
      <c r="E869" s="2" t="inlineStr">
        <is>
          <t>2026-08</t>
        </is>
      </c>
      <c r="F869" s="2" t="inlineStr">
        <is>
          <t>GBP</t>
        </is>
      </c>
      <c r="G869" s="2" t="inlineStr">
        <is>
          <t>money</t>
        </is>
      </c>
      <c r="H869" s="13" t="n"/>
      <c r="I869" s="2" t="inlineStr">
        <is>
          <t>spreadsheet</t>
        </is>
      </c>
      <c r="J869" s="2" t="n"/>
      <c r="K869" s="14" t="inlineStr">
        <is>
          <t>yours</t>
        </is>
      </c>
    </row>
    <row r="870">
      <c r="A870" s="2" t="n">
        <v>869</v>
      </c>
      <c r="B870" s="2" t="inlineStr">
        <is>
          <t>digest.cost_per_distance</t>
        </is>
      </c>
      <c r="C870" s="2" t="inlineStr">
        <is>
          <t>alex</t>
        </is>
      </c>
      <c r="D870" s="2" t="inlineStr">
        <is>
          <t>focus</t>
        </is>
      </c>
      <c r="E870" s="2" t="inlineStr">
        <is>
          <t>2026-08</t>
        </is>
      </c>
      <c r="F870" s="2" t="inlineStr">
        <is>
          <t>GBP</t>
        </is>
      </c>
      <c r="G870" s="2" t="inlineStr">
        <is>
          <t>money/mi</t>
        </is>
      </c>
      <c r="H870" s="23" t="n"/>
      <c r="I870" s="2" t="inlineStr">
        <is>
          <t>spreadsheet</t>
        </is>
      </c>
      <c r="J870" s="2" t="n"/>
      <c r="K870" s="14" t="inlineStr">
        <is>
          <t>yours</t>
        </is>
      </c>
    </row>
    <row r="871">
      <c r="A871" s="2" t="n">
        <v>870</v>
      </c>
      <c r="B871" s="2" t="inlineStr">
        <is>
          <t>digest.cost_per_distance_average</t>
        </is>
      </c>
      <c r="C871" s="2" t="inlineStr">
        <is>
          <t>alex</t>
        </is>
      </c>
      <c r="D871" s="2" t="inlineStr">
        <is>
          <t>focus</t>
        </is>
      </c>
      <c r="E871" s="2" t="inlineStr">
        <is>
          <t>2026-08</t>
        </is>
      </c>
      <c r="F871" s="2" t="inlineStr">
        <is>
          <t>GBP</t>
        </is>
      </c>
      <c r="G871" s="2" t="inlineStr">
        <is>
          <t>money/mi</t>
        </is>
      </c>
      <c r="H871" s="23" t="n"/>
      <c r="I871" s="2" t="inlineStr">
        <is>
          <t>spreadsheet</t>
        </is>
      </c>
      <c r="J871" s="2" t="n"/>
      <c r="K871" s="14" t="inlineStr">
        <is>
          <t>yours</t>
        </is>
      </c>
    </row>
    <row r="872">
      <c r="A872" s="2" t="n">
        <v>871</v>
      </c>
      <c r="B872" s="2" t="inlineStr">
        <is>
          <t>digest.distance</t>
        </is>
      </c>
      <c r="C872" s="2" t="inlineStr">
        <is>
          <t>alex</t>
        </is>
      </c>
      <c r="D872" s="2" t="inlineStr">
        <is>
          <t>corolla</t>
        </is>
      </c>
      <c r="E872" s="2" t="inlineStr">
        <is>
          <t>2026-08</t>
        </is>
      </c>
      <c r="F872" s="2" t="n"/>
      <c r="G872" s="2" t="inlineStr">
        <is>
          <t>mi</t>
        </is>
      </c>
      <c r="H872" s="16" t="n"/>
      <c r="I872" s="2" t="inlineStr">
        <is>
          <t>spreadsheet</t>
        </is>
      </c>
      <c r="J872" s="2" t="n"/>
      <c r="K872" s="14" t="inlineStr">
        <is>
          <t>yours</t>
        </is>
      </c>
    </row>
    <row r="873">
      <c r="A873" s="2" t="n">
        <v>872</v>
      </c>
      <c r="B873" s="2" t="inlineStr">
        <is>
          <t>digest.distance_average</t>
        </is>
      </c>
      <c r="C873" s="2" t="inlineStr">
        <is>
          <t>alex</t>
        </is>
      </c>
      <c r="D873" s="2" t="inlineStr">
        <is>
          <t>corolla</t>
        </is>
      </c>
      <c r="E873" s="2" t="inlineStr">
        <is>
          <t>2026-08</t>
        </is>
      </c>
      <c r="F873" s="2" t="n"/>
      <c r="G873" s="2" t="inlineStr">
        <is>
          <t>mi</t>
        </is>
      </c>
      <c r="H873" s="16" t="n"/>
      <c r="I873" s="2" t="inlineStr">
        <is>
          <t>spreadsheet</t>
        </is>
      </c>
      <c r="J873" s="2" t="n"/>
      <c r="K873" s="14" t="inlineStr">
        <is>
          <t>yours</t>
        </is>
      </c>
    </row>
    <row r="874">
      <c r="A874" s="2" t="n">
        <v>873</v>
      </c>
      <c r="B874" s="2" t="inlineStr">
        <is>
          <t>digest.spend</t>
        </is>
      </c>
      <c r="C874" s="2" t="inlineStr">
        <is>
          <t>alex</t>
        </is>
      </c>
      <c r="D874" s="2" t="inlineStr">
        <is>
          <t>corolla</t>
        </is>
      </c>
      <c r="E874" s="2" t="inlineStr">
        <is>
          <t>2026-08</t>
        </is>
      </c>
      <c r="F874" s="2" t="inlineStr">
        <is>
          <t>EUR</t>
        </is>
      </c>
      <c r="G874" s="2" t="inlineStr">
        <is>
          <t>money</t>
        </is>
      </c>
      <c r="H874" s="13" t="n"/>
      <c r="I874" s="2" t="inlineStr">
        <is>
          <t>spreadsheet</t>
        </is>
      </c>
      <c r="J874" s="2" t="n"/>
      <c r="K874" s="14" t="inlineStr">
        <is>
          <t>yours</t>
        </is>
      </c>
    </row>
    <row r="875">
      <c r="A875" s="2" t="n">
        <v>874</v>
      </c>
      <c r="B875" s="2" t="inlineStr">
        <is>
          <t>digest.spend_average</t>
        </is>
      </c>
      <c r="C875" s="2" t="inlineStr">
        <is>
          <t>alex</t>
        </is>
      </c>
      <c r="D875" s="2" t="inlineStr">
        <is>
          <t>corolla</t>
        </is>
      </c>
      <c r="E875" s="2" t="inlineStr">
        <is>
          <t>2026-08</t>
        </is>
      </c>
      <c r="F875" s="2" t="inlineStr">
        <is>
          <t>EUR</t>
        </is>
      </c>
      <c r="G875" s="2" t="inlineStr">
        <is>
          <t>money</t>
        </is>
      </c>
      <c r="H875" s="13" t="n"/>
      <c r="I875" s="2" t="inlineStr">
        <is>
          <t>spreadsheet</t>
        </is>
      </c>
      <c r="J875" s="2" t="n"/>
      <c r="K875" s="14" t="inlineStr">
        <is>
          <t>yours</t>
        </is>
      </c>
    </row>
    <row r="876">
      <c r="A876" s="2" t="n">
        <v>875</v>
      </c>
      <c r="B876" s="2" t="inlineStr">
        <is>
          <t>digest.cost_per_distance</t>
        </is>
      </c>
      <c r="C876" s="2" t="inlineStr">
        <is>
          <t>alex</t>
        </is>
      </c>
      <c r="D876" s="2" t="inlineStr">
        <is>
          <t>corolla</t>
        </is>
      </c>
      <c r="E876" s="2" t="inlineStr">
        <is>
          <t>2026-08</t>
        </is>
      </c>
      <c r="F876" s="2" t="inlineStr">
        <is>
          <t>EUR</t>
        </is>
      </c>
      <c r="G876" s="2" t="inlineStr">
        <is>
          <t>money/mi</t>
        </is>
      </c>
      <c r="H876" s="23" t="n"/>
      <c r="I876" s="2" t="inlineStr">
        <is>
          <t>spreadsheet</t>
        </is>
      </c>
      <c r="J876" s="2" t="n"/>
      <c r="K876" s="14" t="inlineStr">
        <is>
          <t>yours</t>
        </is>
      </c>
    </row>
    <row r="877">
      <c r="A877" s="2" t="n">
        <v>876</v>
      </c>
      <c r="B877" s="2" t="inlineStr">
        <is>
          <t>digest.cost_per_distance_average</t>
        </is>
      </c>
      <c r="C877" s="2" t="inlineStr">
        <is>
          <t>alex</t>
        </is>
      </c>
      <c r="D877" s="2" t="inlineStr">
        <is>
          <t>corolla</t>
        </is>
      </c>
      <c r="E877" s="2" t="inlineStr">
        <is>
          <t>2026-08</t>
        </is>
      </c>
      <c r="F877" s="2" t="inlineStr">
        <is>
          <t>EUR</t>
        </is>
      </c>
      <c r="G877" s="2" t="inlineStr">
        <is>
          <t>money/mi</t>
        </is>
      </c>
      <c r="H877" s="23" t="n"/>
      <c r="I877" s="2" t="inlineStr">
        <is>
          <t>spreadsheet</t>
        </is>
      </c>
      <c r="J877" s="2" t="n"/>
      <c r="K877" s="14" t="inlineStr">
        <is>
          <t>yours</t>
        </is>
      </c>
    </row>
    <row r="878">
      <c r="A878" s="2" t="n">
        <v>877</v>
      </c>
      <c r="B878" s="2" t="inlineStr">
        <is>
          <t>digest.fleet.distance</t>
        </is>
      </c>
      <c r="C878" s="2" t="inlineStr">
        <is>
          <t>alex</t>
        </is>
      </c>
      <c r="D878" s="2" t="inlineStr">
        <is>
          <t>fleet</t>
        </is>
      </c>
      <c r="E878" s="2" t="inlineStr">
        <is>
          <t>2026-08</t>
        </is>
      </c>
      <c r="F878" s="2" t="n"/>
      <c r="G878" s="2" t="inlineStr">
        <is>
          <t>mi</t>
        </is>
      </c>
      <c r="H878" s="16" t="n"/>
      <c r="I878" s="2" t="inlineStr">
        <is>
          <t>spreadsheet</t>
        </is>
      </c>
      <c r="J878" s="2" t="n"/>
      <c r="K878" s="14" t="inlineStr">
        <is>
          <t>yours</t>
        </is>
      </c>
    </row>
    <row r="879">
      <c r="A879" s="2" t="n">
        <v>878</v>
      </c>
      <c r="B879" s="2" t="inlineStr">
        <is>
          <t>digest.fleet.spend</t>
        </is>
      </c>
      <c r="C879" s="2" t="inlineStr">
        <is>
          <t>alex</t>
        </is>
      </c>
      <c r="D879" s="2" t="inlineStr">
        <is>
          <t>fleet</t>
        </is>
      </c>
      <c r="E879" s="2" t="inlineStr">
        <is>
          <t>2026-08</t>
        </is>
      </c>
      <c r="F879" s="2" t="inlineStr">
        <is>
          <t>GBP</t>
        </is>
      </c>
      <c r="G879" s="2" t="inlineStr">
        <is>
          <t>money</t>
        </is>
      </c>
      <c r="H879" s="13" t="n"/>
      <c r="I879" s="2" t="inlineStr">
        <is>
          <t>spreadsheet</t>
        </is>
      </c>
      <c r="J879" s="2" t="n"/>
      <c r="K879" s="14" t="inlineStr">
        <is>
          <t>yours</t>
        </is>
      </c>
    </row>
    <row r="880">
      <c r="A880" s="2" t="n">
        <v>879</v>
      </c>
      <c r="B880" s="2" t="inlineStr">
        <is>
          <t>digest.fleet.spend</t>
        </is>
      </c>
      <c r="C880" s="2" t="inlineStr">
        <is>
          <t>alex</t>
        </is>
      </c>
      <c r="D880" s="2" t="inlineStr">
        <is>
          <t>fleet</t>
        </is>
      </c>
      <c r="E880" s="2" t="inlineStr">
        <is>
          <t>2026-08</t>
        </is>
      </c>
      <c r="F880" s="2" t="inlineStr">
        <is>
          <t>EUR</t>
        </is>
      </c>
      <c r="G880" s="2" t="inlineStr">
        <is>
          <t>money</t>
        </is>
      </c>
      <c r="H880" s="13" t="n"/>
      <c r="I880" s="2" t="inlineStr">
        <is>
          <t>spreadsheet</t>
        </is>
      </c>
      <c r="J880" s="2" t="n"/>
      <c r="K880" s="14" t="inlineStr">
        <is>
          <t>yours</t>
        </is>
      </c>
    </row>
    <row r="881">
      <c r="A881" s="2" t="n">
        <v>880</v>
      </c>
      <c r="B881" s="2" t="inlineStr">
        <is>
          <t>digest.distance</t>
        </is>
      </c>
      <c r="C881" s="2" t="inlineStr">
        <is>
          <t>sam</t>
        </is>
      </c>
      <c r="D881" s="2" t="inlineStr">
        <is>
          <t>golf</t>
        </is>
      </c>
      <c r="E881" s="2" t="inlineStr">
        <is>
          <t>2026-08</t>
        </is>
      </c>
      <c r="F881" s="2" t="n"/>
      <c r="G881" s="2" t="inlineStr">
        <is>
          <t>km</t>
        </is>
      </c>
      <c r="H881" s="16" t="n"/>
      <c r="I881" s="2" t="inlineStr">
        <is>
          <t>spreadsheet</t>
        </is>
      </c>
      <c r="J881" s="2" t="n"/>
      <c r="K881" s="14" t="inlineStr">
        <is>
          <t>yours</t>
        </is>
      </c>
    </row>
    <row r="882">
      <c r="A882" s="2" t="n">
        <v>881</v>
      </c>
      <c r="B882" s="2" t="inlineStr">
        <is>
          <t>digest.distance_average</t>
        </is>
      </c>
      <c r="C882" s="2" t="inlineStr">
        <is>
          <t>sam</t>
        </is>
      </c>
      <c r="D882" s="2" t="inlineStr">
        <is>
          <t>golf</t>
        </is>
      </c>
      <c r="E882" s="2" t="inlineStr">
        <is>
          <t>2026-08</t>
        </is>
      </c>
      <c r="F882" s="2" t="n"/>
      <c r="G882" s="2" t="inlineStr">
        <is>
          <t>km</t>
        </is>
      </c>
      <c r="H882" s="16" t="n"/>
      <c r="I882" s="2" t="inlineStr">
        <is>
          <t>spreadsheet</t>
        </is>
      </c>
      <c r="J882" s="2" t="n"/>
      <c r="K882" s="14" t="inlineStr">
        <is>
          <t>yours</t>
        </is>
      </c>
    </row>
    <row r="883">
      <c r="A883" s="2" t="n">
        <v>882</v>
      </c>
      <c r="B883" s="2" t="inlineStr">
        <is>
          <t>digest.distance</t>
        </is>
      </c>
      <c r="C883" s="2" t="inlineStr">
        <is>
          <t>sam</t>
        </is>
      </c>
      <c r="D883" s="2" t="inlineStr">
        <is>
          <t>corolla</t>
        </is>
      </c>
      <c r="E883" s="2" t="inlineStr">
        <is>
          <t>2026-08</t>
        </is>
      </c>
      <c r="F883" s="2" t="n"/>
      <c r="G883" s="2" t="inlineStr">
        <is>
          <t>km</t>
        </is>
      </c>
      <c r="H883" s="16" t="n"/>
      <c r="I883" s="2" t="inlineStr">
        <is>
          <t>spreadsheet</t>
        </is>
      </c>
      <c r="J883" s="2" t="n"/>
      <c r="K883" s="14" t="inlineStr">
        <is>
          <t>yours</t>
        </is>
      </c>
    </row>
    <row r="884">
      <c r="A884" s="2" t="n">
        <v>883</v>
      </c>
      <c r="B884" s="2" t="inlineStr">
        <is>
          <t>digest.distance_average</t>
        </is>
      </c>
      <c r="C884" s="2" t="inlineStr">
        <is>
          <t>sam</t>
        </is>
      </c>
      <c r="D884" s="2" t="inlineStr">
        <is>
          <t>corolla</t>
        </is>
      </c>
      <c r="E884" s="2" t="inlineStr">
        <is>
          <t>2026-08</t>
        </is>
      </c>
      <c r="F884" s="2" t="n"/>
      <c r="G884" s="2" t="inlineStr">
        <is>
          <t>km</t>
        </is>
      </c>
      <c r="H884" s="16" t="n"/>
      <c r="I884" s="2" t="inlineStr">
        <is>
          <t>spreadsheet</t>
        </is>
      </c>
      <c r="J884" s="2" t="n"/>
      <c r="K884" s="14" t="inlineStr">
        <is>
          <t>yours</t>
        </is>
      </c>
    </row>
    <row r="885">
      <c r="A885" s="2" t="n">
        <v>884</v>
      </c>
      <c r="B885" s="2" t="inlineStr">
        <is>
          <t>digest.spend</t>
        </is>
      </c>
      <c r="C885" s="2" t="inlineStr">
        <is>
          <t>sam</t>
        </is>
      </c>
      <c r="D885" s="2" t="inlineStr">
        <is>
          <t>corolla</t>
        </is>
      </c>
      <c r="E885" s="2" t="inlineStr">
        <is>
          <t>2026-08</t>
        </is>
      </c>
      <c r="F885" s="2" t="inlineStr">
        <is>
          <t>EUR</t>
        </is>
      </c>
      <c r="G885" s="2" t="inlineStr">
        <is>
          <t>money</t>
        </is>
      </c>
      <c r="H885" s="13" t="n"/>
      <c r="I885" s="2" t="inlineStr">
        <is>
          <t>spreadsheet</t>
        </is>
      </c>
      <c r="J885" s="2" t="n"/>
      <c r="K885" s="14" t="inlineStr">
        <is>
          <t>yours</t>
        </is>
      </c>
    </row>
    <row r="886">
      <c r="A886" s="2" t="n">
        <v>885</v>
      </c>
      <c r="B886" s="2" t="inlineStr">
        <is>
          <t>digest.spend_average</t>
        </is>
      </c>
      <c r="C886" s="2" t="inlineStr">
        <is>
          <t>sam</t>
        </is>
      </c>
      <c r="D886" s="2" t="inlineStr">
        <is>
          <t>corolla</t>
        </is>
      </c>
      <c r="E886" s="2" t="inlineStr">
        <is>
          <t>2026-08</t>
        </is>
      </c>
      <c r="F886" s="2" t="inlineStr">
        <is>
          <t>EUR</t>
        </is>
      </c>
      <c r="G886" s="2" t="inlineStr">
        <is>
          <t>money</t>
        </is>
      </c>
      <c r="H886" s="13" t="n"/>
      <c r="I886" s="2" t="inlineStr">
        <is>
          <t>spreadsheet</t>
        </is>
      </c>
      <c r="J886" s="2" t="n"/>
      <c r="K886" s="14" t="inlineStr">
        <is>
          <t>yours</t>
        </is>
      </c>
    </row>
    <row r="887">
      <c r="A887" s="2" t="n">
        <v>886</v>
      </c>
      <c r="B887" s="2" t="inlineStr">
        <is>
          <t>digest.cost_per_distance</t>
        </is>
      </c>
      <c r="C887" s="2" t="inlineStr">
        <is>
          <t>sam</t>
        </is>
      </c>
      <c r="D887" s="2" t="inlineStr">
        <is>
          <t>corolla</t>
        </is>
      </c>
      <c r="E887" s="2" t="inlineStr">
        <is>
          <t>2026-08</t>
        </is>
      </c>
      <c r="F887" s="2" t="inlineStr">
        <is>
          <t>EUR</t>
        </is>
      </c>
      <c r="G887" s="2" t="inlineStr">
        <is>
          <t>money/km</t>
        </is>
      </c>
      <c r="H887" s="23" t="n"/>
      <c r="I887" s="2" t="inlineStr">
        <is>
          <t>spreadsheet</t>
        </is>
      </c>
      <c r="J887" s="2" t="n"/>
      <c r="K887" s="14" t="inlineStr">
        <is>
          <t>yours</t>
        </is>
      </c>
    </row>
    <row r="888">
      <c r="A888" s="2" t="n">
        <v>887</v>
      </c>
      <c r="B888" s="2" t="inlineStr">
        <is>
          <t>digest.cost_per_distance_average</t>
        </is>
      </c>
      <c r="C888" s="2" t="inlineStr">
        <is>
          <t>sam</t>
        </is>
      </c>
      <c r="D888" s="2" t="inlineStr">
        <is>
          <t>corolla</t>
        </is>
      </c>
      <c r="E888" s="2" t="inlineStr">
        <is>
          <t>2026-08</t>
        </is>
      </c>
      <c r="F888" s="2" t="inlineStr">
        <is>
          <t>EUR</t>
        </is>
      </c>
      <c r="G888" s="2" t="inlineStr">
        <is>
          <t>money/km</t>
        </is>
      </c>
      <c r="H888" s="23" t="n"/>
      <c r="I888" s="2" t="inlineStr">
        <is>
          <t>spreadsheet</t>
        </is>
      </c>
      <c r="J888" s="2" t="n"/>
      <c r="K888" s="14" t="inlineStr">
        <is>
          <t>yours</t>
        </is>
      </c>
    </row>
    <row r="889">
      <c r="A889" s="2" t="n">
        <v>888</v>
      </c>
      <c r="B889" s="2" t="inlineStr">
        <is>
          <t>digest.fleet.distance</t>
        </is>
      </c>
      <c r="C889" s="2" t="inlineStr">
        <is>
          <t>sam</t>
        </is>
      </c>
      <c r="D889" s="2" t="inlineStr">
        <is>
          <t>fleet</t>
        </is>
      </c>
      <c r="E889" s="2" t="inlineStr">
        <is>
          <t>2026-08</t>
        </is>
      </c>
      <c r="F889" s="2" t="n"/>
      <c r="G889" s="2" t="inlineStr">
        <is>
          <t>km</t>
        </is>
      </c>
      <c r="H889" s="16" t="n"/>
      <c r="I889" s="2" t="inlineStr">
        <is>
          <t>spreadsheet</t>
        </is>
      </c>
      <c r="J889" s="2" t="n"/>
      <c r="K889" s="14" t="inlineStr">
        <is>
          <t>yours</t>
        </is>
      </c>
    </row>
    <row r="890">
      <c r="A890" s="2" t="n">
        <v>889</v>
      </c>
      <c r="B890" s="2" t="inlineStr">
        <is>
          <t>digest.fleet.spend</t>
        </is>
      </c>
      <c r="C890" s="2" t="inlineStr">
        <is>
          <t>sam</t>
        </is>
      </c>
      <c r="D890" s="2" t="inlineStr">
        <is>
          <t>fleet</t>
        </is>
      </c>
      <c r="E890" s="2" t="inlineStr">
        <is>
          <t>2026-08</t>
        </is>
      </c>
      <c r="F890" s="2" t="inlineStr">
        <is>
          <t>EUR</t>
        </is>
      </c>
      <c r="G890" s="2" t="inlineStr">
        <is>
          <t>money</t>
        </is>
      </c>
      <c r="H890" s="13" t="n"/>
      <c r="I890" s="2" t="inlineStr">
        <is>
          <t>spreadsheet</t>
        </is>
      </c>
      <c r="J890" s="2" t="n"/>
      <c r="K890" s="14" t="inlineStr">
        <is>
          <t>yours</t>
        </is>
      </c>
    </row>
    <row r="891">
      <c r="A891" s="2" t="n">
        <v>890</v>
      </c>
      <c r="B891" s="2" t="inlineStr">
        <is>
          <t>hidden.golf_costs</t>
        </is>
      </c>
      <c r="C891" s="2" t="inlineStr">
        <is>
          <t>sam</t>
        </is>
      </c>
      <c r="D891" s="2" t="inlineStr">
        <is>
          <t>golf</t>
        </is>
      </c>
      <c r="E891" s="2" t="inlineStr">
        <is>
          <t>all</t>
        </is>
      </c>
      <c r="F891" s="2" t="n"/>
      <c r="G891" s="2" t="inlineStr">
        <is>
          <t>none</t>
        </is>
      </c>
      <c r="H891" s="6" t="n"/>
      <c r="I891" s="2" t="inlineStr">
        <is>
          <t>spreadsheet</t>
        </is>
      </c>
      <c r="J891" s="2" t="inlineStr">
        <is>
          <t>Sam gets no amount for the Golf</t>
        </is>
      </c>
      <c r="K891" s="14" t="inlineStr">
        <is>
          <t>yours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3" customWidth="1" min="7" max="7"/>
    <col width="16" customWidth="1" min="8" max="8"/>
    <col width="12" customWidth="1" min="9" max="9"/>
    <col width="23" customWidth="1" min="10" max="10"/>
    <col width="17" customWidth="1" min="11" max="11"/>
    <col width="18" customWidth="1" min="12" max="12"/>
    <col width="13" customWidth="1" min="13" max="13"/>
    <col width="14" customWidth="1" min="14" max="14"/>
  </cols>
  <sheetData>
    <row r="1">
      <c r="A1" s="7" t="inlineStr">
        <is>
          <t>vehicle</t>
        </is>
      </c>
      <c r="B1" s="7" t="inlineStr">
        <is>
          <t>owner</t>
        </is>
      </c>
      <c r="C1" s="7" t="inlineStr">
        <is>
          <t>type</t>
        </is>
      </c>
      <c r="D1" s="7" t="inlineStr">
        <is>
          <t>make</t>
        </is>
      </c>
      <c r="E1" s="7" t="inlineStr">
        <is>
          <t>model</t>
        </is>
      </c>
      <c r="F1" s="7" t="inlineStr">
        <is>
          <t>variant</t>
        </is>
      </c>
      <c r="G1" s="7" t="inlineStr">
        <is>
          <t>fuel_type</t>
        </is>
      </c>
      <c r="H1" s="7" t="inlineStr">
        <is>
          <t>registration</t>
        </is>
      </c>
      <c r="I1" s="7" t="inlineStr">
        <is>
          <t>currency</t>
        </is>
      </c>
      <c r="J1" s="7" t="inlineStr">
        <is>
          <t>first_registered_on</t>
        </is>
      </c>
      <c r="K1" s="7" t="inlineStr">
        <is>
          <t>purchase_date</t>
        </is>
      </c>
      <c r="L1" s="7" t="inlineStr">
        <is>
          <t>purchase_price</t>
        </is>
      </c>
      <c r="M1" s="7" t="inlineStr">
        <is>
          <t>sale_date</t>
        </is>
      </c>
      <c r="N1" s="7" t="inlineStr">
        <is>
          <t>sale_price</t>
        </is>
      </c>
    </row>
    <row r="2">
      <c r="A2" s="4" t="inlineStr">
        <is>
          <t>corolla</t>
        </is>
      </c>
      <c r="B2" s="4" t="inlineStr">
        <is>
          <t>sam</t>
        </is>
      </c>
      <c r="C2" s="4" t="inlineStr">
        <is>
          <t>car</t>
        </is>
      </c>
      <c r="D2" s="4" t="inlineStr">
        <is>
          <t>Toyota</t>
        </is>
      </c>
      <c r="E2" s="4" t="inlineStr">
        <is>
          <t>Corolla</t>
        </is>
      </c>
      <c r="F2" s="4" t="inlineStr">
        <is>
          <t>1.8 Hybrid Luna</t>
        </is>
      </c>
      <c r="G2" s="4" t="inlineStr">
        <is>
          <t>hybrid</t>
        </is>
      </c>
      <c r="H2" s="4" t="inlineStr">
        <is>
          <t>211-D-48213</t>
        </is>
      </c>
      <c r="I2" s="4" t="inlineStr">
        <is>
          <t>EUR</t>
        </is>
      </c>
      <c r="J2" s="4" t="inlineStr">
        <is>
          <t>2021-02-11</t>
        </is>
      </c>
      <c r="K2" s="4" t="inlineStr">
        <is>
          <t>2023-11-04</t>
        </is>
      </c>
      <c r="L2" s="4" t="n">
        <v>21400</v>
      </c>
      <c r="M2" s="4" t="inlineStr"/>
      <c r="N2" s="4" t="inlineStr"/>
    </row>
    <row r="3">
      <c r="A3" s="4" t="inlineStr">
        <is>
          <t>ev</t>
        </is>
      </c>
      <c r="B3" s="4" t="inlineStr">
        <is>
          <t>alex</t>
        </is>
      </c>
      <c r="C3" s="4" t="inlineStr">
        <is>
          <t>car</t>
        </is>
      </c>
      <c r="D3" s="4" t="inlineStr">
        <is>
          <t>Kia</t>
        </is>
      </c>
      <c r="E3" s="4" t="inlineStr">
        <is>
          <t>Niro EV</t>
        </is>
      </c>
      <c r="F3" s="4" t="n">
        <v>4</v>
      </c>
      <c r="G3" s="4" t="inlineStr">
        <is>
          <t>ev</t>
        </is>
      </c>
      <c r="H3" s="4" t="inlineStr">
        <is>
          <t>YC23 EVN</t>
        </is>
      </c>
      <c r="I3" s="4" t="inlineStr">
        <is>
          <t>GBP</t>
        </is>
      </c>
      <c r="J3" s="4" t="inlineStr">
        <is>
          <t>2023-06-15</t>
        </is>
      </c>
      <c r="K3" s="4" t="inlineStr">
        <is>
          <t>2024-02-10</t>
        </is>
      </c>
      <c r="L3" s="4" t="n">
        <v>27500</v>
      </c>
      <c r="M3" s="4" t="inlineStr"/>
      <c r="N3" s="4" t="inlineStr"/>
    </row>
    <row r="4">
      <c r="A4" s="4" t="inlineStr">
        <is>
          <t>focus</t>
        </is>
      </c>
      <c r="B4" s="4" t="inlineStr">
        <is>
          <t>alex</t>
        </is>
      </c>
      <c r="C4" s="4" t="inlineStr">
        <is>
          <t>car</t>
        </is>
      </c>
      <c r="D4" s="4" t="inlineStr">
        <is>
          <t>Ford</t>
        </is>
      </c>
      <c r="E4" s="4" t="inlineStr">
        <is>
          <t>Focus</t>
        </is>
      </c>
      <c r="F4" s="4" t="inlineStr">
        <is>
          <t>1.5 TDCi Zetec</t>
        </is>
      </c>
      <c r="G4" s="4" t="inlineStr">
        <is>
          <t>diesel</t>
        </is>
      </c>
      <c r="H4" s="4" t="inlineStr">
        <is>
          <t>YK16 FCS</t>
        </is>
      </c>
      <c r="I4" s="4" t="inlineStr">
        <is>
          <t>GBP</t>
        </is>
      </c>
      <c r="J4" s="4" t="inlineStr">
        <is>
          <t>2016-05-20</t>
        </is>
      </c>
      <c r="K4" s="4" t="inlineStr">
        <is>
          <t>2023-09-20</t>
        </is>
      </c>
      <c r="L4" s="4" t="n">
        <v>6450</v>
      </c>
      <c r="M4" s="4" t="inlineStr">
        <is>
          <t>2026-08-19</t>
        </is>
      </c>
      <c r="N4" s="4" t="n">
        <v>3350</v>
      </c>
    </row>
    <row r="5">
      <c r="A5" s="4" t="inlineStr">
        <is>
          <t>golf</t>
        </is>
      </c>
      <c r="B5" s="4" t="inlineStr">
        <is>
          <t>alex</t>
        </is>
      </c>
      <c r="C5" s="4" t="inlineStr">
        <is>
          <t>car</t>
        </is>
      </c>
      <c r="D5" s="4" t="inlineStr">
        <is>
          <t>Volkswagen</t>
        </is>
      </c>
      <c r="E5" s="4" t="inlineStr">
        <is>
          <t>Golf</t>
        </is>
      </c>
      <c r="F5" s="4" t="inlineStr">
        <is>
          <t>1.5 TSI Life</t>
        </is>
      </c>
      <c r="G5" s="4" t="inlineStr">
        <is>
          <t>petrol</t>
        </is>
      </c>
      <c r="H5" s="4" t="inlineStr">
        <is>
          <t>YH20 KLM</t>
        </is>
      </c>
      <c r="I5" s="4" t="inlineStr">
        <is>
          <t>GBP</t>
        </is>
      </c>
      <c r="J5" s="4" t="inlineStr">
        <is>
          <t>2020-03-02</t>
        </is>
      </c>
      <c r="K5" s="4" t="inlineStr">
        <is>
          <t>2023-10-07</t>
        </is>
      </c>
      <c r="L5" s="4" t="n">
        <v>17995</v>
      </c>
      <c r="M5" s="4" t="inlineStr"/>
      <c r="N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7" t="inlineStr">
        <is>
          <t>vehicle</t>
        </is>
      </c>
      <c r="B1" s="7" t="inlineStr">
        <is>
          <t>user</t>
        </is>
      </c>
      <c r="C1" s="7" t="inlineStr">
        <is>
          <t>level</t>
        </is>
      </c>
      <c r="D1" s="7" t="inlineStr">
        <is>
          <t>costs</t>
        </is>
      </c>
      <c r="E1" s="7" t="inlineStr">
        <is>
          <t>notify</t>
        </is>
      </c>
      <c r="F1" s="7" t="inlineStr">
        <is>
          <t>date</t>
        </is>
      </c>
    </row>
    <row r="2">
      <c r="A2" s="4" t="inlineStr">
        <is>
          <t>corolla</t>
        </is>
      </c>
      <c r="B2" s="4" t="inlineStr">
        <is>
          <t>alex</t>
        </is>
      </c>
      <c r="C2" s="4" t="inlineStr">
        <is>
          <t>view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2023-11-04</t>
        </is>
      </c>
    </row>
    <row r="3">
      <c r="A3" s="4" t="inlineStr">
        <is>
          <t>golf</t>
        </is>
      </c>
      <c r="B3" s="4" t="inlineStr">
        <is>
          <t>sam</t>
        </is>
      </c>
      <c r="C3" s="4" t="inlineStr">
        <is>
          <t>log</t>
        </is>
      </c>
      <c r="D3" s="4" t="inlineStr">
        <is>
          <t>no</t>
        </is>
      </c>
      <c r="E3" s="4" t="inlineStr">
        <is>
          <t>yes</t>
        </is>
      </c>
      <c r="F3" s="4" t="inlineStr">
        <is>
          <t>2023-10-07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0" customWidth="1" min="5" max="5"/>
  </cols>
  <sheetData>
    <row r="1">
      <c r="A1" s="7" t="inlineStr">
        <is>
          <t>vehicle</t>
        </is>
      </c>
      <c r="B1" s="7" t="inlineStr">
        <is>
          <t>by</t>
        </is>
      </c>
      <c r="C1" s="7" t="inlineStr">
        <is>
          <t>at</t>
        </is>
      </c>
      <c r="D1" s="7" t="inlineStr">
        <is>
          <t>odometer_km</t>
        </is>
      </c>
      <c r="E1" s="7" t="inlineStr">
        <is>
          <t>note</t>
        </is>
      </c>
    </row>
    <row r="2">
      <c r="A2" s="4" t="inlineStr">
        <is>
          <t>corolla</t>
        </is>
      </c>
      <c r="B2" s="4" t="inlineStr">
        <is>
          <t>sam</t>
        </is>
      </c>
      <c r="C2" s="4" t="inlineStr">
        <is>
          <t>2023-11-04 14:30</t>
        </is>
      </c>
      <c r="D2" s="4" t="n">
        <v>52700</v>
      </c>
      <c r="E2" s="4" t="inlineStr">
        <is>
          <t>Odometer when bought</t>
        </is>
      </c>
    </row>
    <row r="3">
      <c r="A3" s="4" t="inlineStr">
        <is>
          <t>ev</t>
        </is>
      </c>
      <c r="B3" s="4" t="inlineStr">
        <is>
          <t>alex</t>
        </is>
      </c>
      <c r="C3" s="4" t="inlineStr">
        <is>
          <t>2024-02-10 15:00</t>
        </is>
      </c>
      <c r="D3" s="4" t="n">
        <v>6120</v>
      </c>
      <c r="E3" s="4" t="inlineStr">
        <is>
          <t>Odometer when bought</t>
        </is>
      </c>
    </row>
    <row r="4">
      <c r="A4" s="4" t="inlineStr">
        <is>
          <t>focus</t>
        </is>
      </c>
      <c r="B4" s="4" t="inlineStr">
        <is>
          <t>alex</t>
        </is>
      </c>
      <c r="C4" s="4" t="inlineStr">
        <is>
          <t>2023-09-20 11:00</t>
        </is>
      </c>
      <c r="D4" s="4" t="n">
        <v>96300</v>
      </c>
      <c r="E4" s="4" t="inlineStr">
        <is>
          <t>Odometer when bought</t>
        </is>
      </c>
    </row>
    <row r="5">
      <c r="A5" s="4" t="inlineStr">
        <is>
          <t>focus</t>
        </is>
      </c>
      <c r="B5" s="4" t="inlineStr">
        <is>
          <t>alex</t>
        </is>
      </c>
      <c r="C5" s="4" t="inlineStr">
        <is>
          <t>2026-08-19 10:00</t>
        </is>
      </c>
      <c r="D5" s="4" t="n">
        <v>136127.9</v>
      </c>
      <c r="E5" s="4" t="inlineStr">
        <is>
          <t>Odometer at sale</t>
        </is>
      </c>
    </row>
    <row r="6">
      <c r="A6" s="4" t="inlineStr">
        <is>
          <t>golf</t>
        </is>
      </c>
      <c r="B6" s="4" t="inlineStr">
        <is>
          <t>alex</t>
        </is>
      </c>
      <c r="C6" s="4" t="inlineStr">
        <is>
          <t>2023-10-07 12:00</t>
        </is>
      </c>
      <c r="D6" s="4" t="n">
        <v>38412</v>
      </c>
      <c r="E6" s="4" t="inlineStr">
        <is>
          <t>Odometer when bought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8" customWidth="1" min="7" max="7"/>
    <col width="14" customWidth="1" min="8" max="8"/>
    <col width="11" customWidth="1" min="9" max="9"/>
    <col width="11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7" t="inlineStr">
        <is>
          <t>vehicle</t>
        </is>
      </c>
      <c r="B1" s="7" t="inlineStr">
        <is>
          <t>by</t>
        </is>
      </c>
      <c r="C1" s="7" t="inlineStr">
        <is>
          <t>at</t>
        </is>
      </c>
      <c r="D1" s="7" t="inlineStr">
        <is>
          <t>odometer_km</t>
        </is>
      </c>
      <c r="E1" s="7" t="inlineStr">
        <is>
          <t>fuel</t>
        </is>
      </c>
      <c r="F1" s="7" t="inlineStr">
        <is>
          <t>volume</t>
        </is>
      </c>
      <c r="G1" s="7" t="inlineStr">
        <is>
          <t>price_per_unit</t>
        </is>
      </c>
      <c r="H1" s="7" t="inlineStr">
        <is>
          <t>total_cost</t>
        </is>
      </c>
      <c r="I1" s="7" t="inlineStr">
        <is>
          <t>partial</t>
        </is>
      </c>
      <c r="J1" s="7" t="inlineStr">
        <is>
          <t>station</t>
        </is>
      </c>
      <c r="K1" s="7" t="inlineStr">
        <is>
          <t>prev_full_odometer</t>
        </is>
      </c>
      <c r="L1" s="7" t="inlineStr">
        <is>
          <t>volume_since_prev_full</t>
        </is>
      </c>
      <c r="M1" s="7" t="inlineStr">
        <is>
          <t>segment_km</t>
        </is>
      </c>
      <c r="N1" s="7" t="inlineStr">
        <is>
          <t>segment_per_100km</t>
        </is>
      </c>
      <c r="O1" s="7" t="inlineStr">
        <is>
          <t>key</t>
        </is>
      </c>
    </row>
    <row r="2">
      <c r="A2" s="4" t="inlineStr">
        <is>
          <t>corolla</t>
        </is>
      </c>
      <c r="B2" s="4" t="inlineStr">
        <is>
          <t>sam</t>
        </is>
      </c>
      <c r="C2" s="4" t="inlineStr">
        <is>
          <t>2023-11-21 16:25</t>
        </is>
      </c>
      <c r="D2" s="4" t="n">
        <v>53412</v>
      </c>
      <c r="E2" s="4" t="inlineStr">
        <is>
          <t>petrol</t>
        </is>
      </c>
      <c r="F2" s="4" t="n">
        <v>18.38</v>
      </c>
      <c r="G2" s="4" t="n">
        <v>1.787</v>
      </c>
      <c r="H2" s="4" t="n">
        <v>32.85</v>
      </c>
      <c r="I2" s="4" t="inlineStr">
        <is>
          <t>yes</t>
        </is>
      </c>
      <c r="J2" s="4" t="inlineStr">
        <is>
          <t>Maxol Malahide</t>
        </is>
      </c>
      <c r="K2" s="2">
        <f>""</f>
        <v/>
      </c>
      <c r="L2" s="2">
        <f>""</f>
        <v/>
      </c>
      <c r="M2" s="2">
        <f>IF(AND(I2="no",K2&lt;&gt;""),D2-K2,"")</f>
        <v/>
      </c>
      <c r="N2" s="19">
        <f>IF(M2="","",L2/M2*100)</f>
        <v/>
      </c>
      <c r="O2" s="2">
        <f>A2&amp;"|"&amp;C2</f>
        <v/>
      </c>
    </row>
    <row r="3">
      <c r="A3" s="4" t="inlineStr">
        <is>
          <t>corolla</t>
        </is>
      </c>
      <c r="B3" s="4" t="inlineStr">
        <is>
          <t>sam</t>
        </is>
      </c>
      <c r="C3" s="4" t="inlineStr">
        <is>
          <t>2023-11-30 11:45</t>
        </is>
      </c>
      <c r="D3" s="4" t="n">
        <v>53820.3</v>
      </c>
      <c r="E3" s="4" t="inlineStr">
        <is>
          <t>petrol</t>
        </is>
      </c>
      <c r="F3" s="4" t="n">
        <v>35.554</v>
      </c>
      <c r="G3" s="4" t="n">
        <v>1.803</v>
      </c>
      <c r="H3" s="4" t="n">
        <v>64.09999999999999</v>
      </c>
      <c r="I3" s="4" t="inlineStr">
        <is>
          <t>no</t>
        </is>
      </c>
      <c r="J3" s="4" t="inlineStr">
        <is>
          <t>Applegreen Airside</t>
        </is>
      </c>
      <c r="K3" s="2">
        <f>IF(A3&lt;&gt;A2,"",IF(I2="no",D2,K2))</f>
        <v/>
      </c>
      <c r="L3" s="2">
        <f>IF(OR(A3&lt;&gt;A2,K3=""),"",IF(I2="no",F3,L2+F3))</f>
        <v/>
      </c>
      <c r="M3" s="2">
        <f>IF(AND(I3="no",K3&lt;&gt;""),D3-K3,"")</f>
        <v/>
      </c>
      <c r="N3" s="19">
        <f>IF(M3="","",L3/M3*100)</f>
        <v/>
      </c>
      <c r="O3" s="2">
        <f>A3&amp;"|"&amp;C3</f>
        <v/>
      </c>
    </row>
    <row r="4">
      <c r="A4" s="4" t="inlineStr">
        <is>
          <t>corolla</t>
        </is>
      </c>
      <c r="B4" s="4" t="inlineStr">
        <is>
          <t>sam</t>
        </is>
      </c>
      <c r="C4" s="4" t="inlineStr">
        <is>
          <t>2023-12-15 15:28</t>
        </is>
      </c>
      <c r="D4" s="4" t="n">
        <v>54404</v>
      </c>
      <c r="E4" s="4" t="inlineStr">
        <is>
          <t>petrol</t>
        </is>
      </c>
      <c r="F4" s="4" t="n">
        <v>19.308</v>
      </c>
      <c r="G4" s="4" t="n">
        <v>1.792</v>
      </c>
      <c r="H4" s="4" t="n">
        <v>34.6</v>
      </c>
      <c r="I4" s="4" t="inlineStr">
        <is>
          <t>yes</t>
        </is>
      </c>
      <c r="J4" s="4" t="inlineStr">
        <is>
          <t>Circle K Swords</t>
        </is>
      </c>
      <c r="K4" s="2">
        <f>IF(A4&lt;&gt;A3,"",IF(I3="no",D3,K3))</f>
        <v/>
      </c>
      <c r="L4" s="2">
        <f>IF(OR(A4&lt;&gt;A3,K4=""),"",IF(I3="no",F4,L3+F4))</f>
        <v/>
      </c>
      <c r="M4" s="2">
        <f>IF(AND(I4="no",K4&lt;&gt;""),D4-K4,"")</f>
        <v/>
      </c>
      <c r="N4" s="19">
        <f>IF(M4="","",L4/M4*100)</f>
        <v/>
      </c>
      <c r="O4" s="2">
        <f>A4&amp;"|"&amp;C4</f>
        <v/>
      </c>
    </row>
    <row r="5">
      <c r="A5" s="4" t="inlineStr">
        <is>
          <t>corolla</t>
        </is>
      </c>
      <c r="B5" s="4" t="inlineStr">
        <is>
          <t>sam</t>
        </is>
      </c>
      <c r="C5" s="4" t="inlineStr">
        <is>
          <t>2023-12-23 08:13</t>
        </is>
      </c>
      <c r="D5" s="4" t="n">
        <v>54796.4</v>
      </c>
      <c r="E5" s="4" t="inlineStr">
        <is>
          <t>petrol</t>
        </is>
      </c>
      <c r="F5" s="4" t="n">
        <v>26.549</v>
      </c>
      <c r="G5" s="4" t="n">
        <v>1.797</v>
      </c>
      <c r="H5" s="4" t="n">
        <v>47.71</v>
      </c>
      <c r="I5" s="4" t="inlineStr">
        <is>
          <t>no</t>
        </is>
      </c>
      <c r="J5" s="4" t="inlineStr">
        <is>
          <t>Applegreen Airside</t>
        </is>
      </c>
      <c r="K5" s="2">
        <f>IF(A5&lt;&gt;A4,"",IF(I4="no",D4,K4))</f>
        <v/>
      </c>
      <c r="L5" s="2">
        <f>IF(OR(A5&lt;&gt;A4,K5=""),"",IF(I4="no",F5,L4+F5))</f>
        <v/>
      </c>
      <c r="M5" s="2">
        <f>IF(AND(I5="no",K5&lt;&gt;""),D5-K5,"")</f>
        <v/>
      </c>
      <c r="N5" s="19">
        <f>IF(M5="","",L5/M5*100)</f>
        <v/>
      </c>
      <c r="O5" s="2">
        <f>A5&amp;"|"&amp;C5</f>
        <v/>
      </c>
    </row>
    <row r="6">
      <c r="A6" s="4" t="inlineStr">
        <is>
          <t>corolla</t>
        </is>
      </c>
      <c r="B6" s="4" t="inlineStr">
        <is>
          <t>sam</t>
        </is>
      </c>
      <c r="C6" s="4" t="inlineStr">
        <is>
          <t>2024-01-08 16:41</t>
        </is>
      </c>
      <c r="D6" s="4" t="n">
        <v>55520</v>
      </c>
      <c r="E6" s="4" t="inlineStr">
        <is>
          <t>petrol</t>
        </is>
      </c>
      <c r="F6" s="4" t="n">
        <v>33.502</v>
      </c>
      <c r="G6" s="4" t="n">
        <v>1.796</v>
      </c>
      <c r="H6" s="4" t="n">
        <v>60.17</v>
      </c>
      <c r="I6" s="4" t="inlineStr">
        <is>
          <t>no</t>
        </is>
      </c>
      <c r="J6" s="4" t="inlineStr">
        <is>
          <t>Applegreen Airside</t>
        </is>
      </c>
      <c r="K6" s="2">
        <f>IF(A6&lt;&gt;A5,"",IF(I5="no",D5,K5))</f>
        <v/>
      </c>
      <c r="L6" s="2">
        <f>IF(OR(A6&lt;&gt;A5,K6=""),"",IF(I5="no",F6,L5+F6))</f>
        <v/>
      </c>
      <c r="M6" s="2">
        <f>IF(AND(I6="no",K6&lt;&gt;""),D6-K6,"")</f>
        <v/>
      </c>
      <c r="N6" s="19">
        <f>IF(M6="","",L6/M6*100)</f>
        <v/>
      </c>
      <c r="O6" s="2">
        <f>A6&amp;"|"&amp;C6</f>
        <v/>
      </c>
    </row>
    <row r="7">
      <c r="A7" s="4" t="inlineStr">
        <is>
          <t>corolla</t>
        </is>
      </c>
      <c r="B7" s="4" t="inlineStr">
        <is>
          <t>sam</t>
        </is>
      </c>
      <c r="C7" s="4" t="inlineStr">
        <is>
          <t>2024-01-25 20:05</t>
        </is>
      </c>
      <c r="D7" s="4" t="n">
        <v>56327.9</v>
      </c>
      <c r="E7" s="4" t="inlineStr">
        <is>
          <t>petrol</t>
        </is>
      </c>
      <c r="F7" s="4" t="n">
        <v>37.044</v>
      </c>
      <c r="G7" s="4" t="n">
        <v>1.8</v>
      </c>
      <c r="H7" s="4" t="n">
        <v>66.68000000000001</v>
      </c>
      <c r="I7" s="4" t="inlineStr">
        <is>
          <t>no</t>
        </is>
      </c>
      <c r="J7" s="4" t="inlineStr">
        <is>
          <t>Applegreen Airside</t>
        </is>
      </c>
      <c r="K7" s="2">
        <f>IF(A7&lt;&gt;A6,"",IF(I6="no",D6,K6))</f>
        <v/>
      </c>
      <c r="L7" s="2">
        <f>IF(OR(A7&lt;&gt;A6,K7=""),"",IF(I6="no",F7,L6+F7))</f>
        <v/>
      </c>
      <c r="M7" s="2">
        <f>IF(AND(I7="no",K7&lt;&gt;""),D7-K7,"")</f>
        <v/>
      </c>
      <c r="N7" s="19">
        <f>IF(M7="","",L7/M7*100)</f>
        <v/>
      </c>
      <c r="O7" s="2">
        <f>A7&amp;"|"&amp;C7</f>
        <v/>
      </c>
    </row>
    <row r="8">
      <c r="A8" s="4" t="inlineStr">
        <is>
          <t>corolla</t>
        </is>
      </c>
      <c r="B8" s="4" t="inlineStr">
        <is>
          <t>sam</t>
        </is>
      </c>
      <c r="C8" s="4" t="inlineStr">
        <is>
          <t>2024-02-12 10:01</t>
        </is>
      </c>
      <c r="D8" s="4" t="n">
        <v>57075.5</v>
      </c>
      <c r="E8" s="4" t="inlineStr">
        <is>
          <t>petrol</t>
        </is>
      </c>
      <c r="F8" s="4" t="n">
        <v>36.487</v>
      </c>
      <c r="G8" s="4" t="n">
        <v>1.798</v>
      </c>
      <c r="H8" s="4" t="n">
        <v>65.59999999999999</v>
      </c>
      <c r="I8" s="4" t="inlineStr">
        <is>
          <t>no</t>
        </is>
      </c>
      <c r="J8" s="4" t="inlineStr">
        <is>
          <t>Applegreen Airside</t>
        </is>
      </c>
      <c r="K8" s="2">
        <f>IF(A8&lt;&gt;A7,"",IF(I7="no",D7,K7))</f>
        <v/>
      </c>
      <c r="L8" s="2">
        <f>IF(OR(A8&lt;&gt;A7,K8=""),"",IF(I7="no",F8,L7+F8))</f>
        <v/>
      </c>
      <c r="M8" s="2">
        <f>IF(AND(I8="no",K8&lt;&gt;""),D8-K8,"")</f>
        <v/>
      </c>
      <c r="N8" s="19">
        <f>IF(M8="","",L8/M8*100)</f>
        <v/>
      </c>
      <c r="O8" s="2">
        <f>A8&amp;"|"&amp;C8</f>
        <v/>
      </c>
    </row>
    <row r="9">
      <c r="A9" s="4" t="inlineStr">
        <is>
          <t>corolla</t>
        </is>
      </c>
      <c r="B9" s="4" t="inlineStr">
        <is>
          <t>sam</t>
        </is>
      </c>
      <c r="C9" s="4" t="inlineStr">
        <is>
          <t>2024-02-27 11:38</t>
        </is>
      </c>
      <c r="D9" s="4" t="n">
        <v>57754.9</v>
      </c>
      <c r="E9" s="4" t="inlineStr">
        <is>
          <t>petrol</t>
        </is>
      </c>
      <c r="F9" s="4" t="n">
        <v>31.706</v>
      </c>
      <c r="G9" s="4" t="n">
        <v>1.798</v>
      </c>
      <c r="H9" s="4" t="n">
        <v>57.01</v>
      </c>
      <c r="I9" s="4" t="inlineStr">
        <is>
          <t>no</t>
        </is>
      </c>
      <c r="J9" s="4" t="inlineStr">
        <is>
          <t>Maxol Malahide</t>
        </is>
      </c>
      <c r="K9" s="2">
        <f>IF(A9&lt;&gt;A8,"",IF(I8="no",D8,K8))</f>
        <v/>
      </c>
      <c r="L9" s="2">
        <f>IF(OR(A9&lt;&gt;A8,K9=""),"",IF(I8="no",F9,L8+F9))</f>
        <v/>
      </c>
      <c r="M9" s="2">
        <f>IF(AND(I9="no",K9&lt;&gt;""),D9-K9,"")</f>
        <v/>
      </c>
      <c r="N9" s="19">
        <f>IF(M9="","",L9/M9*100)</f>
        <v/>
      </c>
      <c r="O9" s="2">
        <f>A9&amp;"|"&amp;C9</f>
        <v/>
      </c>
    </row>
    <row r="10">
      <c r="A10" s="4" t="inlineStr">
        <is>
          <t>corolla</t>
        </is>
      </c>
      <c r="B10" s="4" t="inlineStr">
        <is>
          <t>sam</t>
        </is>
      </c>
      <c r="C10" s="4" t="inlineStr">
        <is>
          <t>2024-03-13 15:05</t>
        </is>
      </c>
      <c r="D10" s="4" t="n">
        <v>58408</v>
      </c>
      <c r="E10" s="4" t="inlineStr">
        <is>
          <t>petrol</t>
        </is>
      </c>
      <c r="F10" s="4" t="n">
        <v>30.338</v>
      </c>
      <c r="G10" s="4" t="n">
        <v>1.774</v>
      </c>
      <c r="H10" s="4" t="n">
        <v>53.82</v>
      </c>
      <c r="I10" s="4" t="inlineStr">
        <is>
          <t>no</t>
        </is>
      </c>
      <c r="J10" s="4" t="inlineStr">
        <is>
          <t>Applegreen Airside</t>
        </is>
      </c>
      <c r="K10" s="2">
        <f>IF(A10&lt;&gt;A9,"",IF(I9="no",D9,K9))</f>
        <v/>
      </c>
      <c r="L10" s="2">
        <f>IF(OR(A10&lt;&gt;A9,K10=""),"",IF(I9="no",F10,L9+F10))</f>
        <v/>
      </c>
      <c r="M10" s="2">
        <f>IF(AND(I10="no",K10&lt;&gt;""),D10-K10,"")</f>
        <v/>
      </c>
      <c r="N10" s="19">
        <f>IF(M10="","",L10/M10*100)</f>
        <v/>
      </c>
      <c r="O10" s="2">
        <f>A10&amp;"|"&amp;C10</f>
        <v/>
      </c>
    </row>
    <row r="11">
      <c r="A11" s="4" t="inlineStr">
        <is>
          <t>corolla</t>
        </is>
      </c>
      <c r="B11" s="4" t="inlineStr">
        <is>
          <t>sam</t>
        </is>
      </c>
      <c r="C11" s="4" t="inlineStr">
        <is>
          <t>2024-03-27 12:10</t>
        </is>
      </c>
      <c r="D11" s="4" t="n">
        <v>59066.1</v>
      </c>
      <c r="E11" s="4" t="inlineStr">
        <is>
          <t>petrol</t>
        </is>
      </c>
      <c r="F11" s="4" t="n">
        <v>30.714</v>
      </c>
      <c r="G11" s="4" t="n">
        <v>1.777</v>
      </c>
      <c r="H11" s="4" t="n">
        <v>54.58</v>
      </c>
      <c r="I11" s="4" t="inlineStr">
        <is>
          <t>no</t>
        </is>
      </c>
      <c r="J11" s="4" t="inlineStr">
        <is>
          <t>Circle K Swords</t>
        </is>
      </c>
      <c r="K11" s="2">
        <f>IF(A11&lt;&gt;A10,"",IF(I10="no",D10,K10))</f>
        <v/>
      </c>
      <c r="L11" s="2">
        <f>IF(OR(A11&lt;&gt;A10,K11=""),"",IF(I10="no",F11,L10+F11))</f>
        <v/>
      </c>
      <c r="M11" s="2">
        <f>IF(AND(I11="no",K11&lt;&gt;""),D11-K11,"")</f>
        <v/>
      </c>
      <c r="N11" s="19">
        <f>IF(M11="","",L11/M11*100)</f>
        <v/>
      </c>
      <c r="O11" s="2">
        <f>A11&amp;"|"&amp;C11</f>
        <v/>
      </c>
    </row>
    <row r="12">
      <c r="A12" s="4" t="inlineStr">
        <is>
          <t>corolla</t>
        </is>
      </c>
      <c r="B12" s="4" t="inlineStr">
        <is>
          <t>sam</t>
        </is>
      </c>
      <c r="C12" s="4" t="inlineStr">
        <is>
          <t>2024-03-31 23:30</t>
        </is>
      </c>
      <c r="D12" s="4" t="n">
        <v>59283.1</v>
      </c>
      <c r="E12" s="4" t="inlineStr">
        <is>
          <t>petrol</t>
        </is>
      </c>
      <c r="F12" s="4" t="n">
        <v>8.345000000000001</v>
      </c>
      <c r="G12" s="4" t="n">
        <v>1.775</v>
      </c>
      <c r="H12" s="4" t="n">
        <v>14.81</v>
      </c>
      <c r="I12" s="4" t="inlineStr">
        <is>
          <t>no</t>
        </is>
      </c>
      <c r="J12" s="4" t="inlineStr">
        <is>
          <t>Applegreen Airside</t>
        </is>
      </c>
      <c r="K12" s="2">
        <f>IF(A12&lt;&gt;A11,"",IF(I11="no",D11,K11))</f>
        <v/>
      </c>
      <c r="L12" s="2">
        <f>IF(OR(A12&lt;&gt;A11,K12=""),"",IF(I11="no",F12,L11+F12))</f>
        <v/>
      </c>
      <c r="M12" s="2">
        <f>IF(AND(I12="no",K12&lt;&gt;""),D12-K12,"")</f>
        <v/>
      </c>
      <c r="N12" s="19">
        <f>IF(M12="","",L12/M12*100)</f>
        <v/>
      </c>
      <c r="O12" s="2">
        <f>A12&amp;"|"&amp;C12</f>
        <v/>
      </c>
    </row>
    <row r="13">
      <c r="A13" s="4" t="inlineStr">
        <is>
          <t>corolla</t>
        </is>
      </c>
      <c r="B13" s="4" t="inlineStr">
        <is>
          <t>sam</t>
        </is>
      </c>
      <c r="C13" s="4" t="inlineStr">
        <is>
          <t>2024-04-14 08:43</t>
        </is>
      </c>
      <c r="D13" s="4" t="n">
        <v>59984.8</v>
      </c>
      <c r="E13" s="4" t="inlineStr">
        <is>
          <t>petrol</t>
        </is>
      </c>
      <c r="F13" s="4" t="n">
        <v>33.846</v>
      </c>
      <c r="G13" s="4" t="n">
        <v>1.78</v>
      </c>
      <c r="H13" s="4" t="n">
        <v>60.25</v>
      </c>
      <c r="I13" s="4" t="inlineStr">
        <is>
          <t>no</t>
        </is>
      </c>
      <c r="J13" s="4" t="inlineStr">
        <is>
          <t>Applegreen Airside</t>
        </is>
      </c>
      <c r="K13" s="2">
        <f>IF(A13&lt;&gt;A12,"",IF(I12="no",D12,K12))</f>
        <v/>
      </c>
      <c r="L13" s="2">
        <f>IF(OR(A13&lt;&gt;A12,K13=""),"",IF(I12="no",F13,L12+F13))</f>
        <v/>
      </c>
      <c r="M13" s="2">
        <f>IF(AND(I13="no",K13&lt;&gt;""),D13-K13,"")</f>
        <v/>
      </c>
      <c r="N13" s="19">
        <f>IF(M13="","",L13/M13*100)</f>
        <v/>
      </c>
      <c r="O13" s="2">
        <f>A13&amp;"|"&amp;C13</f>
        <v/>
      </c>
    </row>
    <row r="14">
      <c r="A14" s="4" t="inlineStr">
        <is>
          <t>corolla</t>
        </is>
      </c>
      <c r="B14" s="4" t="inlineStr">
        <is>
          <t>sam</t>
        </is>
      </c>
      <c r="C14" s="4" t="inlineStr">
        <is>
          <t>2024-04-28 17:53</t>
        </is>
      </c>
      <c r="D14" s="4" t="n">
        <v>60545.1</v>
      </c>
      <c r="E14" s="4" t="inlineStr">
        <is>
          <t>petrol</t>
        </is>
      </c>
      <c r="F14" s="4" t="n">
        <v>16.665</v>
      </c>
      <c r="G14" s="4" t="n">
        <v>1.769</v>
      </c>
      <c r="H14" s="4" t="n">
        <v>29.48</v>
      </c>
      <c r="I14" s="4" t="inlineStr">
        <is>
          <t>yes</t>
        </is>
      </c>
      <c r="J14" s="4" t="inlineStr">
        <is>
          <t>Circle K Swords</t>
        </is>
      </c>
      <c r="K14" s="2">
        <f>IF(A14&lt;&gt;A13,"",IF(I13="no",D13,K13))</f>
        <v/>
      </c>
      <c r="L14" s="2">
        <f>IF(OR(A14&lt;&gt;A13,K14=""),"",IF(I13="no",F14,L13+F14))</f>
        <v/>
      </c>
      <c r="M14" s="2">
        <f>IF(AND(I14="no",K14&lt;&gt;""),D14-K14,"")</f>
        <v/>
      </c>
      <c r="N14" s="19">
        <f>IF(M14="","",L14/M14*100)</f>
        <v/>
      </c>
      <c r="O14" s="2">
        <f>A14&amp;"|"&amp;C14</f>
        <v/>
      </c>
    </row>
    <row r="15">
      <c r="A15" s="4" t="inlineStr">
        <is>
          <t>corolla</t>
        </is>
      </c>
      <c r="B15" s="4" t="inlineStr">
        <is>
          <t>sam</t>
        </is>
      </c>
      <c r="C15" s="4" t="inlineStr">
        <is>
          <t>2024-05-06 20:18</t>
        </is>
      </c>
      <c r="D15" s="4" t="n">
        <v>60884.3</v>
      </c>
      <c r="E15" s="4" t="inlineStr">
        <is>
          <t>petrol</t>
        </is>
      </c>
      <c r="F15" s="4" t="n">
        <v>25.865</v>
      </c>
      <c r="G15" s="4" t="n">
        <v>1.764</v>
      </c>
      <c r="H15" s="4" t="n">
        <v>45.63</v>
      </c>
      <c r="I15" s="4" t="inlineStr">
        <is>
          <t>no</t>
        </is>
      </c>
      <c r="J15" s="4" t="inlineStr">
        <is>
          <t>Maxol Malahide</t>
        </is>
      </c>
      <c r="K15" s="2">
        <f>IF(A15&lt;&gt;A14,"",IF(I14="no",D14,K14))</f>
        <v/>
      </c>
      <c r="L15" s="2">
        <f>IF(OR(A15&lt;&gt;A14,K15=""),"",IF(I14="no",F15,L14+F15))</f>
        <v/>
      </c>
      <c r="M15" s="2">
        <f>IF(AND(I15="no",K15&lt;&gt;""),D15-K15,"")</f>
        <v/>
      </c>
      <c r="N15" s="19">
        <f>IF(M15="","",L15/M15*100)</f>
        <v/>
      </c>
      <c r="O15" s="2">
        <f>A15&amp;"|"&amp;C15</f>
        <v/>
      </c>
    </row>
    <row r="16">
      <c r="A16" s="4" t="inlineStr">
        <is>
          <t>corolla</t>
        </is>
      </c>
      <c r="B16" s="4" t="inlineStr">
        <is>
          <t>sam</t>
        </is>
      </c>
      <c r="C16" s="4" t="inlineStr">
        <is>
          <t>2024-05-23 17:39</t>
        </is>
      </c>
      <c r="D16" s="4" t="n">
        <v>61585.2</v>
      </c>
      <c r="E16" s="4" t="inlineStr">
        <is>
          <t>petrol</t>
        </is>
      </c>
      <c r="F16" s="4" t="n">
        <v>32.341</v>
      </c>
      <c r="G16" s="4" t="n">
        <v>1.78</v>
      </c>
      <c r="H16" s="4" t="n">
        <v>57.57</v>
      </c>
      <c r="I16" s="4" t="inlineStr">
        <is>
          <t>no</t>
        </is>
      </c>
      <c r="J16" s="4" t="inlineStr">
        <is>
          <t>Circle K Swords</t>
        </is>
      </c>
      <c r="K16" s="2">
        <f>IF(A16&lt;&gt;A15,"",IF(I15="no",D15,K15))</f>
        <v/>
      </c>
      <c r="L16" s="2">
        <f>IF(OR(A16&lt;&gt;A15,K16=""),"",IF(I15="no",F16,L15+F16))</f>
        <v/>
      </c>
      <c r="M16" s="2">
        <f>IF(AND(I16="no",K16&lt;&gt;""),D16-K16,"")</f>
        <v/>
      </c>
      <c r="N16" s="19">
        <f>IF(M16="","",L16/M16*100)</f>
        <v/>
      </c>
      <c r="O16" s="2">
        <f>A16&amp;"|"&amp;C16</f>
        <v/>
      </c>
    </row>
    <row r="17">
      <c r="A17" s="4" t="inlineStr">
        <is>
          <t>corolla</t>
        </is>
      </c>
      <c r="B17" s="4" t="inlineStr">
        <is>
          <t>sam</t>
        </is>
      </c>
      <c r="C17" s="4" t="inlineStr">
        <is>
          <t>2024-06-08 19:40</t>
        </is>
      </c>
      <c r="D17" s="4" t="n">
        <v>62299.2</v>
      </c>
      <c r="E17" s="4" t="inlineStr">
        <is>
          <t>petrol</t>
        </is>
      </c>
      <c r="F17" s="4" t="n">
        <v>32.933</v>
      </c>
      <c r="G17" s="4" t="n">
        <v>1.765</v>
      </c>
      <c r="H17" s="4" t="n">
        <v>58.13</v>
      </c>
      <c r="I17" s="4" t="inlineStr">
        <is>
          <t>no</t>
        </is>
      </c>
      <c r="J17" s="4" t="inlineStr">
        <is>
          <t>Circle K Swords</t>
        </is>
      </c>
      <c r="K17" s="2">
        <f>IF(A17&lt;&gt;A16,"",IF(I16="no",D16,K16))</f>
        <v/>
      </c>
      <c r="L17" s="2">
        <f>IF(OR(A17&lt;&gt;A16,K17=""),"",IF(I16="no",F17,L16+F17))</f>
        <v/>
      </c>
      <c r="M17" s="2">
        <f>IF(AND(I17="no",K17&lt;&gt;""),D17-K17,"")</f>
        <v/>
      </c>
      <c r="N17" s="19">
        <f>IF(M17="","",L17/M17*100)</f>
        <v/>
      </c>
      <c r="O17" s="2">
        <f>A17&amp;"|"&amp;C17</f>
        <v/>
      </c>
    </row>
    <row r="18">
      <c r="A18" s="4" t="inlineStr">
        <is>
          <t>corolla</t>
        </is>
      </c>
      <c r="B18" s="4" t="inlineStr">
        <is>
          <t>sam</t>
        </is>
      </c>
      <c r="C18" s="4" t="inlineStr">
        <is>
          <t>2024-06-23 20:53</t>
        </is>
      </c>
      <c r="D18" s="4" t="n">
        <v>62958.4</v>
      </c>
      <c r="E18" s="4" t="inlineStr">
        <is>
          <t>petrol</t>
        </is>
      </c>
      <c r="F18" s="4" t="n">
        <v>31.221</v>
      </c>
      <c r="G18" s="4" t="n">
        <v>1.778</v>
      </c>
      <c r="H18" s="4" t="n">
        <v>55.51</v>
      </c>
      <c r="I18" s="4" t="inlineStr">
        <is>
          <t>no</t>
        </is>
      </c>
      <c r="J18" s="4" t="inlineStr">
        <is>
          <t>Applegreen Airside</t>
        </is>
      </c>
      <c r="K18" s="2">
        <f>IF(A18&lt;&gt;A17,"",IF(I17="no",D17,K17))</f>
        <v/>
      </c>
      <c r="L18" s="2">
        <f>IF(OR(A18&lt;&gt;A17,K18=""),"",IF(I17="no",F18,L17+F18))</f>
        <v/>
      </c>
      <c r="M18" s="2">
        <f>IF(AND(I18="no",K18&lt;&gt;""),D18-K18,"")</f>
        <v/>
      </c>
      <c r="N18" s="19">
        <f>IF(M18="","",L18/M18*100)</f>
        <v/>
      </c>
      <c r="O18" s="2">
        <f>A18&amp;"|"&amp;C18</f>
        <v/>
      </c>
    </row>
    <row r="19">
      <c r="A19" s="4" t="inlineStr">
        <is>
          <t>corolla</t>
        </is>
      </c>
      <c r="B19" s="4" t="inlineStr">
        <is>
          <t>sam</t>
        </is>
      </c>
      <c r="C19" s="4" t="inlineStr">
        <is>
          <t>2024-07-08 20:20</t>
        </is>
      </c>
      <c r="D19" s="4" t="n">
        <v>63672.7</v>
      </c>
      <c r="E19" s="4" t="inlineStr">
        <is>
          <t>petrol</t>
        </is>
      </c>
      <c r="F19" s="4" t="n">
        <v>33.029</v>
      </c>
      <c r="G19" s="4" t="n">
        <v>1.765</v>
      </c>
      <c r="H19" s="4" t="n">
        <v>58.3</v>
      </c>
      <c r="I19" s="4" t="inlineStr">
        <is>
          <t>no</t>
        </is>
      </c>
      <c r="J19" s="4" t="inlineStr">
        <is>
          <t>Circle K Swords</t>
        </is>
      </c>
      <c r="K19" s="2">
        <f>IF(A19&lt;&gt;A18,"",IF(I18="no",D18,K18))</f>
        <v/>
      </c>
      <c r="L19" s="2">
        <f>IF(OR(A19&lt;&gt;A18,K19=""),"",IF(I18="no",F19,L18+F19))</f>
        <v/>
      </c>
      <c r="M19" s="2">
        <f>IF(AND(I19="no",K19&lt;&gt;""),D19-K19,"")</f>
        <v/>
      </c>
      <c r="N19" s="19">
        <f>IF(M19="","",L19/M19*100)</f>
        <v/>
      </c>
      <c r="O19" s="2">
        <f>A19&amp;"|"&amp;C19</f>
        <v/>
      </c>
    </row>
    <row r="20">
      <c r="A20" s="4" t="inlineStr">
        <is>
          <t>corolla</t>
        </is>
      </c>
      <c r="B20" s="4" t="inlineStr">
        <is>
          <t>sam</t>
        </is>
      </c>
      <c r="C20" s="4" t="inlineStr">
        <is>
          <t>2024-07-22 09:21</t>
        </is>
      </c>
      <c r="D20" s="4" t="n">
        <v>64340.4</v>
      </c>
      <c r="E20" s="4" t="inlineStr">
        <is>
          <t>petrol</t>
        </is>
      </c>
      <c r="F20" s="4" t="n">
        <v>32.327</v>
      </c>
      <c r="G20" s="4" t="n">
        <v>1.761</v>
      </c>
      <c r="H20" s="4" t="n">
        <v>56.93</v>
      </c>
      <c r="I20" s="4" t="inlineStr">
        <is>
          <t>no</t>
        </is>
      </c>
      <c r="J20" s="4" t="inlineStr">
        <is>
          <t>Maxol Malahide</t>
        </is>
      </c>
      <c r="K20" s="2">
        <f>IF(A20&lt;&gt;A19,"",IF(I19="no",D19,K19))</f>
        <v/>
      </c>
      <c r="L20" s="2">
        <f>IF(OR(A20&lt;&gt;A19,K20=""),"",IF(I19="no",F20,L19+F20))</f>
        <v/>
      </c>
      <c r="M20" s="2">
        <f>IF(AND(I20="no",K20&lt;&gt;""),D20-K20,"")</f>
        <v/>
      </c>
      <c r="N20" s="19">
        <f>IF(M20="","",L20/M20*100)</f>
        <v/>
      </c>
      <c r="O20" s="2">
        <f>A20&amp;"|"&amp;C20</f>
        <v/>
      </c>
    </row>
    <row r="21">
      <c r="A21" s="4" t="inlineStr">
        <is>
          <t>corolla</t>
        </is>
      </c>
      <c r="B21" s="4" t="inlineStr">
        <is>
          <t>sam</t>
        </is>
      </c>
      <c r="C21" s="4" t="inlineStr">
        <is>
          <t>2024-08-07 16:31</t>
        </is>
      </c>
      <c r="D21" s="4" t="n">
        <v>65072.9</v>
      </c>
      <c r="E21" s="4" t="inlineStr">
        <is>
          <t>petrol</t>
        </is>
      </c>
      <c r="F21" s="4" t="n">
        <v>34.145</v>
      </c>
      <c r="G21" s="4" t="n">
        <v>1.763</v>
      </c>
      <c r="H21" s="4" t="n">
        <v>60.2</v>
      </c>
      <c r="I21" s="4" t="inlineStr">
        <is>
          <t>no</t>
        </is>
      </c>
      <c r="J21" s="4" t="inlineStr">
        <is>
          <t>Applegreen Airside</t>
        </is>
      </c>
      <c r="K21" s="2">
        <f>IF(A21&lt;&gt;A20,"",IF(I20="no",D20,K20))</f>
        <v/>
      </c>
      <c r="L21" s="2">
        <f>IF(OR(A21&lt;&gt;A20,K21=""),"",IF(I20="no",F21,L20+F21))</f>
        <v/>
      </c>
      <c r="M21" s="2">
        <f>IF(AND(I21="no",K21&lt;&gt;""),D21-K21,"")</f>
        <v/>
      </c>
      <c r="N21" s="19">
        <f>IF(M21="","",L21/M21*100)</f>
        <v/>
      </c>
      <c r="O21" s="2">
        <f>A21&amp;"|"&amp;C21</f>
        <v/>
      </c>
    </row>
    <row r="22">
      <c r="A22" s="4" t="inlineStr">
        <is>
          <t>corolla</t>
        </is>
      </c>
      <c r="B22" s="4" t="inlineStr">
        <is>
          <t>sam</t>
        </is>
      </c>
      <c r="C22" s="4" t="inlineStr">
        <is>
          <t>2024-08-20 16:17</t>
        </is>
      </c>
      <c r="D22" s="4" t="n">
        <v>65631.8</v>
      </c>
      <c r="E22" s="4" t="inlineStr">
        <is>
          <t>petrol</t>
        </is>
      </c>
      <c r="F22" s="4" t="n">
        <v>25.144</v>
      </c>
      <c r="G22" s="4" t="n">
        <v>1.762</v>
      </c>
      <c r="H22" s="4" t="n">
        <v>44.3</v>
      </c>
      <c r="I22" s="4" t="inlineStr">
        <is>
          <t>no</t>
        </is>
      </c>
      <c r="J22" s="4" t="inlineStr">
        <is>
          <t>Maxol Malahide</t>
        </is>
      </c>
      <c r="K22" s="2">
        <f>IF(A22&lt;&gt;A21,"",IF(I21="no",D21,K21))</f>
        <v/>
      </c>
      <c r="L22" s="2">
        <f>IF(OR(A22&lt;&gt;A21,K22=""),"",IF(I21="no",F22,L21+F22))</f>
        <v/>
      </c>
      <c r="M22" s="2">
        <f>IF(AND(I22="no",K22&lt;&gt;""),D22-K22,"")</f>
        <v/>
      </c>
      <c r="N22" s="19">
        <f>IF(M22="","",L22/M22*100)</f>
        <v/>
      </c>
      <c r="O22" s="2">
        <f>A22&amp;"|"&amp;C22</f>
        <v/>
      </c>
    </row>
    <row r="23">
      <c r="A23" s="4" t="inlineStr">
        <is>
          <t>corolla</t>
        </is>
      </c>
      <c r="B23" s="4" t="inlineStr">
        <is>
          <t>sam</t>
        </is>
      </c>
      <c r="C23" s="4" t="inlineStr">
        <is>
          <t>2024-09-01 14:42</t>
        </is>
      </c>
      <c r="D23" s="4" t="n">
        <v>66152.10000000001</v>
      </c>
      <c r="E23" s="4" t="inlineStr">
        <is>
          <t>petrol</t>
        </is>
      </c>
      <c r="F23" s="4" t="n">
        <v>18.092</v>
      </c>
      <c r="G23" s="4" t="n">
        <v>1.762</v>
      </c>
      <c r="H23" s="4" t="n">
        <v>31.88</v>
      </c>
      <c r="I23" s="4" t="inlineStr">
        <is>
          <t>yes</t>
        </is>
      </c>
      <c r="J23" s="4" t="inlineStr">
        <is>
          <t>Circle K Swords</t>
        </is>
      </c>
      <c r="K23" s="2">
        <f>IF(A23&lt;&gt;A22,"",IF(I22="no",D22,K22))</f>
        <v/>
      </c>
      <c r="L23" s="2">
        <f>IF(OR(A23&lt;&gt;A22,K23=""),"",IF(I22="no",F23,L22+F23))</f>
        <v/>
      </c>
      <c r="M23" s="2">
        <f>IF(AND(I23="no",K23&lt;&gt;""),D23-K23,"")</f>
        <v/>
      </c>
      <c r="N23" s="19">
        <f>IF(M23="","",L23/M23*100)</f>
        <v/>
      </c>
      <c r="O23" s="2">
        <f>A23&amp;"|"&amp;C23</f>
        <v/>
      </c>
    </row>
    <row r="24">
      <c r="A24" s="4" t="inlineStr">
        <is>
          <t>corolla</t>
        </is>
      </c>
      <c r="B24" s="4" t="inlineStr">
        <is>
          <t>sam</t>
        </is>
      </c>
      <c r="C24" s="4" t="inlineStr">
        <is>
          <t>2024-09-08 14:06</t>
        </is>
      </c>
      <c r="D24" s="4" t="n">
        <v>66520.89999999999</v>
      </c>
      <c r="E24" s="4" t="inlineStr">
        <is>
          <t>petrol</t>
        </is>
      </c>
      <c r="F24" s="4" t="n">
        <v>23.782</v>
      </c>
      <c r="G24" s="4" t="n">
        <v>1.767</v>
      </c>
      <c r="H24" s="4" t="n">
        <v>42.02</v>
      </c>
      <c r="I24" s="4" t="inlineStr">
        <is>
          <t>no</t>
        </is>
      </c>
      <c r="J24" s="4" t="inlineStr">
        <is>
          <t>Applegreen Airside</t>
        </is>
      </c>
      <c r="K24" s="2">
        <f>IF(A24&lt;&gt;A23,"",IF(I23="no",D23,K23))</f>
        <v/>
      </c>
      <c r="L24" s="2">
        <f>IF(OR(A24&lt;&gt;A23,K24=""),"",IF(I23="no",F24,L23+F24))</f>
        <v/>
      </c>
      <c r="M24" s="2">
        <f>IF(AND(I24="no",K24&lt;&gt;""),D24-K24,"")</f>
        <v/>
      </c>
      <c r="N24" s="19">
        <f>IF(M24="","",L24/M24*100)</f>
        <v/>
      </c>
      <c r="O24" s="2">
        <f>A24&amp;"|"&amp;C24</f>
        <v/>
      </c>
    </row>
    <row r="25">
      <c r="A25" s="4" t="inlineStr">
        <is>
          <t>corolla</t>
        </is>
      </c>
      <c r="B25" s="4" t="inlineStr">
        <is>
          <t>sam</t>
        </is>
      </c>
      <c r="C25" s="4" t="inlineStr">
        <is>
          <t>2024-09-22 13:36</t>
        </is>
      </c>
      <c r="D25" s="4" t="n">
        <v>67190.3</v>
      </c>
      <c r="E25" s="4" t="inlineStr">
        <is>
          <t>petrol</t>
        </is>
      </c>
      <c r="F25" s="4" t="n">
        <v>30.804</v>
      </c>
      <c r="G25" s="4" t="n">
        <v>1.764</v>
      </c>
      <c r="H25" s="4" t="n">
        <v>54.34</v>
      </c>
      <c r="I25" s="4" t="inlineStr">
        <is>
          <t>no</t>
        </is>
      </c>
      <c r="J25" s="4" t="inlineStr">
        <is>
          <t>Maxol Malahide</t>
        </is>
      </c>
      <c r="K25" s="2">
        <f>IF(A25&lt;&gt;A24,"",IF(I24="no",D24,K24))</f>
        <v/>
      </c>
      <c r="L25" s="2">
        <f>IF(OR(A25&lt;&gt;A24,K25=""),"",IF(I24="no",F25,L24+F25))</f>
        <v/>
      </c>
      <c r="M25" s="2">
        <f>IF(AND(I25="no",K25&lt;&gt;""),D25-K25,"")</f>
        <v/>
      </c>
      <c r="N25" s="19">
        <f>IF(M25="","",L25/M25*100)</f>
        <v/>
      </c>
      <c r="O25" s="2">
        <f>A25&amp;"|"&amp;C25</f>
        <v/>
      </c>
    </row>
    <row r="26">
      <c r="A26" s="4" t="inlineStr">
        <is>
          <t>corolla</t>
        </is>
      </c>
      <c r="B26" s="4" t="inlineStr">
        <is>
          <t>sam</t>
        </is>
      </c>
      <c r="C26" s="4" t="inlineStr">
        <is>
          <t>2024-10-07 11:39</t>
        </is>
      </c>
      <c r="D26" s="4" t="n">
        <v>67877.89999999999</v>
      </c>
      <c r="E26" s="4" t="inlineStr">
        <is>
          <t>petrol</t>
        </is>
      </c>
      <c r="F26" s="4" t="n">
        <v>32.323</v>
      </c>
      <c r="G26" s="4" t="n">
        <v>1.756</v>
      </c>
      <c r="H26" s="4" t="n">
        <v>56.76</v>
      </c>
      <c r="I26" s="4" t="inlineStr">
        <is>
          <t>no</t>
        </is>
      </c>
      <c r="J26" s="4" t="inlineStr">
        <is>
          <t>Maxol Malahide</t>
        </is>
      </c>
      <c r="K26" s="2">
        <f>IF(A26&lt;&gt;A25,"",IF(I25="no",D25,K25))</f>
        <v/>
      </c>
      <c r="L26" s="2">
        <f>IF(OR(A26&lt;&gt;A25,K26=""),"",IF(I25="no",F26,L25+F26))</f>
        <v/>
      </c>
      <c r="M26" s="2">
        <f>IF(AND(I26="no",K26&lt;&gt;""),D26-K26,"")</f>
        <v/>
      </c>
      <c r="N26" s="19">
        <f>IF(M26="","",L26/M26*100)</f>
        <v/>
      </c>
      <c r="O26" s="2">
        <f>A26&amp;"|"&amp;C26</f>
        <v/>
      </c>
    </row>
    <row r="27">
      <c r="A27" s="4" t="inlineStr">
        <is>
          <t>corolla</t>
        </is>
      </c>
      <c r="B27" s="4" t="inlineStr">
        <is>
          <t>sam</t>
        </is>
      </c>
      <c r="C27" s="4" t="inlineStr">
        <is>
          <t>2024-10-25 09:12</t>
        </is>
      </c>
      <c r="D27" s="4" t="n">
        <v>68615.3</v>
      </c>
      <c r="E27" s="4" t="inlineStr">
        <is>
          <t>petrol</t>
        </is>
      </c>
      <c r="F27" s="4" t="n">
        <v>34.26</v>
      </c>
      <c r="G27" s="4" t="n">
        <v>1.756</v>
      </c>
      <c r="H27" s="4" t="n">
        <v>60.16</v>
      </c>
      <c r="I27" s="4" t="inlineStr">
        <is>
          <t>no</t>
        </is>
      </c>
      <c r="J27" s="4" t="inlineStr">
        <is>
          <t>Maxol Malahide</t>
        </is>
      </c>
      <c r="K27" s="2">
        <f>IF(A27&lt;&gt;A26,"",IF(I26="no",D26,K26))</f>
        <v/>
      </c>
      <c r="L27" s="2">
        <f>IF(OR(A27&lt;&gt;A26,K27=""),"",IF(I26="no",F27,L26+F27))</f>
        <v/>
      </c>
      <c r="M27" s="2">
        <f>IF(AND(I27="no",K27&lt;&gt;""),D27-K27,"")</f>
        <v/>
      </c>
      <c r="N27" s="19">
        <f>IF(M27="","",L27/M27*100)</f>
        <v/>
      </c>
      <c r="O27" s="2">
        <f>A27&amp;"|"&amp;C27</f>
        <v/>
      </c>
    </row>
    <row r="28">
      <c r="A28" s="4" t="inlineStr">
        <is>
          <t>corolla</t>
        </is>
      </c>
      <c r="B28" s="4" t="inlineStr">
        <is>
          <t>sam</t>
        </is>
      </c>
      <c r="C28" s="4" t="inlineStr">
        <is>
          <t>2024-11-08 11:26</t>
        </is>
      </c>
      <c r="D28" s="4" t="n">
        <v>69248.7</v>
      </c>
      <c r="E28" s="4" t="inlineStr">
        <is>
          <t>petrol</t>
        </is>
      </c>
      <c r="F28" s="4" t="n">
        <v>29.116</v>
      </c>
      <c r="G28" s="4" t="n">
        <v>1.744</v>
      </c>
      <c r="H28" s="4" t="n">
        <v>50.78</v>
      </c>
      <c r="I28" s="4" t="inlineStr">
        <is>
          <t>no</t>
        </is>
      </c>
      <c r="J28" s="4" t="inlineStr">
        <is>
          <t>Circle K Swords</t>
        </is>
      </c>
      <c r="K28" s="2">
        <f>IF(A28&lt;&gt;A27,"",IF(I27="no",D27,K27))</f>
        <v/>
      </c>
      <c r="L28" s="2">
        <f>IF(OR(A28&lt;&gt;A27,K28=""),"",IF(I27="no",F28,L27+F28))</f>
        <v/>
      </c>
      <c r="M28" s="2">
        <f>IF(AND(I28="no",K28&lt;&gt;""),D28-K28,"")</f>
        <v/>
      </c>
      <c r="N28" s="19">
        <f>IF(M28="","",L28/M28*100)</f>
        <v/>
      </c>
      <c r="O28" s="2">
        <f>A28&amp;"|"&amp;C28</f>
        <v/>
      </c>
    </row>
    <row r="29">
      <c r="A29" s="4" t="inlineStr">
        <is>
          <t>corolla</t>
        </is>
      </c>
      <c r="B29" s="4" t="inlineStr">
        <is>
          <t>sam</t>
        </is>
      </c>
      <c r="C29" s="4" t="inlineStr">
        <is>
          <t>2024-11-24 19:43</t>
        </is>
      </c>
      <c r="D29" s="4" t="n">
        <v>70014.3</v>
      </c>
      <c r="E29" s="4" t="inlineStr">
        <is>
          <t>petrol</t>
        </is>
      </c>
      <c r="F29" s="4" t="n">
        <v>34.175</v>
      </c>
      <c r="G29" s="4" t="n">
        <v>1.738</v>
      </c>
      <c r="H29" s="4" t="n">
        <v>59.4</v>
      </c>
      <c r="I29" s="4" t="inlineStr">
        <is>
          <t>no</t>
        </is>
      </c>
      <c r="J29" s="4" t="inlineStr">
        <is>
          <t>Maxol Malahide</t>
        </is>
      </c>
      <c r="K29" s="2">
        <f>IF(A29&lt;&gt;A28,"",IF(I28="no",D28,K28))</f>
        <v/>
      </c>
      <c r="L29" s="2">
        <f>IF(OR(A29&lt;&gt;A28,K29=""),"",IF(I28="no",F29,L28+F29))</f>
        <v/>
      </c>
      <c r="M29" s="2">
        <f>IF(AND(I29="no",K29&lt;&gt;""),D29-K29,"")</f>
        <v/>
      </c>
      <c r="N29" s="19">
        <f>IF(M29="","",L29/M29*100)</f>
        <v/>
      </c>
      <c r="O29" s="2">
        <f>A29&amp;"|"&amp;C29</f>
        <v/>
      </c>
    </row>
    <row r="30">
      <c r="A30" s="4" t="inlineStr">
        <is>
          <t>corolla</t>
        </is>
      </c>
      <c r="B30" s="4" t="inlineStr">
        <is>
          <t>sam</t>
        </is>
      </c>
      <c r="C30" s="4" t="inlineStr">
        <is>
          <t>2024-12-12 17:00</t>
        </is>
      </c>
      <c r="D30" s="4" t="n">
        <v>70794.8</v>
      </c>
      <c r="E30" s="4" t="inlineStr">
        <is>
          <t>petrol</t>
        </is>
      </c>
      <c r="F30" s="4" t="n">
        <v>30.745</v>
      </c>
      <c r="G30" s="4" t="n">
        <v>1.752</v>
      </c>
      <c r="H30" s="4" t="n">
        <v>53.87</v>
      </c>
      <c r="I30" s="4" t="inlineStr">
        <is>
          <t>yes</t>
        </is>
      </c>
      <c r="J30" s="4" t="inlineStr">
        <is>
          <t>Applegreen Airside</t>
        </is>
      </c>
      <c r="K30" s="2">
        <f>IF(A30&lt;&gt;A29,"",IF(I29="no",D29,K29))</f>
        <v/>
      </c>
      <c r="L30" s="2">
        <f>IF(OR(A30&lt;&gt;A29,K30=""),"",IF(I29="no",F30,L29+F30))</f>
        <v/>
      </c>
      <c r="M30" s="2">
        <f>IF(AND(I30="no",K30&lt;&gt;""),D30-K30,"")</f>
        <v/>
      </c>
      <c r="N30" s="19">
        <f>IF(M30="","",L30/M30*100)</f>
        <v/>
      </c>
      <c r="O30" s="2">
        <f>A30&amp;"|"&amp;C30</f>
        <v/>
      </c>
    </row>
    <row r="31">
      <c r="A31" s="4" t="inlineStr">
        <is>
          <t>corolla</t>
        </is>
      </c>
      <c r="B31" s="4" t="inlineStr">
        <is>
          <t>sam</t>
        </is>
      </c>
      <c r="C31" s="4" t="inlineStr">
        <is>
          <t>2024-12-26 08:47</t>
        </is>
      </c>
      <c r="D31" s="4" t="n">
        <v>71405.7</v>
      </c>
      <c r="E31" s="4" t="inlineStr">
        <is>
          <t>petrol</t>
        </is>
      </c>
      <c r="F31" s="4" t="n">
        <v>35.777</v>
      </c>
      <c r="G31" s="4" t="n">
        <v>1.743</v>
      </c>
      <c r="H31" s="4" t="n">
        <v>62.36</v>
      </c>
      <c r="I31" s="4" t="inlineStr">
        <is>
          <t>no</t>
        </is>
      </c>
      <c r="J31" s="4" t="inlineStr">
        <is>
          <t>Applegreen Airside</t>
        </is>
      </c>
      <c r="K31" s="2">
        <f>IF(A31&lt;&gt;A30,"",IF(I30="no",D30,K30))</f>
        <v/>
      </c>
      <c r="L31" s="2">
        <f>IF(OR(A31&lt;&gt;A30,K31=""),"",IF(I30="no",F31,L30+F31))</f>
        <v/>
      </c>
      <c r="M31" s="2">
        <f>IF(AND(I31="no",K31&lt;&gt;""),D31-K31,"")</f>
        <v/>
      </c>
      <c r="N31" s="19">
        <f>IF(M31="","",L31/M31*100)</f>
        <v/>
      </c>
      <c r="O31" s="2">
        <f>A31&amp;"|"&amp;C31</f>
        <v/>
      </c>
    </row>
    <row r="32">
      <c r="A32" s="4" t="inlineStr">
        <is>
          <t>corolla</t>
        </is>
      </c>
      <c r="B32" s="4" t="inlineStr">
        <is>
          <t>sam</t>
        </is>
      </c>
      <c r="C32" s="4" t="inlineStr">
        <is>
          <t>2025-01-14 09:12</t>
        </is>
      </c>
      <c r="D32" s="4" t="n">
        <v>72226.7</v>
      </c>
      <c r="E32" s="4" t="inlineStr">
        <is>
          <t>petrol</t>
        </is>
      </c>
      <c r="F32" s="4" t="n">
        <v>37.171</v>
      </c>
      <c r="G32" s="4" t="n">
        <v>1.738</v>
      </c>
      <c r="H32" s="4" t="n">
        <v>64.59999999999999</v>
      </c>
      <c r="I32" s="4" t="inlineStr">
        <is>
          <t>no</t>
        </is>
      </c>
      <c r="J32" s="4" t="inlineStr">
        <is>
          <t>Applegreen Airside</t>
        </is>
      </c>
      <c r="K32" s="2">
        <f>IF(A32&lt;&gt;A31,"",IF(I31="no",D31,K31))</f>
        <v/>
      </c>
      <c r="L32" s="2">
        <f>IF(OR(A32&lt;&gt;A31,K32=""),"",IF(I31="no",F32,L31+F32))</f>
        <v/>
      </c>
      <c r="M32" s="2">
        <f>IF(AND(I32="no",K32&lt;&gt;""),D32-K32,"")</f>
        <v/>
      </c>
      <c r="N32" s="19">
        <f>IF(M32="","",L32/M32*100)</f>
        <v/>
      </c>
      <c r="O32" s="2">
        <f>A32&amp;"|"&amp;C32</f>
        <v/>
      </c>
    </row>
    <row r="33">
      <c r="A33" s="4" t="inlineStr">
        <is>
          <t>corolla</t>
        </is>
      </c>
      <c r="B33" s="4" t="inlineStr">
        <is>
          <t>sam</t>
        </is>
      </c>
      <c r="C33" s="4" t="inlineStr">
        <is>
          <t>2025-01-29 20:49</t>
        </is>
      </c>
      <c r="D33" s="4" t="n">
        <v>72844.3</v>
      </c>
      <c r="E33" s="4" t="inlineStr">
        <is>
          <t>petrol</t>
        </is>
      </c>
      <c r="F33" s="4" t="n">
        <v>27.817</v>
      </c>
      <c r="G33" s="4" t="n">
        <v>1.734</v>
      </c>
      <c r="H33" s="4" t="n">
        <v>48.23</v>
      </c>
      <c r="I33" s="4" t="inlineStr">
        <is>
          <t>no</t>
        </is>
      </c>
      <c r="J33" s="4" t="inlineStr">
        <is>
          <t>Maxol Malahide</t>
        </is>
      </c>
      <c r="K33" s="2">
        <f>IF(A33&lt;&gt;A32,"",IF(I32="no",D32,K32))</f>
        <v/>
      </c>
      <c r="L33" s="2">
        <f>IF(OR(A33&lt;&gt;A32,K33=""),"",IF(I32="no",F33,L32+F33))</f>
        <v/>
      </c>
      <c r="M33" s="2">
        <f>IF(AND(I33="no",K33&lt;&gt;""),D33-K33,"")</f>
        <v/>
      </c>
      <c r="N33" s="19">
        <f>IF(M33="","",L33/M33*100)</f>
        <v/>
      </c>
      <c r="O33" s="2">
        <f>A33&amp;"|"&amp;C33</f>
        <v/>
      </c>
    </row>
    <row r="34">
      <c r="A34" s="4" t="inlineStr">
        <is>
          <t>corolla</t>
        </is>
      </c>
      <c r="B34" s="4" t="inlineStr">
        <is>
          <t>sam</t>
        </is>
      </c>
      <c r="C34" s="4" t="inlineStr">
        <is>
          <t>2025-02-18 15:33</t>
        </is>
      </c>
      <c r="D34" s="4" t="n">
        <v>73632.2</v>
      </c>
      <c r="E34" s="4" t="inlineStr">
        <is>
          <t>petrol</t>
        </is>
      </c>
      <c r="F34" s="4" t="n">
        <v>36.62</v>
      </c>
      <c r="G34" s="4" t="n">
        <v>1.741</v>
      </c>
      <c r="H34" s="4" t="n">
        <v>63.76</v>
      </c>
      <c r="I34" s="4" t="inlineStr">
        <is>
          <t>no</t>
        </is>
      </c>
      <c r="J34" s="4" t="inlineStr">
        <is>
          <t>Maxol Malahide</t>
        </is>
      </c>
      <c r="K34" s="2">
        <f>IF(A34&lt;&gt;A33,"",IF(I33="no",D33,K33))</f>
        <v/>
      </c>
      <c r="L34" s="2">
        <f>IF(OR(A34&lt;&gt;A33,K34=""),"",IF(I33="no",F34,L33+F34))</f>
        <v/>
      </c>
      <c r="M34" s="2">
        <f>IF(AND(I34="no",K34&lt;&gt;""),D34-K34,"")</f>
        <v/>
      </c>
      <c r="N34" s="19">
        <f>IF(M34="","",L34/M34*100)</f>
        <v/>
      </c>
      <c r="O34" s="2">
        <f>A34&amp;"|"&amp;C34</f>
        <v/>
      </c>
    </row>
    <row r="35">
      <c r="A35" s="4" t="inlineStr">
        <is>
          <t>corolla</t>
        </is>
      </c>
      <c r="B35" s="4" t="inlineStr">
        <is>
          <t>sam</t>
        </is>
      </c>
      <c r="C35" s="4" t="inlineStr">
        <is>
          <t>2025-03-10 12:35</t>
        </is>
      </c>
      <c r="D35" s="4" t="n">
        <v>74388.5</v>
      </c>
      <c r="E35" s="4" t="inlineStr">
        <is>
          <t>petrol</t>
        </is>
      </c>
      <c r="F35" s="4" t="n">
        <v>35.768</v>
      </c>
      <c r="G35" s="4" t="n">
        <v>1.732</v>
      </c>
      <c r="H35" s="4" t="n">
        <v>61.95</v>
      </c>
      <c r="I35" s="4" t="inlineStr">
        <is>
          <t>no</t>
        </is>
      </c>
      <c r="J35" s="4" t="inlineStr">
        <is>
          <t>Circle K Swords</t>
        </is>
      </c>
      <c r="K35" s="2">
        <f>IF(A35&lt;&gt;A34,"",IF(I34="no",D34,K34))</f>
        <v/>
      </c>
      <c r="L35" s="2">
        <f>IF(OR(A35&lt;&gt;A34,K35=""),"",IF(I34="no",F35,L34+F35))</f>
        <v/>
      </c>
      <c r="M35" s="2">
        <f>IF(AND(I35="no",K35&lt;&gt;""),D35-K35,"")</f>
        <v/>
      </c>
      <c r="N35" s="19">
        <f>IF(M35="","",L35/M35*100)</f>
        <v/>
      </c>
      <c r="O35" s="2">
        <f>A35&amp;"|"&amp;C35</f>
        <v/>
      </c>
    </row>
    <row r="36">
      <c r="A36" s="4" t="inlineStr">
        <is>
          <t>corolla</t>
        </is>
      </c>
      <c r="B36" s="4" t="inlineStr">
        <is>
          <t>sam</t>
        </is>
      </c>
      <c r="C36" s="4" t="inlineStr">
        <is>
          <t>2025-03-23 19:08</t>
        </is>
      </c>
      <c r="D36" s="4" t="n">
        <v>74988.7</v>
      </c>
      <c r="E36" s="4" t="inlineStr">
        <is>
          <t>petrol</t>
        </is>
      </c>
      <c r="F36" s="4" t="n">
        <v>11.783</v>
      </c>
      <c r="G36" s="4" t="n">
        <v>1.732</v>
      </c>
      <c r="H36" s="4" t="n">
        <v>20.41</v>
      </c>
      <c r="I36" s="4" t="inlineStr">
        <is>
          <t>yes</t>
        </is>
      </c>
      <c r="J36" s="4" t="inlineStr">
        <is>
          <t>Applegreen Airside</t>
        </is>
      </c>
      <c r="K36" s="2">
        <f>IF(A36&lt;&gt;A35,"",IF(I35="no",D35,K35))</f>
        <v/>
      </c>
      <c r="L36" s="2">
        <f>IF(OR(A36&lt;&gt;A35,K36=""),"",IF(I35="no",F36,L35+F36))</f>
        <v/>
      </c>
      <c r="M36" s="2">
        <f>IF(AND(I36="no",K36&lt;&gt;""),D36-K36,"")</f>
        <v/>
      </c>
      <c r="N36" s="19">
        <f>IF(M36="","",L36/M36*100)</f>
        <v/>
      </c>
      <c r="O36" s="2">
        <f>A36&amp;"|"&amp;C36</f>
        <v/>
      </c>
    </row>
    <row r="37">
      <c r="A37" s="4" t="inlineStr">
        <is>
          <t>corolla</t>
        </is>
      </c>
      <c r="B37" s="4" t="inlineStr">
        <is>
          <t>sam</t>
        </is>
      </c>
      <c r="C37" s="4" t="inlineStr">
        <is>
          <t>2025-03-27 18:13</t>
        </is>
      </c>
      <c r="D37" s="4" t="n">
        <v>75201.60000000001</v>
      </c>
      <c r="E37" s="4" t="inlineStr">
        <is>
          <t>petrol</t>
        </is>
      </c>
      <c r="F37" s="4" t="n">
        <v>26.023</v>
      </c>
      <c r="G37" s="4" t="n">
        <v>1.738</v>
      </c>
      <c r="H37" s="4" t="n">
        <v>45.23</v>
      </c>
      <c r="I37" s="4" t="inlineStr">
        <is>
          <t>no</t>
        </is>
      </c>
      <c r="J37" s="4" t="inlineStr">
        <is>
          <t>Applegreen Airside</t>
        </is>
      </c>
      <c r="K37" s="2">
        <f>IF(A37&lt;&gt;A36,"",IF(I36="no",D36,K36))</f>
        <v/>
      </c>
      <c r="L37" s="2">
        <f>IF(OR(A37&lt;&gt;A36,K37=""),"",IF(I36="no",F37,L36+F37))</f>
        <v/>
      </c>
      <c r="M37" s="2">
        <f>IF(AND(I37="no",K37&lt;&gt;""),D37-K37,"")</f>
        <v/>
      </c>
      <c r="N37" s="19">
        <f>IF(M37="","",L37/M37*100)</f>
        <v/>
      </c>
      <c r="O37" s="2">
        <f>A37&amp;"|"&amp;C37</f>
        <v/>
      </c>
    </row>
    <row r="38">
      <c r="A38" s="4" t="inlineStr">
        <is>
          <t>corolla</t>
        </is>
      </c>
      <c r="B38" s="4" t="inlineStr">
        <is>
          <t>sam</t>
        </is>
      </c>
      <c r="C38" s="4" t="inlineStr">
        <is>
          <t>2025-04-14 17:34</t>
        </is>
      </c>
      <c r="D38" s="4" t="n">
        <v>75962.39999999999</v>
      </c>
      <c r="E38" s="4" t="inlineStr">
        <is>
          <t>petrol</t>
        </is>
      </c>
      <c r="F38" s="4" t="n">
        <v>28.099</v>
      </c>
      <c r="G38" s="4" t="n">
        <v>1.729</v>
      </c>
      <c r="H38" s="4" t="n">
        <v>48.58</v>
      </c>
      <c r="I38" s="4" t="inlineStr">
        <is>
          <t>yes</t>
        </is>
      </c>
      <c r="J38" s="4" t="inlineStr">
        <is>
          <t>Maxol Malahide</t>
        </is>
      </c>
      <c r="K38" s="2">
        <f>IF(A38&lt;&gt;A37,"",IF(I37="no",D37,K37))</f>
        <v/>
      </c>
      <c r="L38" s="2">
        <f>IF(OR(A38&lt;&gt;A37,K38=""),"",IF(I37="no",F38,L37+F38))</f>
        <v/>
      </c>
      <c r="M38" s="2">
        <f>IF(AND(I38="no",K38&lt;&gt;""),D38-K38,"")</f>
        <v/>
      </c>
      <c r="N38" s="19">
        <f>IF(M38="","",L38/M38*100)</f>
        <v/>
      </c>
      <c r="O38" s="2">
        <f>A38&amp;"|"&amp;C38</f>
        <v/>
      </c>
    </row>
    <row r="39">
      <c r="A39" s="4" t="inlineStr">
        <is>
          <t>corolla</t>
        </is>
      </c>
      <c r="B39" s="4" t="inlineStr">
        <is>
          <t>sam</t>
        </is>
      </c>
      <c r="C39" s="4" t="inlineStr">
        <is>
          <t>2025-04-28 07:11</t>
        </is>
      </c>
      <c r="D39" s="4" t="n">
        <v>76563.89999999999</v>
      </c>
      <c r="E39" s="4" t="inlineStr">
        <is>
          <t>petrol</t>
        </is>
      </c>
      <c r="F39" s="4" t="n">
        <v>35.429</v>
      </c>
      <c r="G39" s="4" t="n">
        <v>1.736</v>
      </c>
      <c r="H39" s="4" t="n">
        <v>61.5</v>
      </c>
      <c r="I39" s="4" t="inlineStr">
        <is>
          <t>no</t>
        </is>
      </c>
      <c r="J39" s="4" t="inlineStr">
        <is>
          <t>Circle K Swords</t>
        </is>
      </c>
      <c r="K39" s="2">
        <f>IF(A39&lt;&gt;A38,"",IF(I38="no",D38,K38))</f>
        <v/>
      </c>
      <c r="L39" s="2">
        <f>IF(OR(A39&lt;&gt;A38,K39=""),"",IF(I38="no",F39,L38+F39))</f>
        <v/>
      </c>
      <c r="M39" s="2">
        <f>IF(AND(I39="no",K39&lt;&gt;""),D39-K39,"")</f>
        <v/>
      </c>
      <c r="N39" s="19">
        <f>IF(M39="","",L39/M39*100)</f>
        <v/>
      </c>
      <c r="O39" s="2">
        <f>A39&amp;"|"&amp;C39</f>
        <v/>
      </c>
    </row>
    <row r="40">
      <c r="A40" s="4" t="inlineStr">
        <is>
          <t>corolla</t>
        </is>
      </c>
      <c r="B40" s="4" t="inlineStr">
        <is>
          <t>sam</t>
        </is>
      </c>
      <c r="C40" s="4" t="inlineStr">
        <is>
          <t>2025-05-12 15:52</t>
        </is>
      </c>
      <c r="D40" s="4" t="n">
        <v>77150.60000000001</v>
      </c>
      <c r="E40" s="4" t="inlineStr">
        <is>
          <t>petrol</t>
        </is>
      </c>
      <c r="F40" s="4" t="n">
        <v>27.523</v>
      </c>
      <c r="G40" s="4" t="n">
        <v>1.734</v>
      </c>
      <c r="H40" s="4" t="n">
        <v>47.72</v>
      </c>
      <c r="I40" s="4" t="inlineStr">
        <is>
          <t>no</t>
        </is>
      </c>
      <c r="J40" s="4" t="inlineStr">
        <is>
          <t>Applegreen Airside</t>
        </is>
      </c>
      <c r="K40" s="2">
        <f>IF(A40&lt;&gt;A39,"",IF(I39="no",D39,K39))</f>
        <v/>
      </c>
      <c r="L40" s="2">
        <f>IF(OR(A40&lt;&gt;A39,K40=""),"",IF(I39="no",F40,L39+F40))</f>
        <v/>
      </c>
      <c r="M40" s="2">
        <f>IF(AND(I40="no",K40&lt;&gt;""),D40-K40,"")</f>
        <v/>
      </c>
      <c r="N40" s="19">
        <f>IF(M40="","",L40/M40*100)</f>
        <v/>
      </c>
      <c r="O40" s="2">
        <f>A40&amp;"|"&amp;C40</f>
        <v/>
      </c>
    </row>
    <row r="41">
      <c r="A41" s="4" t="inlineStr">
        <is>
          <t>corolla</t>
        </is>
      </c>
      <c r="B41" s="4" t="inlineStr">
        <is>
          <t>sam</t>
        </is>
      </c>
      <c r="C41" s="4" t="inlineStr">
        <is>
          <t>2025-05-25 14:04</t>
        </is>
      </c>
      <c r="D41" s="4" t="n">
        <v>77693.8</v>
      </c>
      <c r="E41" s="4" t="inlineStr">
        <is>
          <t>petrol</t>
        </is>
      </c>
      <c r="F41" s="4" t="n">
        <v>24.769</v>
      </c>
      <c r="G41" s="4" t="n">
        <v>1.717</v>
      </c>
      <c r="H41" s="4" t="n">
        <v>42.53</v>
      </c>
      <c r="I41" s="4" t="inlineStr">
        <is>
          <t>no</t>
        </is>
      </c>
      <c r="J41" s="4" t="inlineStr">
        <is>
          <t>Circle K Swords</t>
        </is>
      </c>
      <c r="K41" s="2">
        <f>IF(A41&lt;&gt;A40,"",IF(I40="no",D40,K40))</f>
        <v/>
      </c>
      <c r="L41" s="2">
        <f>IF(OR(A41&lt;&gt;A40,K41=""),"",IF(I40="no",F41,L40+F41))</f>
        <v/>
      </c>
      <c r="M41" s="2">
        <f>IF(AND(I41="no",K41&lt;&gt;""),D41-K41,"")</f>
        <v/>
      </c>
      <c r="N41" s="19">
        <f>IF(M41="","",L41/M41*100)</f>
        <v/>
      </c>
      <c r="O41" s="2">
        <f>A41&amp;"|"&amp;C41</f>
        <v/>
      </c>
    </row>
    <row r="42">
      <c r="A42" s="4" t="inlineStr">
        <is>
          <t>corolla</t>
        </is>
      </c>
      <c r="B42" s="4" t="inlineStr">
        <is>
          <t>sam</t>
        </is>
      </c>
      <c r="C42" s="4" t="inlineStr">
        <is>
          <t>2025-06-08 13:53</t>
        </is>
      </c>
      <c r="D42" s="4" t="n">
        <v>78301.89999999999</v>
      </c>
      <c r="E42" s="4" t="inlineStr">
        <is>
          <t>petrol</t>
        </is>
      </c>
      <c r="F42" s="4" t="n">
        <v>28.414</v>
      </c>
      <c r="G42" s="4" t="n">
        <v>1.731</v>
      </c>
      <c r="H42" s="4" t="n">
        <v>49.18</v>
      </c>
      <c r="I42" s="4" t="inlineStr">
        <is>
          <t>no</t>
        </is>
      </c>
      <c r="J42" s="4" t="inlineStr">
        <is>
          <t>Maxol Malahide</t>
        </is>
      </c>
      <c r="K42" s="2">
        <f>IF(A42&lt;&gt;A41,"",IF(I41="no",D41,K41))</f>
        <v/>
      </c>
      <c r="L42" s="2">
        <f>IF(OR(A42&lt;&gt;A41,K42=""),"",IF(I41="no",F42,L41+F42))</f>
        <v/>
      </c>
      <c r="M42" s="2">
        <f>IF(AND(I42="no",K42&lt;&gt;""),D42-K42,"")</f>
        <v/>
      </c>
      <c r="N42" s="19">
        <f>IF(M42="","",L42/M42*100)</f>
        <v/>
      </c>
      <c r="O42" s="2">
        <f>A42&amp;"|"&amp;C42</f>
        <v/>
      </c>
    </row>
    <row r="43">
      <c r="A43" s="4" t="inlineStr">
        <is>
          <t>corolla</t>
        </is>
      </c>
      <c r="B43" s="4" t="inlineStr">
        <is>
          <t>sam</t>
        </is>
      </c>
      <c r="C43" s="4" t="inlineStr">
        <is>
          <t>2025-06-27 16:29</t>
        </is>
      </c>
      <c r="D43" s="4" t="n">
        <v>79086.5</v>
      </c>
      <c r="E43" s="4" t="inlineStr">
        <is>
          <t>petrol</t>
        </is>
      </c>
      <c r="F43" s="4" t="n">
        <v>36.958</v>
      </c>
      <c r="G43" s="4" t="n">
        <v>1.718</v>
      </c>
      <c r="H43" s="4" t="n">
        <v>63.49</v>
      </c>
      <c r="I43" s="4" t="inlineStr">
        <is>
          <t>no</t>
        </is>
      </c>
      <c r="J43" s="4" t="inlineStr">
        <is>
          <t>Maxol Malahide</t>
        </is>
      </c>
      <c r="K43" s="2">
        <f>IF(A43&lt;&gt;A42,"",IF(I42="no",D42,K42))</f>
        <v/>
      </c>
      <c r="L43" s="2">
        <f>IF(OR(A43&lt;&gt;A42,K43=""),"",IF(I42="no",F43,L42+F43))</f>
        <v/>
      </c>
      <c r="M43" s="2">
        <f>IF(AND(I43="no",K43&lt;&gt;""),D43-K43,"")</f>
        <v/>
      </c>
      <c r="N43" s="19">
        <f>IF(M43="","",L43/M43*100)</f>
        <v/>
      </c>
      <c r="O43" s="2">
        <f>A43&amp;"|"&amp;C43</f>
        <v/>
      </c>
    </row>
    <row r="44">
      <c r="A44" s="4" t="inlineStr">
        <is>
          <t>corolla</t>
        </is>
      </c>
      <c r="B44" s="4" t="inlineStr">
        <is>
          <t>sam</t>
        </is>
      </c>
      <c r="C44" s="4" t="inlineStr">
        <is>
          <t>2025-07-11 07:57</t>
        </is>
      </c>
      <c r="D44" s="4" t="n">
        <v>79703.60000000001</v>
      </c>
      <c r="E44" s="4" t="inlineStr">
        <is>
          <t>petrol</t>
        </is>
      </c>
      <c r="F44" s="4" t="n">
        <v>29.479</v>
      </c>
      <c r="G44" s="4" t="n">
        <v>1.714</v>
      </c>
      <c r="H44" s="4" t="n">
        <v>50.53</v>
      </c>
      <c r="I44" s="4" t="inlineStr">
        <is>
          <t>no</t>
        </is>
      </c>
      <c r="J44" s="4" t="inlineStr">
        <is>
          <t>Maxol Malahide</t>
        </is>
      </c>
      <c r="K44" s="2">
        <f>IF(A44&lt;&gt;A43,"",IF(I43="no",D43,K43))</f>
        <v/>
      </c>
      <c r="L44" s="2">
        <f>IF(OR(A44&lt;&gt;A43,K44=""),"",IF(I43="no",F44,L43+F44))</f>
        <v/>
      </c>
      <c r="M44" s="2">
        <f>IF(AND(I44="no",K44&lt;&gt;""),D44-K44,"")</f>
        <v/>
      </c>
      <c r="N44" s="19">
        <f>IF(M44="","",L44/M44*100)</f>
        <v/>
      </c>
      <c r="O44" s="2">
        <f>A44&amp;"|"&amp;C44</f>
        <v/>
      </c>
    </row>
    <row r="45">
      <c r="A45" s="4" t="inlineStr">
        <is>
          <t>corolla</t>
        </is>
      </c>
      <c r="B45" s="4" t="inlineStr">
        <is>
          <t>sam</t>
        </is>
      </c>
      <c r="C45" s="4" t="inlineStr">
        <is>
          <t>2025-07-27 11:10</t>
        </is>
      </c>
      <c r="D45" s="4" t="n">
        <v>80435.89999999999</v>
      </c>
      <c r="E45" s="4" t="inlineStr">
        <is>
          <t>petrol</t>
        </is>
      </c>
      <c r="F45" s="4" t="n">
        <v>34.055</v>
      </c>
      <c r="G45" s="4" t="n">
        <v>1.711</v>
      </c>
      <c r="H45" s="4" t="n">
        <v>58.27</v>
      </c>
      <c r="I45" s="4" t="inlineStr">
        <is>
          <t>no</t>
        </is>
      </c>
      <c r="J45" s="4" t="inlineStr">
        <is>
          <t>Maxol Malahide</t>
        </is>
      </c>
      <c r="K45" s="2">
        <f>IF(A45&lt;&gt;A44,"",IF(I44="no",D44,K44))</f>
        <v/>
      </c>
      <c r="L45" s="2">
        <f>IF(OR(A45&lt;&gt;A44,K45=""),"",IF(I44="no",F45,L44+F45))</f>
        <v/>
      </c>
      <c r="M45" s="2">
        <f>IF(AND(I45="no",K45&lt;&gt;""),D45-K45,"")</f>
        <v/>
      </c>
      <c r="N45" s="19">
        <f>IF(M45="","",L45/M45*100)</f>
        <v/>
      </c>
      <c r="O45" s="2">
        <f>A45&amp;"|"&amp;C45</f>
        <v/>
      </c>
    </row>
    <row r="46">
      <c r="A46" s="4" t="inlineStr">
        <is>
          <t>corolla</t>
        </is>
      </c>
      <c r="B46" s="4" t="inlineStr">
        <is>
          <t>sam</t>
        </is>
      </c>
      <c r="C46" s="4" t="inlineStr">
        <is>
          <t>2025-08-10 10:39</t>
        </is>
      </c>
      <c r="D46" s="4" t="n">
        <v>81063.8</v>
      </c>
      <c r="E46" s="4" t="inlineStr">
        <is>
          <t>petrol</t>
        </is>
      </c>
      <c r="F46" s="4" t="n">
        <v>28.955</v>
      </c>
      <c r="G46" s="4" t="n">
        <v>1.708</v>
      </c>
      <c r="H46" s="4" t="n">
        <v>49.46</v>
      </c>
      <c r="I46" s="4" t="inlineStr">
        <is>
          <t>no</t>
        </is>
      </c>
      <c r="J46" s="4" t="inlineStr">
        <is>
          <t>Applegreen Airside</t>
        </is>
      </c>
      <c r="K46" s="2">
        <f>IF(A46&lt;&gt;A45,"",IF(I45="no",D45,K45))</f>
        <v/>
      </c>
      <c r="L46" s="2">
        <f>IF(OR(A46&lt;&gt;A45,K46=""),"",IF(I45="no",F46,L45+F46))</f>
        <v/>
      </c>
      <c r="M46" s="2">
        <f>IF(AND(I46="no",K46&lt;&gt;""),D46-K46,"")</f>
        <v/>
      </c>
      <c r="N46" s="19">
        <f>IF(M46="","",L46/M46*100)</f>
        <v/>
      </c>
      <c r="O46" s="2">
        <f>A46&amp;"|"&amp;C46</f>
        <v/>
      </c>
    </row>
    <row r="47">
      <c r="A47" s="4" t="inlineStr">
        <is>
          <t>corolla</t>
        </is>
      </c>
      <c r="B47" s="4" t="inlineStr">
        <is>
          <t>sam</t>
        </is>
      </c>
      <c r="C47" s="4" t="inlineStr">
        <is>
          <t>2025-08-23 16:31</t>
        </is>
      </c>
      <c r="D47" s="4" t="n">
        <v>81671.5</v>
      </c>
      <c r="E47" s="4" t="inlineStr">
        <is>
          <t>petrol</t>
        </is>
      </c>
      <c r="F47" s="4" t="n">
        <v>28.276</v>
      </c>
      <c r="G47" s="4" t="n">
        <v>1.724</v>
      </c>
      <c r="H47" s="4" t="n">
        <v>48.75</v>
      </c>
      <c r="I47" s="4" t="inlineStr">
        <is>
          <t>no</t>
        </is>
      </c>
      <c r="J47" s="4" t="inlineStr">
        <is>
          <t>Applegreen Airside</t>
        </is>
      </c>
      <c r="K47" s="2">
        <f>IF(A47&lt;&gt;A46,"",IF(I46="no",D46,K46))</f>
        <v/>
      </c>
      <c r="L47" s="2">
        <f>IF(OR(A47&lt;&gt;A46,K47=""),"",IF(I46="no",F47,L46+F47))</f>
        <v/>
      </c>
      <c r="M47" s="2">
        <f>IF(AND(I47="no",K47&lt;&gt;""),D47-K47,"")</f>
        <v/>
      </c>
      <c r="N47" s="19">
        <f>IF(M47="","",L47/M47*100)</f>
        <v/>
      </c>
      <c r="O47" s="2">
        <f>A47&amp;"|"&amp;C47</f>
        <v/>
      </c>
    </row>
    <row r="48">
      <c r="A48" s="4" t="inlineStr">
        <is>
          <t>corolla</t>
        </is>
      </c>
      <c r="B48" s="4" t="inlineStr">
        <is>
          <t>sam</t>
        </is>
      </c>
      <c r="C48" s="4" t="inlineStr">
        <is>
          <t>2025-09-07 08:24</t>
        </is>
      </c>
      <c r="D48" s="4" t="n">
        <v>82349.10000000001</v>
      </c>
      <c r="E48" s="4" t="inlineStr">
        <is>
          <t>petrol</t>
        </is>
      </c>
      <c r="F48" s="4" t="n">
        <v>32.71</v>
      </c>
      <c r="G48" s="4" t="n">
        <v>1.72</v>
      </c>
      <c r="H48" s="4" t="n">
        <v>56.26</v>
      </c>
      <c r="I48" s="4" t="inlineStr">
        <is>
          <t>no</t>
        </is>
      </c>
      <c r="J48" s="4" t="inlineStr">
        <is>
          <t>Circle K Swords</t>
        </is>
      </c>
      <c r="K48" s="2">
        <f>IF(A48&lt;&gt;A47,"",IF(I47="no",D47,K47))</f>
        <v/>
      </c>
      <c r="L48" s="2">
        <f>IF(OR(A48&lt;&gt;A47,K48=""),"",IF(I47="no",F48,L47+F48))</f>
        <v/>
      </c>
      <c r="M48" s="2">
        <f>IF(AND(I48="no",K48&lt;&gt;""),D48-K48,"")</f>
        <v/>
      </c>
      <c r="N48" s="19">
        <f>IF(M48="","",L48/M48*100)</f>
        <v/>
      </c>
      <c r="O48" s="2">
        <f>A48&amp;"|"&amp;C48</f>
        <v/>
      </c>
    </row>
    <row r="49">
      <c r="A49" s="4" t="inlineStr">
        <is>
          <t>corolla</t>
        </is>
      </c>
      <c r="B49" s="4" t="inlineStr">
        <is>
          <t>sam</t>
        </is>
      </c>
      <c r="C49" s="4" t="inlineStr">
        <is>
          <t>2025-09-20 11:30</t>
        </is>
      </c>
      <c r="D49" s="4" t="n">
        <v>82951.39999999999</v>
      </c>
      <c r="E49" s="4" t="inlineStr">
        <is>
          <t>petrol</t>
        </is>
      </c>
      <c r="F49" s="4" t="n">
        <v>27.599</v>
      </c>
      <c r="G49" s="4" t="n">
        <v>1.719</v>
      </c>
      <c r="H49" s="4" t="n">
        <v>47.44</v>
      </c>
      <c r="I49" s="4" t="inlineStr">
        <is>
          <t>no</t>
        </is>
      </c>
      <c r="J49" s="4" t="inlineStr">
        <is>
          <t>Applegreen Airside</t>
        </is>
      </c>
      <c r="K49" s="2">
        <f>IF(A49&lt;&gt;A48,"",IF(I48="no",D48,K48))</f>
        <v/>
      </c>
      <c r="L49" s="2">
        <f>IF(OR(A49&lt;&gt;A48,K49=""),"",IF(I48="no",F49,L48+F49))</f>
        <v/>
      </c>
      <c r="M49" s="2">
        <f>IF(AND(I49="no",K49&lt;&gt;""),D49-K49,"")</f>
        <v/>
      </c>
      <c r="N49" s="19">
        <f>IF(M49="","",L49/M49*100)</f>
        <v/>
      </c>
      <c r="O49" s="2">
        <f>A49&amp;"|"&amp;C49</f>
        <v/>
      </c>
    </row>
    <row r="50">
      <c r="A50" s="4" t="inlineStr">
        <is>
          <t>corolla</t>
        </is>
      </c>
      <c r="B50" s="4" t="inlineStr">
        <is>
          <t>sam</t>
        </is>
      </c>
      <c r="C50" s="4" t="inlineStr">
        <is>
          <t>2025-10-06 13:04</t>
        </is>
      </c>
      <c r="D50" s="4" t="n">
        <v>83617.39999999999</v>
      </c>
      <c r="E50" s="4" t="inlineStr">
        <is>
          <t>petrol</t>
        </is>
      </c>
      <c r="F50" s="4" t="n">
        <v>29.64</v>
      </c>
      <c r="G50" s="4" t="n">
        <v>1.714</v>
      </c>
      <c r="H50" s="4" t="n">
        <v>50.8</v>
      </c>
      <c r="I50" s="4" t="inlineStr">
        <is>
          <t>no</t>
        </is>
      </c>
      <c r="J50" s="4" t="inlineStr">
        <is>
          <t>Maxol Malahide</t>
        </is>
      </c>
      <c r="K50" s="2">
        <f>IF(A50&lt;&gt;A49,"",IF(I49="no",D49,K49))</f>
        <v/>
      </c>
      <c r="L50" s="2">
        <f>IF(OR(A50&lt;&gt;A49,K50=""),"",IF(I49="no",F50,L49+F50))</f>
        <v/>
      </c>
      <c r="M50" s="2">
        <f>IF(AND(I50="no",K50&lt;&gt;""),D50-K50,"")</f>
        <v/>
      </c>
      <c r="N50" s="19">
        <f>IF(M50="","",L50/M50*100)</f>
        <v/>
      </c>
      <c r="O50" s="2">
        <f>A50&amp;"|"&amp;C50</f>
        <v/>
      </c>
    </row>
    <row r="51">
      <c r="A51" s="4" t="inlineStr">
        <is>
          <t>corolla</t>
        </is>
      </c>
      <c r="B51" s="4" t="inlineStr">
        <is>
          <t>sam</t>
        </is>
      </c>
      <c r="C51" s="4" t="inlineStr">
        <is>
          <t>2025-10-21 15:06</t>
        </is>
      </c>
      <c r="D51" s="4" t="n">
        <v>84386.5</v>
      </c>
      <c r="E51" s="4" t="inlineStr">
        <is>
          <t>petrol</t>
        </is>
      </c>
      <c r="F51" s="4" t="n">
        <v>36.471</v>
      </c>
      <c r="G51" s="4" t="n">
        <v>1.715</v>
      </c>
      <c r="H51" s="4" t="n">
        <v>62.55</v>
      </c>
      <c r="I51" s="4" t="inlineStr">
        <is>
          <t>no</t>
        </is>
      </c>
      <c r="J51" s="4" t="inlineStr">
        <is>
          <t>Circle K Swords</t>
        </is>
      </c>
      <c r="K51" s="2">
        <f>IF(A51&lt;&gt;A50,"",IF(I50="no",D50,K50))</f>
        <v/>
      </c>
      <c r="L51" s="2">
        <f>IF(OR(A51&lt;&gt;A50,K51=""),"",IF(I50="no",F51,L50+F51))</f>
        <v/>
      </c>
      <c r="M51" s="2">
        <f>IF(AND(I51="no",K51&lt;&gt;""),D51-K51,"")</f>
        <v/>
      </c>
      <c r="N51" s="19">
        <f>IF(M51="","",L51/M51*100)</f>
        <v/>
      </c>
      <c r="O51" s="2">
        <f>A51&amp;"|"&amp;C51</f>
        <v/>
      </c>
    </row>
    <row r="52">
      <c r="A52" s="4" t="inlineStr">
        <is>
          <t>corolla</t>
        </is>
      </c>
      <c r="B52" s="4" t="inlineStr">
        <is>
          <t>sam</t>
        </is>
      </c>
      <c r="C52" s="4" t="inlineStr">
        <is>
          <t>2025-11-03 16:29</t>
        </is>
      </c>
      <c r="D52" s="4" t="n">
        <v>85097.7</v>
      </c>
      <c r="E52" s="4" t="inlineStr">
        <is>
          <t>petrol</t>
        </is>
      </c>
      <c r="F52" s="4" t="n">
        <v>33.304</v>
      </c>
      <c r="G52" s="4" t="n">
        <v>1.731</v>
      </c>
      <c r="H52" s="4" t="n">
        <v>57.65</v>
      </c>
      <c r="I52" s="4" t="inlineStr">
        <is>
          <t>no</t>
        </is>
      </c>
      <c r="J52" s="4" t="inlineStr">
        <is>
          <t>Circle K Swords</t>
        </is>
      </c>
      <c r="K52" s="2">
        <f>IF(A52&lt;&gt;A51,"",IF(I51="no",D51,K51))</f>
        <v/>
      </c>
      <c r="L52" s="2">
        <f>IF(OR(A52&lt;&gt;A51,K52=""),"",IF(I51="no",F52,L51+F52))</f>
        <v/>
      </c>
      <c r="M52" s="2">
        <f>IF(AND(I52="no",K52&lt;&gt;""),D52-K52,"")</f>
        <v/>
      </c>
      <c r="N52" s="19">
        <f>IF(M52="","",L52/M52*100)</f>
        <v/>
      </c>
      <c r="O52" s="2">
        <f>A52&amp;"|"&amp;C52</f>
        <v/>
      </c>
    </row>
    <row r="53">
      <c r="A53" s="4" t="inlineStr">
        <is>
          <t>corolla</t>
        </is>
      </c>
      <c r="B53" s="4" t="inlineStr">
        <is>
          <t>sam</t>
        </is>
      </c>
      <c r="C53" s="4" t="inlineStr">
        <is>
          <t>2025-11-22 11:04</t>
        </is>
      </c>
      <c r="D53" s="4" t="n">
        <v>85885.3</v>
      </c>
      <c r="E53" s="4" t="inlineStr">
        <is>
          <t>petrol</t>
        </is>
      </c>
      <c r="F53" s="4" t="n">
        <v>36.964</v>
      </c>
      <c r="G53" s="4" t="n">
        <v>1.721</v>
      </c>
      <c r="H53" s="4" t="n">
        <v>63.62</v>
      </c>
      <c r="I53" s="4" t="inlineStr">
        <is>
          <t>no</t>
        </is>
      </c>
      <c r="J53" s="4" t="inlineStr">
        <is>
          <t>Maxol Malahide</t>
        </is>
      </c>
      <c r="K53" s="2">
        <f>IF(A53&lt;&gt;A52,"",IF(I52="no",D52,K52))</f>
        <v/>
      </c>
      <c r="L53" s="2">
        <f>IF(OR(A53&lt;&gt;A52,K53=""),"",IF(I52="no",F53,L52+F53))</f>
        <v/>
      </c>
      <c r="M53" s="2">
        <f>IF(AND(I53="no",K53&lt;&gt;""),D53-K53,"")</f>
        <v/>
      </c>
      <c r="N53" s="19">
        <f>IF(M53="","",L53/M53*100)</f>
        <v/>
      </c>
      <c r="O53" s="2">
        <f>A53&amp;"|"&amp;C53</f>
        <v/>
      </c>
    </row>
    <row r="54">
      <c r="A54" s="4" t="inlineStr">
        <is>
          <t>corolla</t>
        </is>
      </c>
      <c r="B54" s="4" t="inlineStr">
        <is>
          <t>sam</t>
        </is>
      </c>
      <c r="C54" s="4" t="inlineStr">
        <is>
          <t>2025-12-07 14:18</t>
        </is>
      </c>
      <c r="D54" s="4" t="n">
        <v>86557.60000000001</v>
      </c>
      <c r="E54" s="4" t="inlineStr">
        <is>
          <t>petrol</t>
        </is>
      </c>
      <c r="F54" s="4" t="n">
        <v>31.545</v>
      </c>
      <c r="G54" s="4" t="n">
        <v>1.73</v>
      </c>
      <c r="H54" s="4" t="n">
        <v>54.57</v>
      </c>
      <c r="I54" s="4" t="inlineStr">
        <is>
          <t>no</t>
        </is>
      </c>
      <c r="J54" s="4" t="inlineStr">
        <is>
          <t>Maxol Malahide</t>
        </is>
      </c>
      <c r="K54" s="2">
        <f>IF(A54&lt;&gt;A53,"",IF(I53="no",D53,K53))</f>
        <v/>
      </c>
      <c r="L54" s="2">
        <f>IF(OR(A54&lt;&gt;A53,K54=""),"",IF(I53="no",F54,L53+F54))</f>
        <v/>
      </c>
      <c r="M54" s="2">
        <f>IF(AND(I54="no",K54&lt;&gt;""),D54-K54,"")</f>
        <v/>
      </c>
      <c r="N54" s="19">
        <f>IF(M54="","",L54/M54*100)</f>
        <v/>
      </c>
      <c r="O54" s="2">
        <f>A54&amp;"|"&amp;C54</f>
        <v/>
      </c>
    </row>
    <row r="55">
      <c r="A55" s="4" t="inlineStr">
        <is>
          <t>corolla</t>
        </is>
      </c>
      <c r="B55" s="4" t="inlineStr">
        <is>
          <t>sam</t>
        </is>
      </c>
      <c r="C55" s="4" t="inlineStr">
        <is>
          <t>2025-12-22 20:07</t>
        </is>
      </c>
      <c r="D55" s="4" t="n">
        <v>87156</v>
      </c>
      <c r="E55" s="4" t="inlineStr">
        <is>
          <t>petrol</t>
        </is>
      </c>
      <c r="F55" s="4" t="n">
        <v>27.106</v>
      </c>
      <c r="G55" s="4" t="n">
        <v>1.715</v>
      </c>
      <c r="H55" s="4" t="n">
        <v>46.49</v>
      </c>
      <c r="I55" s="4" t="inlineStr">
        <is>
          <t>no</t>
        </is>
      </c>
      <c r="J55" s="4" t="inlineStr">
        <is>
          <t>Circle K Swords</t>
        </is>
      </c>
      <c r="K55" s="2">
        <f>IF(A55&lt;&gt;A54,"",IF(I54="no",D54,K54))</f>
        <v/>
      </c>
      <c r="L55" s="2">
        <f>IF(OR(A55&lt;&gt;A54,K55=""),"",IF(I54="no",F55,L54+F55))</f>
        <v/>
      </c>
      <c r="M55" s="2">
        <f>IF(AND(I55="no",K55&lt;&gt;""),D55-K55,"")</f>
        <v/>
      </c>
      <c r="N55" s="19">
        <f>IF(M55="","",L55/M55*100)</f>
        <v/>
      </c>
      <c r="O55" s="2">
        <f>A55&amp;"|"&amp;C55</f>
        <v/>
      </c>
    </row>
    <row r="56">
      <c r="A56" s="4" t="inlineStr">
        <is>
          <t>corolla</t>
        </is>
      </c>
      <c r="B56" s="4" t="inlineStr">
        <is>
          <t>sam</t>
        </is>
      </c>
      <c r="C56" s="4" t="inlineStr">
        <is>
          <t>2026-01-07 20:50</t>
        </is>
      </c>
      <c r="D56" s="4" t="n">
        <v>87771.3</v>
      </c>
      <c r="E56" s="4" t="inlineStr">
        <is>
          <t>petrol</t>
        </is>
      </c>
      <c r="F56" s="4" t="n">
        <v>28.977</v>
      </c>
      <c r="G56" s="4" t="n">
        <v>1.714</v>
      </c>
      <c r="H56" s="4" t="n">
        <v>49.67</v>
      </c>
      <c r="I56" s="4" t="inlineStr">
        <is>
          <t>no</t>
        </is>
      </c>
      <c r="J56" s="4" t="inlineStr">
        <is>
          <t>Applegreen Airside</t>
        </is>
      </c>
      <c r="K56" s="2">
        <f>IF(A56&lt;&gt;A55,"",IF(I55="no",D55,K55))</f>
        <v/>
      </c>
      <c r="L56" s="2">
        <f>IF(OR(A56&lt;&gt;A55,K56=""),"",IF(I55="no",F56,L55+F56))</f>
        <v/>
      </c>
      <c r="M56" s="2">
        <f>IF(AND(I56="no",K56&lt;&gt;""),D56-K56,"")</f>
        <v/>
      </c>
      <c r="N56" s="19">
        <f>IF(M56="","",L56/M56*100)</f>
        <v/>
      </c>
      <c r="O56" s="2">
        <f>A56&amp;"|"&amp;C56</f>
        <v/>
      </c>
    </row>
    <row r="57">
      <c r="A57" s="4" t="inlineStr">
        <is>
          <t>corolla</t>
        </is>
      </c>
      <c r="B57" s="4" t="inlineStr">
        <is>
          <t>sam</t>
        </is>
      </c>
      <c r="C57" s="4" t="inlineStr">
        <is>
          <t>2026-01-19 13:50</t>
        </is>
      </c>
      <c r="D57" s="4" t="n">
        <v>88281.7</v>
      </c>
      <c r="E57" s="4" t="inlineStr">
        <is>
          <t>petrol</t>
        </is>
      </c>
      <c r="F57" s="4" t="n">
        <v>24.157</v>
      </c>
      <c r="G57" s="4" t="n">
        <v>1.72</v>
      </c>
      <c r="H57" s="4" t="n">
        <v>41.55</v>
      </c>
      <c r="I57" s="4" t="inlineStr">
        <is>
          <t>no</t>
        </is>
      </c>
      <c r="J57" s="4" t="inlineStr">
        <is>
          <t>Maxol Malahide</t>
        </is>
      </c>
      <c r="K57" s="2">
        <f>IF(A57&lt;&gt;A56,"",IF(I56="no",D56,K56))</f>
        <v/>
      </c>
      <c r="L57" s="2">
        <f>IF(OR(A57&lt;&gt;A56,K57=""),"",IF(I56="no",F57,L56+F57))</f>
        <v/>
      </c>
      <c r="M57" s="2">
        <f>IF(AND(I57="no",K57&lt;&gt;""),D57-K57,"")</f>
        <v/>
      </c>
      <c r="N57" s="19">
        <f>IF(M57="","",L57/M57*100)</f>
        <v/>
      </c>
      <c r="O57" s="2">
        <f>A57&amp;"|"&amp;C57</f>
        <v/>
      </c>
    </row>
    <row r="58">
      <c r="A58" s="4" t="inlineStr">
        <is>
          <t>corolla</t>
        </is>
      </c>
      <c r="B58" s="4" t="inlineStr">
        <is>
          <t>sam</t>
        </is>
      </c>
      <c r="C58" s="4" t="inlineStr">
        <is>
          <t>2026-02-04 08:10</t>
        </is>
      </c>
      <c r="D58" s="4" t="n">
        <v>88916.89999999999</v>
      </c>
      <c r="E58" s="4" t="inlineStr">
        <is>
          <t>petrol</t>
        </is>
      </c>
      <c r="F58" s="4" t="n">
        <v>29.244</v>
      </c>
      <c r="G58" s="4" t="n">
        <v>1.712</v>
      </c>
      <c r="H58" s="4" t="n">
        <v>50.07</v>
      </c>
      <c r="I58" s="4" t="inlineStr">
        <is>
          <t>no</t>
        </is>
      </c>
      <c r="J58" s="4" t="inlineStr">
        <is>
          <t>Circle K Swords</t>
        </is>
      </c>
      <c r="K58" s="2">
        <f>IF(A58&lt;&gt;A57,"",IF(I57="no",D57,K57))</f>
        <v/>
      </c>
      <c r="L58" s="2">
        <f>IF(OR(A58&lt;&gt;A57,K58=""),"",IF(I57="no",F58,L57+F58))</f>
        <v/>
      </c>
      <c r="M58" s="2">
        <f>IF(AND(I58="no",K58&lt;&gt;""),D58-K58,"")</f>
        <v/>
      </c>
      <c r="N58" s="19">
        <f>IF(M58="","",L58/M58*100)</f>
        <v/>
      </c>
      <c r="O58" s="2">
        <f>A58&amp;"|"&amp;C58</f>
        <v/>
      </c>
    </row>
    <row r="59">
      <c r="A59" s="4" t="inlineStr">
        <is>
          <t>corolla</t>
        </is>
      </c>
      <c r="B59" s="4" t="inlineStr">
        <is>
          <t>sam</t>
        </is>
      </c>
      <c r="C59" s="4" t="inlineStr">
        <is>
          <t>2026-02-19 19:22</t>
        </is>
      </c>
      <c r="D59" s="4" t="n">
        <v>89571.2</v>
      </c>
      <c r="E59" s="4" t="inlineStr">
        <is>
          <t>petrol</t>
        </is>
      </c>
      <c r="F59" s="4" t="n">
        <v>29.649</v>
      </c>
      <c r="G59" s="4" t="n">
        <v>1.724</v>
      </c>
      <c r="H59" s="4" t="n">
        <v>51.11</v>
      </c>
      <c r="I59" s="4" t="inlineStr">
        <is>
          <t>no</t>
        </is>
      </c>
      <c r="J59" s="4" t="inlineStr">
        <is>
          <t>Circle K Swords</t>
        </is>
      </c>
      <c r="K59" s="2">
        <f>IF(A59&lt;&gt;A58,"",IF(I58="no",D58,K58))</f>
        <v/>
      </c>
      <c r="L59" s="2">
        <f>IF(OR(A59&lt;&gt;A58,K59=""),"",IF(I58="no",F59,L58+F59))</f>
        <v/>
      </c>
      <c r="M59" s="2">
        <f>IF(AND(I59="no",K59&lt;&gt;""),D59-K59,"")</f>
        <v/>
      </c>
      <c r="N59" s="19">
        <f>IF(M59="","",L59/M59*100)</f>
        <v/>
      </c>
      <c r="O59" s="2">
        <f>A59&amp;"|"&amp;C59</f>
        <v/>
      </c>
    </row>
    <row r="60">
      <c r="A60" s="4" t="inlineStr">
        <is>
          <t>corolla</t>
        </is>
      </c>
      <c r="B60" s="4" t="inlineStr">
        <is>
          <t>sam</t>
        </is>
      </c>
      <c r="C60" s="4" t="inlineStr">
        <is>
          <t>2026-03-04 17:48</t>
        </is>
      </c>
      <c r="D60" s="4" t="n">
        <v>90185.3</v>
      </c>
      <c r="E60" s="4" t="inlineStr">
        <is>
          <t>petrol</t>
        </is>
      </c>
      <c r="F60" s="4" t="n">
        <v>10.674</v>
      </c>
      <c r="G60" s="4" t="n">
        <v>1.727</v>
      </c>
      <c r="H60" s="4" t="n">
        <v>18.43</v>
      </c>
      <c r="I60" s="4" t="inlineStr">
        <is>
          <t>yes</t>
        </is>
      </c>
      <c r="J60" s="4" t="inlineStr">
        <is>
          <t>Applegreen Airside</t>
        </is>
      </c>
      <c r="K60" s="2">
        <f>IF(A60&lt;&gt;A59,"",IF(I59="no",D59,K59))</f>
        <v/>
      </c>
      <c r="L60" s="2">
        <f>IF(OR(A60&lt;&gt;A59,K60=""),"",IF(I59="no",F60,L59+F60))</f>
        <v/>
      </c>
      <c r="M60" s="2">
        <f>IF(AND(I60="no",K60&lt;&gt;""),D60-K60,"")</f>
        <v/>
      </c>
      <c r="N60" s="19">
        <f>IF(M60="","",L60/M60*100)</f>
        <v/>
      </c>
      <c r="O60" s="2">
        <f>A60&amp;"|"&amp;C60</f>
        <v/>
      </c>
    </row>
    <row r="61">
      <c r="A61" s="4" t="inlineStr">
        <is>
          <t>corolla</t>
        </is>
      </c>
      <c r="B61" s="4" t="inlineStr">
        <is>
          <t>sam</t>
        </is>
      </c>
      <c r="C61" s="4" t="inlineStr">
        <is>
          <t>2026-03-11 17:48</t>
        </is>
      </c>
      <c r="D61" s="4" t="n">
        <v>90416.60000000001</v>
      </c>
      <c r="E61" s="4" t="inlineStr">
        <is>
          <t>petrol</t>
        </is>
      </c>
      <c r="F61" s="4" t="n">
        <v>28.31</v>
      </c>
      <c r="G61" s="4" t="n">
        <v>1.736</v>
      </c>
      <c r="H61" s="4" t="n">
        <v>49.15</v>
      </c>
      <c r="I61" s="4" t="inlineStr">
        <is>
          <t>no</t>
        </is>
      </c>
      <c r="J61" s="4" t="inlineStr">
        <is>
          <t>Circle K Swords</t>
        </is>
      </c>
      <c r="K61" s="2">
        <f>IF(A61&lt;&gt;A60,"",IF(I60="no",D60,K60))</f>
        <v/>
      </c>
      <c r="L61" s="2">
        <f>IF(OR(A61&lt;&gt;A60,K61=""),"",IF(I60="no",F61,L60+F61))</f>
        <v/>
      </c>
      <c r="M61" s="2">
        <f>IF(AND(I61="no",K61&lt;&gt;""),D61-K61,"")</f>
        <v/>
      </c>
      <c r="N61" s="19">
        <f>IF(M61="","",L61/M61*100)</f>
        <v/>
      </c>
      <c r="O61" s="2">
        <f>A61&amp;"|"&amp;C61</f>
        <v/>
      </c>
    </row>
    <row r="62">
      <c r="A62" s="4" t="inlineStr">
        <is>
          <t>corolla</t>
        </is>
      </c>
      <c r="B62" s="4" t="inlineStr">
        <is>
          <t>sam</t>
        </is>
      </c>
      <c r="C62" s="4" t="inlineStr">
        <is>
          <t>2026-03-24 19:58</t>
        </is>
      </c>
      <c r="D62" s="4" t="n">
        <v>91034.60000000001</v>
      </c>
      <c r="E62" s="4" t="inlineStr">
        <is>
          <t>petrol</t>
        </is>
      </c>
      <c r="F62" s="4" t="n">
        <v>28.989</v>
      </c>
      <c r="G62" s="4" t="n">
        <v>1.731</v>
      </c>
      <c r="H62" s="4" t="n">
        <v>50.18</v>
      </c>
      <c r="I62" s="4" t="inlineStr">
        <is>
          <t>no</t>
        </is>
      </c>
      <c r="J62" s="4" t="inlineStr">
        <is>
          <t>Maxol Malahide</t>
        </is>
      </c>
      <c r="K62" s="2">
        <f>IF(A62&lt;&gt;A61,"",IF(I61="no",D61,K61))</f>
        <v/>
      </c>
      <c r="L62" s="2">
        <f>IF(OR(A62&lt;&gt;A61,K62=""),"",IF(I61="no",F62,L61+F62))</f>
        <v/>
      </c>
      <c r="M62" s="2">
        <f>IF(AND(I62="no",K62&lt;&gt;""),D62-K62,"")</f>
        <v/>
      </c>
      <c r="N62" s="19">
        <f>IF(M62="","",L62/M62*100)</f>
        <v/>
      </c>
      <c r="O62" s="2">
        <f>A62&amp;"|"&amp;C62</f>
        <v/>
      </c>
    </row>
    <row r="63">
      <c r="A63" s="4" t="inlineStr">
        <is>
          <t>corolla</t>
        </is>
      </c>
      <c r="B63" s="4" t="inlineStr">
        <is>
          <t>sam</t>
        </is>
      </c>
      <c r="C63" s="4" t="inlineStr">
        <is>
          <t>2026-04-08 19:29</t>
        </is>
      </c>
      <c r="D63" s="4" t="n">
        <v>91695.8</v>
      </c>
      <c r="E63" s="4" t="inlineStr">
        <is>
          <t>petrol</t>
        </is>
      </c>
      <c r="F63" s="4" t="n">
        <v>31.212</v>
      </c>
      <c r="G63" s="4" t="n">
        <v>1.722</v>
      </c>
      <c r="H63" s="4" t="n">
        <v>53.75</v>
      </c>
      <c r="I63" s="4" t="inlineStr">
        <is>
          <t>no</t>
        </is>
      </c>
      <c r="J63" s="4" t="inlineStr">
        <is>
          <t>Circle K Swords</t>
        </is>
      </c>
      <c r="K63" s="2">
        <f>IF(A63&lt;&gt;A62,"",IF(I62="no",D62,K62))</f>
        <v/>
      </c>
      <c r="L63" s="2">
        <f>IF(OR(A63&lt;&gt;A62,K63=""),"",IF(I62="no",F63,L62+F63))</f>
        <v/>
      </c>
      <c r="M63" s="2">
        <f>IF(AND(I63="no",K63&lt;&gt;""),D63-K63,"")</f>
        <v/>
      </c>
      <c r="N63" s="19">
        <f>IF(M63="","",L63/M63*100)</f>
        <v/>
      </c>
      <c r="O63" s="2">
        <f>A63&amp;"|"&amp;C63</f>
        <v/>
      </c>
    </row>
    <row r="64">
      <c r="A64" s="4" t="inlineStr">
        <is>
          <t>corolla</t>
        </is>
      </c>
      <c r="B64" s="4" t="inlineStr">
        <is>
          <t>sam</t>
        </is>
      </c>
      <c r="C64" s="4" t="inlineStr">
        <is>
          <t>2026-04-23 10:16</t>
        </is>
      </c>
      <c r="D64" s="4" t="n">
        <v>92429.7</v>
      </c>
      <c r="E64" s="4" t="inlineStr">
        <is>
          <t>petrol</t>
        </is>
      </c>
      <c r="F64" s="4" t="n">
        <v>35.169</v>
      </c>
      <c r="G64" s="4" t="n">
        <v>1.726</v>
      </c>
      <c r="H64" s="4" t="n">
        <v>60.7</v>
      </c>
      <c r="I64" s="4" t="inlineStr">
        <is>
          <t>no</t>
        </is>
      </c>
      <c r="J64" s="4" t="inlineStr">
        <is>
          <t>Maxol Malahide</t>
        </is>
      </c>
      <c r="K64" s="2">
        <f>IF(A64&lt;&gt;A63,"",IF(I63="no",D63,K63))</f>
        <v/>
      </c>
      <c r="L64" s="2">
        <f>IF(OR(A64&lt;&gt;A63,K64=""),"",IF(I63="no",F64,L63+F64))</f>
        <v/>
      </c>
      <c r="M64" s="2">
        <f>IF(AND(I64="no",K64&lt;&gt;""),D64-K64,"")</f>
        <v/>
      </c>
      <c r="N64" s="19">
        <f>IF(M64="","",L64/M64*100)</f>
        <v/>
      </c>
      <c r="O64" s="2">
        <f>A64&amp;"|"&amp;C64</f>
        <v/>
      </c>
    </row>
    <row r="65">
      <c r="A65" s="4" t="inlineStr">
        <is>
          <t>corolla</t>
        </is>
      </c>
      <c r="B65" s="4" t="inlineStr">
        <is>
          <t>sam</t>
        </is>
      </c>
      <c r="C65" s="4" t="inlineStr">
        <is>
          <t>2026-05-08 20:15</t>
        </is>
      </c>
      <c r="D65" s="4" t="n">
        <v>93036.39999999999</v>
      </c>
      <c r="E65" s="4" t="inlineStr">
        <is>
          <t>petrol</t>
        </is>
      </c>
      <c r="F65" s="4" t="n">
        <v>27.339</v>
      </c>
      <c r="G65" s="4" t="n">
        <v>1.73</v>
      </c>
      <c r="H65" s="4" t="n">
        <v>47.3</v>
      </c>
      <c r="I65" s="4" t="inlineStr">
        <is>
          <t>no</t>
        </is>
      </c>
      <c r="J65" s="4" t="inlineStr">
        <is>
          <t>Maxol Malahide</t>
        </is>
      </c>
      <c r="K65" s="2">
        <f>IF(A65&lt;&gt;A64,"",IF(I64="no",D64,K64))</f>
        <v/>
      </c>
      <c r="L65" s="2">
        <f>IF(OR(A65&lt;&gt;A64,K65=""),"",IF(I64="no",F65,L64+F65))</f>
        <v/>
      </c>
      <c r="M65" s="2">
        <f>IF(AND(I65="no",K65&lt;&gt;""),D65-K65,"")</f>
        <v/>
      </c>
      <c r="N65" s="19">
        <f>IF(M65="","",L65/M65*100)</f>
        <v/>
      </c>
      <c r="O65" s="2">
        <f>A65&amp;"|"&amp;C65</f>
        <v/>
      </c>
    </row>
    <row r="66">
      <c r="A66" s="4" t="inlineStr">
        <is>
          <t>corolla</t>
        </is>
      </c>
      <c r="B66" s="4" t="inlineStr">
        <is>
          <t>sam</t>
        </is>
      </c>
      <c r="C66" s="4" t="inlineStr">
        <is>
          <t>2026-05-22 09:20</t>
        </is>
      </c>
      <c r="D66" s="4" t="n">
        <v>93625.8</v>
      </c>
      <c r="E66" s="4" t="inlineStr">
        <is>
          <t>petrol</t>
        </is>
      </c>
      <c r="F66" s="4" t="n">
        <v>28.125</v>
      </c>
      <c r="G66" s="4" t="n">
        <v>1.729</v>
      </c>
      <c r="H66" s="4" t="n">
        <v>48.63</v>
      </c>
      <c r="I66" s="4" t="inlineStr">
        <is>
          <t>no</t>
        </is>
      </c>
      <c r="J66" s="4" t="inlineStr">
        <is>
          <t>Circle K Swords</t>
        </is>
      </c>
      <c r="K66" s="2">
        <f>IF(A66&lt;&gt;A65,"",IF(I65="no",D65,K65))</f>
        <v/>
      </c>
      <c r="L66" s="2">
        <f>IF(OR(A66&lt;&gt;A65,K66=""),"",IF(I65="no",F66,L65+F66))</f>
        <v/>
      </c>
      <c r="M66" s="2">
        <f>IF(AND(I66="no",K66&lt;&gt;""),D66-K66,"")</f>
        <v/>
      </c>
      <c r="N66" s="19">
        <f>IF(M66="","",L66/M66*100)</f>
        <v/>
      </c>
      <c r="O66" s="2">
        <f>A66&amp;"|"&amp;C66</f>
        <v/>
      </c>
    </row>
    <row r="67">
      <c r="A67" s="4" t="inlineStr">
        <is>
          <t>corolla</t>
        </is>
      </c>
      <c r="B67" s="4" t="inlineStr">
        <is>
          <t>sam</t>
        </is>
      </c>
      <c r="C67" s="4" t="inlineStr">
        <is>
          <t>2026-06-08 07:49</t>
        </is>
      </c>
      <c r="D67" s="4" t="n">
        <v>94376.5</v>
      </c>
      <c r="E67" s="4" t="inlineStr">
        <is>
          <t>petrol</t>
        </is>
      </c>
      <c r="F67" s="4" t="n">
        <v>35.231</v>
      </c>
      <c r="G67" s="4" t="n">
        <v>1.726</v>
      </c>
      <c r="H67" s="4" t="n">
        <v>60.81</v>
      </c>
      <c r="I67" s="4" t="inlineStr">
        <is>
          <t>no</t>
        </is>
      </c>
      <c r="J67" s="4" t="inlineStr">
        <is>
          <t>Applegreen Airside</t>
        </is>
      </c>
      <c r="K67" s="2">
        <f>IF(A67&lt;&gt;A66,"",IF(I66="no",D66,K66))</f>
        <v/>
      </c>
      <c r="L67" s="2">
        <f>IF(OR(A67&lt;&gt;A66,K67=""),"",IF(I66="no",F67,L66+F67))</f>
        <v/>
      </c>
      <c r="M67" s="2">
        <f>IF(AND(I67="no",K67&lt;&gt;""),D67-K67,"")</f>
        <v/>
      </c>
      <c r="N67" s="19">
        <f>IF(M67="","",L67/M67*100)</f>
        <v/>
      </c>
      <c r="O67" s="2">
        <f>A67&amp;"|"&amp;C67</f>
        <v/>
      </c>
    </row>
    <row r="68">
      <c r="A68" s="4" t="inlineStr">
        <is>
          <t>corolla</t>
        </is>
      </c>
      <c r="B68" s="4" t="inlineStr">
        <is>
          <t>sam</t>
        </is>
      </c>
      <c r="C68" s="4" t="inlineStr">
        <is>
          <t>2026-06-20 08:09</t>
        </is>
      </c>
      <c r="D68" s="4" t="n">
        <v>95077.10000000001</v>
      </c>
      <c r="E68" s="4" t="inlineStr">
        <is>
          <t>petrol</t>
        </is>
      </c>
      <c r="F68" s="4" t="n">
        <v>32.139</v>
      </c>
      <c r="G68" s="4" t="n">
        <v>1.738</v>
      </c>
      <c r="H68" s="4" t="n">
        <v>55.86</v>
      </c>
      <c r="I68" s="4" t="inlineStr">
        <is>
          <t>no</t>
        </is>
      </c>
      <c r="J68" s="4" t="inlineStr">
        <is>
          <t>Applegreen Airside</t>
        </is>
      </c>
      <c r="K68" s="2">
        <f>IF(A68&lt;&gt;A67,"",IF(I67="no",D67,K67))</f>
        <v/>
      </c>
      <c r="L68" s="2">
        <f>IF(OR(A68&lt;&gt;A67,K68=""),"",IF(I67="no",F68,L67+F68))</f>
        <v/>
      </c>
      <c r="M68" s="2">
        <f>IF(AND(I68="no",K68&lt;&gt;""),D68-K68,"")</f>
        <v/>
      </c>
      <c r="N68" s="19">
        <f>IF(M68="","",L68/M68*100)</f>
        <v/>
      </c>
      <c r="O68" s="2">
        <f>A68&amp;"|"&amp;C68</f>
        <v/>
      </c>
    </row>
    <row r="69">
      <c r="A69" s="4" t="inlineStr">
        <is>
          <t>corolla</t>
        </is>
      </c>
      <c r="B69" s="4" t="inlineStr">
        <is>
          <t>sam</t>
        </is>
      </c>
      <c r="C69" s="4" t="inlineStr">
        <is>
          <t>2026-07-08 16:49</t>
        </is>
      </c>
      <c r="D69" s="4" t="n">
        <v>95899.7</v>
      </c>
      <c r="E69" s="4" t="inlineStr">
        <is>
          <t>petrol</t>
        </is>
      </c>
      <c r="F69" s="4" t="n">
        <v>37.231</v>
      </c>
      <c r="G69" s="4" t="n">
        <v>1.728</v>
      </c>
      <c r="H69" s="4" t="n">
        <v>64.34</v>
      </c>
      <c r="I69" s="4" t="inlineStr">
        <is>
          <t>no</t>
        </is>
      </c>
      <c r="J69" s="4" t="inlineStr">
        <is>
          <t>Applegreen Airside</t>
        </is>
      </c>
      <c r="K69" s="2">
        <f>IF(A69&lt;&gt;A68,"",IF(I68="no",D68,K68))</f>
        <v/>
      </c>
      <c r="L69" s="2">
        <f>IF(OR(A69&lt;&gt;A68,K69=""),"",IF(I68="no",F69,L68+F69))</f>
        <v/>
      </c>
      <c r="M69" s="2">
        <f>IF(AND(I69="no",K69&lt;&gt;""),D69-K69,"")</f>
        <v/>
      </c>
      <c r="N69" s="19">
        <f>IF(M69="","",L69/M69*100)</f>
        <v/>
      </c>
      <c r="O69" s="2">
        <f>A69&amp;"|"&amp;C69</f>
        <v/>
      </c>
    </row>
    <row r="70">
      <c r="A70" s="4" t="inlineStr">
        <is>
          <t>corolla</t>
        </is>
      </c>
      <c r="B70" s="4" t="inlineStr">
        <is>
          <t>sam</t>
        </is>
      </c>
      <c r="C70" s="4" t="inlineStr">
        <is>
          <t>2026-07-25 14:34</t>
        </is>
      </c>
      <c r="D70" s="4" t="n">
        <v>96682</v>
      </c>
      <c r="E70" s="4" t="inlineStr">
        <is>
          <t>petrol</t>
        </is>
      </c>
      <c r="F70" s="4" t="n">
        <v>26.033</v>
      </c>
      <c r="G70" s="4" t="n">
        <v>1.732</v>
      </c>
      <c r="H70" s="4" t="n">
        <v>45.09</v>
      </c>
      <c r="I70" s="4" t="inlineStr">
        <is>
          <t>yes</t>
        </is>
      </c>
      <c r="J70" s="4" t="inlineStr">
        <is>
          <t>Circle K Swords</t>
        </is>
      </c>
      <c r="K70" s="2">
        <f>IF(A70&lt;&gt;A69,"",IF(I69="no",D69,K69))</f>
        <v/>
      </c>
      <c r="L70" s="2">
        <f>IF(OR(A70&lt;&gt;A69,K70=""),"",IF(I69="no",F70,L69+F70))</f>
        <v/>
      </c>
      <c r="M70" s="2">
        <f>IF(AND(I70="no",K70&lt;&gt;""),D70-K70,"")</f>
        <v/>
      </c>
      <c r="N70" s="19">
        <f>IF(M70="","",L70/M70*100)</f>
        <v/>
      </c>
      <c r="O70" s="2">
        <f>A70&amp;"|"&amp;C70</f>
        <v/>
      </c>
    </row>
    <row r="71">
      <c r="A71" s="4" t="inlineStr">
        <is>
          <t>corolla</t>
        </is>
      </c>
      <c r="B71" s="4" t="inlineStr">
        <is>
          <t>sam</t>
        </is>
      </c>
      <c r="C71" s="4" t="inlineStr">
        <is>
          <t>2026-08-06 17:26</t>
        </is>
      </c>
      <c r="D71" s="4" t="n">
        <v>97225.39999999999</v>
      </c>
      <c r="E71" s="4" t="inlineStr">
        <is>
          <t>petrol</t>
        </is>
      </c>
      <c r="F71" s="4" t="n">
        <v>34.827</v>
      </c>
      <c r="G71" s="4" t="n">
        <v>1.735</v>
      </c>
      <c r="H71" s="4" t="n">
        <v>60.42</v>
      </c>
      <c r="I71" s="4" t="inlineStr">
        <is>
          <t>no</t>
        </is>
      </c>
      <c r="J71" s="4" t="inlineStr">
        <is>
          <t>Circle K Swords</t>
        </is>
      </c>
      <c r="K71" s="2">
        <f>IF(A71&lt;&gt;A70,"",IF(I70="no",D70,K70))</f>
        <v/>
      </c>
      <c r="L71" s="2">
        <f>IF(OR(A71&lt;&gt;A70,K71=""),"",IF(I70="no",F71,L70+F71))</f>
        <v/>
      </c>
      <c r="M71" s="2">
        <f>IF(AND(I71="no",K71&lt;&gt;""),D71-K71,"")</f>
        <v/>
      </c>
      <c r="N71" s="19">
        <f>IF(M71="","",L71/M71*100)</f>
        <v/>
      </c>
      <c r="O71" s="2">
        <f>A71&amp;"|"&amp;C71</f>
        <v/>
      </c>
    </row>
    <row r="72">
      <c r="A72" s="4" t="inlineStr">
        <is>
          <t>corolla</t>
        </is>
      </c>
      <c r="B72" s="4" t="inlineStr">
        <is>
          <t>sam</t>
        </is>
      </c>
      <c r="C72" s="4" t="inlineStr">
        <is>
          <t>2026-08-20 20:24</t>
        </is>
      </c>
      <c r="D72" s="4" t="n">
        <v>97926.3</v>
      </c>
      <c r="E72" s="4" t="inlineStr">
        <is>
          <t>petrol</t>
        </is>
      </c>
      <c r="F72" s="4" t="n">
        <v>32.435</v>
      </c>
      <c r="G72" s="4" t="n">
        <v>1.737</v>
      </c>
      <c r="H72" s="4" t="n">
        <v>56.34</v>
      </c>
      <c r="I72" s="4" t="inlineStr">
        <is>
          <t>no</t>
        </is>
      </c>
      <c r="J72" s="4" t="inlineStr">
        <is>
          <t>Circle K Swords</t>
        </is>
      </c>
      <c r="K72" s="2">
        <f>IF(A72&lt;&gt;A71,"",IF(I71="no",D71,K71))</f>
        <v/>
      </c>
      <c r="L72" s="2">
        <f>IF(OR(A72&lt;&gt;A71,K72=""),"",IF(I71="no",F72,L71+F72))</f>
        <v/>
      </c>
      <c r="M72" s="2">
        <f>IF(AND(I72="no",K72&lt;&gt;""),D72-K72,"")</f>
        <v/>
      </c>
      <c r="N72" s="19">
        <f>IF(M72="","",L72/M72*100)</f>
        <v/>
      </c>
      <c r="O72" s="2">
        <f>A72&amp;"|"&amp;C72</f>
        <v/>
      </c>
    </row>
    <row r="73">
      <c r="A73" s="4" t="inlineStr">
        <is>
          <t>corolla</t>
        </is>
      </c>
      <c r="B73" s="4" t="inlineStr">
        <is>
          <t>sam</t>
        </is>
      </c>
      <c r="C73" s="4" t="inlineStr">
        <is>
          <t>2026-09-04 14:31</t>
        </is>
      </c>
      <c r="D73" s="4" t="n">
        <v>98600.2</v>
      </c>
      <c r="E73" s="4" t="inlineStr">
        <is>
          <t>petrol</t>
        </is>
      </c>
      <c r="F73" s="4" t="n">
        <v>30.908</v>
      </c>
      <c r="G73" s="4" t="n">
        <v>1.723</v>
      </c>
      <c r="H73" s="4" t="n">
        <v>53.25</v>
      </c>
      <c r="I73" s="4" t="inlineStr">
        <is>
          <t>no</t>
        </is>
      </c>
      <c r="J73" s="4" t="inlineStr">
        <is>
          <t>Circle K Swords</t>
        </is>
      </c>
      <c r="K73" s="2">
        <f>IF(A73&lt;&gt;A72,"",IF(I72="no",D72,K72))</f>
        <v/>
      </c>
      <c r="L73" s="2">
        <f>IF(OR(A73&lt;&gt;A72,K73=""),"",IF(I72="no",F73,L72+F73))</f>
        <v/>
      </c>
      <c r="M73" s="2">
        <f>IF(AND(I73="no",K73&lt;&gt;""),D73-K73,"")</f>
        <v/>
      </c>
      <c r="N73" s="19">
        <f>IF(M73="","",L73/M73*100)</f>
        <v/>
      </c>
      <c r="O73" s="2">
        <f>A73&amp;"|"&amp;C73</f>
        <v/>
      </c>
    </row>
    <row r="74">
      <c r="A74" s="4" t="inlineStr">
        <is>
          <t>ev</t>
        </is>
      </c>
      <c r="B74" s="4" t="inlineStr">
        <is>
          <t>alex</t>
        </is>
      </c>
      <c r="C74" s="4" t="inlineStr">
        <is>
          <t>2024-02-12 10:27</t>
        </is>
      </c>
      <c r="D74" s="4" t="n">
        <v>6156</v>
      </c>
      <c r="E74" s="4" t="inlineStr">
        <is>
          <t>ev</t>
        </is>
      </c>
      <c r="F74" s="4" t="n">
        <v>6.142</v>
      </c>
      <c r="G74" s="4" t="n">
        <v>0.52</v>
      </c>
      <c r="H74" s="4" t="n">
        <v>3.19</v>
      </c>
      <c r="I74" s="4" t="inlineStr">
        <is>
          <t>yes</t>
        </is>
      </c>
      <c r="J74" s="4" t="inlineStr">
        <is>
          <t>Leeds Council car park (AC)</t>
        </is>
      </c>
      <c r="K74" s="2">
        <f>IF(A74&lt;&gt;A73,"",IF(I73="no",D73,K73))</f>
        <v/>
      </c>
      <c r="L74" s="2">
        <f>IF(OR(A74&lt;&gt;A73,K74=""),"",IF(I73="no",F74,L73+F74))</f>
        <v/>
      </c>
      <c r="M74" s="2">
        <f>IF(AND(I74="no",K74&lt;&gt;""),D74-K74,"")</f>
        <v/>
      </c>
      <c r="N74" s="19">
        <f>IF(M74="","",L74/M74*100)</f>
        <v/>
      </c>
      <c r="O74" s="2">
        <f>A74&amp;"|"&amp;C74</f>
        <v/>
      </c>
    </row>
    <row r="75">
      <c r="A75" s="4" t="inlineStr">
        <is>
          <t>ev</t>
        </is>
      </c>
      <c r="B75" s="4" t="inlineStr">
        <is>
          <t>alex</t>
        </is>
      </c>
      <c r="C75" s="4" t="inlineStr">
        <is>
          <t>2024-02-13 23:30</t>
        </is>
      </c>
      <c r="D75" s="4" t="n">
        <v>6222</v>
      </c>
      <c r="E75" s="4" t="inlineStr">
        <is>
          <t>ev</t>
        </is>
      </c>
      <c r="F75" s="4" t="n">
        <v>12.656</v>
      </c>
      <c r="G75" s="4" t="n">
        <v>0.245</v>
      </c>
      <c r="H75" s="4" t="n">
        <v>3.1</v>
      </c>
      <c r="I75" s="4" t="inlineStr">
        <is>
          <t>no</t>
        </is>
      </c>
      <c r="J75" s="4" t="inlineStr">
        <is>
          <t>Home</t>
        </is>
      </c>
      <c r="K75" s="2">
        <f>IF(A75&lt;&gt;A74,"",IF(I74="no",D74,K74))</f>
        <v/>
      </c>
      <c r="L75" s="2">
        <f>IF(OR(A75&lt;&gt;A74,K75=""),"",IF(I74="no",F75,L74+F75))</f>
        <v/>
      </c>
      <c r="M75" s="2">
        <f>IF(AND(I75="no",K75&lt;&gt;""),D75-K75,"")</f>
        <v/>
      </c>
      <c r="N75" s="19">
        <f>IF(M75="","",L75/M75*100)</f>
        <v/>
      </c>
      <c r="O75" s="2">
        <f>A75&amp;"|"&amp;C75</f>
        <v/>
      </c>
    </row>
    <row r="76">
      <c r="A76" s="4" t="inlineStr">
        <is>
          <t>ev</t>
        </is>
      </c>
      <c r="B76" s="4" t="inlineStr">
        <is>
          <t>alex</t>
        </is>
      </c>
      <c r="C76" s="4" t="inlineStr">
        <is>
          <t>2024-02-16 23:46</t>
        </is>
      </c>
      <c r="D76" s="4" t="n">
        <v>6327.3</v>
      </c>
      <c r="E76" s="4" t="inlineStr">
        <is>
          <t>ev</t>
        </is>
      </c>
      <c r="F76" s="4" t="n">
        <v>18.158</v>
      </c>
      <c r="G76" s="4" t="n">
        <v>0.245</v>
      </c>
      <c r="H76" s="4" t="n">
        <v>4.45</v>
      </c>
      <c r="I76" s="4" t="inlineStr">
        <is>
          <t>no</t>
        </is>
      </c>
      <c r="J76" s="4" t="inlineStr">
        <is>
          <t>Home</t>
        </is>
      </c>
      <c r="K76" s="2">
        <f>IF(A76&lt;&gt;A75,"",IF(I75="no",D75,K75))</f>
        <v/>
      </c>
      <c r="L76" s="2">
        <f>IF(OR(A76&lt;&gt;A75,K76=""),"",IF(I75="no",F76,L75+F76))</f>
        <v/>
      </c>
      <c r="M76" s="2">
        <f>IF(AND(I76="no",K76&lt;&gt;""),D76-K76,"")</f>
        <v/>
      </c>
      <c r="N76" s="19">
        <f>IF(M76="","",L76/M76*100)</f>
        <v/>
      </c>
      <c r="O76" s="2">
        <f>A76&amp;"|"&amp;C76</f>
        <v/>
      </c>
    </row>
    <row r="77">
      <c r="A77" s="4" t="inlineStr">
        <is>
          <t>ev</t>
        </is>
      </c>
      <c r="B77" s="4" t="inlineStr">
        <is>
          <t>alex</t>
        </is>
      </c>
      <c r="C77" s="4" t="inlineStr">
        <is>
          <t>2024-02-18 23:47</t>
        </is>
      </c>
      <c r="D77" s="4" t="n">
        <v>6397.2</v>
      </c>
      <c r="E77" s="4" t="inlineStr">
        <is>
          <t>ev</t>
        </is>
      </c>
      <c r="F77" s="4" t="n">
        <v>12.337</v>
      </c>
      <c r="G77" s="4" t="n">
        <v>0.245</v>
      </c>
      <c r="H77" s="4" t="n">
        <v>3.02</v>
      </c>
      <c r="I77" s="4" t="inlineStr">
        <is>
          <t>no</t>
        </is>
      </c>
      <c r="J77" s="4" t="inlineStr">
        <is>
          <t>Home</t>
        </is>
      </c>
      <c r="K77" s="2">
        <f>IF(A77&lt;&gt;A76,"",IF(I76="no",D76,K76))</f>
        <v/>
      </c>
      <c r="L77" s="2">
        <f>IF(OR(A77&lt;&gt;A76,K77=""),"",IF(I76="no",F77,L76+F77))</f>
        <v/>
      </c>
      <c r="M77" s="2">
        <f>IF(AND(I77="no",K77&lt;&gt;""),D77-K77,"")</f>
        <v/>
      </c>
      <c r="N77" s="19">
        <f>IF(M77="","",L77/M77*100)</f>
        <v/>
      </c>
      <c r="O77" s="2">
        <f>A77&amp;"|"&amp;C77</f>
        <v/>
      </c>
    </row>
    <row r="78">
      <c r="A78" s="4" t="inlineStr">
        <is>
          <t>ev</t>
        </is>
      </c>
      <c r="B78" s="4" t="inlineStr">
        <is>
          <t>alex</t>
        </is>
      </c>
      <c r="C78" s="4" t="inlineStr">
        <is>
          <t>2024-02-21 23:39</t>
        </is>
      </c>
      <c r="D78" s="4" t="n">
        <v>6493.5</v>
      </c>
      <c r="E78" s="4" t="inlineStr">
        <is>
          <t>ev</t>
        </is>
      </c>
      <c r="F78" s="4" t="n">
        <v>18.244</v>
      </c>
      <c r="G78" s="4" t="n">
        <v>0.245</v>
      </c>
      <c r="H78" s="4" t="n">
        <v>4.47</v>
      </c>
      <c r="I78" s="4" t="inlineStr">
        <is>
          <t>no</t>
        </is>
      </c>
      <c r="J78" s="4" t="inlineStr">
        <is>
          <t>Home</t>
        </is>
      </c>
      <c r="K78" s="2">
        <f>IF(A78&lt;&gt;A77,"",IF(I77="no",D77,K77))</f>
        <v/>
      </c>
      <c r="L78" s="2">
        <f>IF(OR(A78&lt;&gt;A77,K78=""),"",IF(I77="no",F78,L77+F78))</f>
        <v/>
      </c>
      <c r="M78" s="2">
        <f>IF(AND(I78="no",K78&lt;&gt;""),D78-K78,"")</f>
        <v/>
      </c>
      <c r="N78" s="19">
        <f>IF(M78="","",L78/M78*100)</f>
        <v/>
      </c>
      <c r="O78" s="2">
        <f>A78&amp;"|"&amp;C78</f>
        <v/>
      </c>
    </row>
    <row r="79">
      <c r="A79" s="4" t="inlineStr">
        <is>
          <t>ev</t>
        </is>
      </c>
      <c r="B79" s="4" t="inlineStr">
        <is>
          <t>alex</t>
        </is>
      </c>
      <c r="C79" s="4" t="inlineStr">
        <is>
          <t>2024-02-22 23:39</t>
        </is>
      </c>
      <c r="D79" s="4" t="n">
        <v>6537.8</v>
      </c>
      <c r="E79" s="4" t="inlineStr">
        <is>
          <t>ev</t>
        </is>
      </c>
      <c r="F79" s="4" t="n">
        <v>8.606999999999999</v>
      </c>
      <c r="G79" s="4" t="n">
        <v>0.245</v>
      </c>
      <c r="H79" s="4" t="n">
        <v>2.11</v>
      </c>
      <c r="I79" s="4" t="inlineStr">
        <is>
          <t>no</t>
        </is>
      </c>
      <c r="J79" s="4" t="inlineStr">
        <is>
          <t>Home</t>
        </is>
      </c>
      <c r="K79" s="2">
        <f>IF(A79&lt;&gt;A78,"",IF(I78="no",D78,K78))</f>
        <v/>
      </c>
      <c r="L79" s="2">
        <f>IF(OR(A79&lt;&gt;A78,K79=""),"",IF(I78="no",F79,L78+F79))</f>
        <v/>
      </c>
      <c r="M79" s="2">
        <f>IF(AND(I79="no",K79&lt;&gt;""),D79-K79,"")</f>
        <v/>
      </c>
      <c r="N79" s="19">
        <f>IF(M79="","",L79/M79*100)</f>
        <v/>
      </c>
      <c r="O79" s="2">
        <f>A79&amp;"|"&amp;C79</f>
        <v/>
      </c>
    </row>
    <row r="80">
      <c r="A80" s="4" t="inlineStr">
        <is>
          <t>ev</t>
        </is>
      </c>
      <c r="B80" s="4" t="inlineStr">
        <is>
          <t>alex</t>
        </is>
      </c>
      <c r="C80" s="4" t="inlineStr">
        <is>
          <t>2024-02-25 23:40</t>
        </is>
      </c>
      <c r="D80" s="4" t="n">
        <v>6621</v>
      </c>
      <c r="E80" s="4" t="inlineStr">
        <is>
          <t>ev</t>
        </is>
      </c>
      <c r="F80" s="4" t="n">
        <v>15.28</v>
      </c>
      <c r="G80" s="4" t="n">
        <v>0.245</v>
      </c>
      <c r="H80" s="4" t="n">
        <v>3.74</v>
      </c>
      <c r="I80" s="4" t="inlineStr">
        <is>
          <t>no</t>
        </is>
      </c>
      <c r="J80" s="4" t="inlineStr">
        <is>
          <t>Home</t>
        </is>
      </c>
      <c r="K80" s="2">
        <f>IF(A80&lt;&gt;A79,"",IF(I79="no",D79,K79))</f>
        <v/>
      </c>
      <c r="L80" s="2">
        <f>IF(OR(A80&lt;&gt;A79,K80=""),"",IF(I79="no",F80,L79+F80))</f>
        <v/>
      </c>
      <c r="M80" s="2">
        <f>IF(AND(I80="no",K80&lt;&gt;""),D80-K80,"")</f>
        <v/>
      </c>
      <c r="N80" s="19">
        <f>IF(M80="","",L80/M80*100)</f>
        <v/>
      </c>
      <c r="O80" s="2">
        <f>A80&amp;"|"&amp;C80</f>
        <v/>
      </c>
    </row>
    <row r="81">
      <c r="A81" s="4" t="inlineStr">
        <is>
          <t>ev</t>
        </is>
      </c>
      <c r="B81" s="4" t="inlineStr">
        <is>
          <t>alex</t>
        </is>
      </c>
      <c r="C81" s="4" t="inlineStr">
        <is>
          <t>2024-02-28 23:32</t>
        </is>
      </c>
      <c r="D81" s="4" t="n">
        <v>6737.1</v>
      </c>
      <c r="E81" s="4" t="inlineStr">
        <is>
          <t>ev</t>
        </is>
      </c>
      <c r="F81" s="4" t="n">
        <v>20.427</v>
      </c>
      <c r="G81" s="4" t="n">
        <v>0.245</v>
      </c>
      <c r="H81" s="4" t="n">
        <v>5</v>
      </c>
      <c r="I81" s="4" t="inlineStr">
        <is>
          <t>no</t>
        </is>
      </c>
      <c r="J81" s="4" t="inlineStr">
        <is>
          <t>Home</t>
        </is>
      </c>
      <c r="K81" s="2">
        <f>IF(A81&lt;&gt;A80,"",IF(I80="no",D80,K80))</f>
        <v/>
      </c>
      <c r="L81" s="2">
        <f>IF(OR(A81&lt;&gt;A80,K81=""),"",IF(I80="no",F81,L80+F81))</f>
        <v/>
      </c>
      <c r="M81" s="2">
        <f>IF(AND(I81="no",K81&lt;&gt;""),D81-K81,"")</f>
        <v/>
      </c>
      <c r="N81" s="19">
        <f>IF(M81="","",L81/M81*100)</f>
        <v/>
      </c>
      <c r="O81" s="2">
        <f>A81&amp;"|"&amp;C81</f>
        <v/>
      </c>
    </row>
    <row r="82">
      <c r="A82" s="4" t="inlineStr">
        <is>
          <t>ev</t>
        </is>
      </c>
      <c r="B82" s="4" t="inlineStr">
        <is>
          <t>alex</t>
        </is>
      </c>
      <c r="C82" s="4" t="inlineStr">
        <is>
          <t>2024-03-01 23:47</t>
        </is>
      </c>
      <c r="D82" s="4" t="n">
        <v>6793.3</v>
      </c>
      <c r="E82" s="4" t="inlineStr">
        <is>
          <t>ev</t>
        </is>
      </c>
      <c r="F82" s="4" t="n">
        <v>10.476</v>
      </c>
      <c r="G82" s="4" t="n">
        <v>0.245</v>
      </c>
      <c r="H82" s="4" t="n">
        <v>2.57</v>
      </c>
      <c r="I82" s="4" t="inlineStr">
        <is>
          <t>no</t>
        </is>
      </c>
      <c r="J82" s="4" t="inlineStr">
        <is>
          <t>Home</t>
        </is>
      </c>
      <c r="K82" s="2">
        <f>IF(A82&lt;&gt;A81,"",IF(I81="no",D81,K81))</f>
        <v/>
      </c>
      <c r="L82" s="2">
        <f>IF(OR(A82&lt;&gt;A81,K82=""),"",IF(I81="no",F82,L81+F82))</f>
        <v/>
      </c>
      <c r="M82" s="2">
        <f>IF(AND(I82="no",K82&lt;&gt;""),D82-K82,"")</f>
        <v/>
      </c>
      <c r="N82" s="19">
        <f>IF(M82="","",L82/M82*100)</f>
        <v/>
      </c>
      <c r="O82" s="2">
        <f>A82&amp;"|"&amp;C82</f>
        <v/>
      </c>
    </row>
    <row r="83">
      <c r="A83" s="4" t="inlineStr">
        <is>
          <t>ev</t>
        </is>
      </c>
      <c r="B83" s="4" t="inlineStr">
        <is>
          <t>alex</t>
        </is>
      </c>
      <c r="C83" s="4" t="inlineStr">
        <is>
          <t>2024-03-02 23:39</t>
        </is>
      </c>
      <c r="D83" s="4" t="n">
        <v>6840.8</v>
      </c>
      <c r="E83" s="4" t="inlineStr">
        <is>
          <t>ev</t>
        </is>
      </c>
      <c r="F83" s="4" t="n">
        <v>8.836</v>
      </c>
      <c r="G83" s="4" t="n">
        <v>0.245</v>
      </c>
      <c r="H83" s="4" t="n">
        <v>2.16</v>
      </c>
      <c r="I83" s="4" t="inlineStr">
        <is>
          <t>no</t>
        </is>
      </c>
      <c r="J83" s="4" t="inlineStr">
        <is>
          <t>Home</t>
        </is>
      </c>
      <c r="K83" s="2">
        <f>IF(A83&lt;&gt;A82,"",IF(I82="no",D82,K82))</f>
        <v/>
      </c>
      <c r="L83" s="2">
        <f>IF(OR(A83&lt;&gt;A82,K83=""),"",IF(I82="no",F83,L82+F83))</f>
        <v/>
      </c>
      <c r="M83" s="2">
        <f>IF(AND(I83="no",K83&lt;&gt;""),D83-K83,"")</f>
        <v/>
      </c>
      <c r="N83" s="19">
        <f>IF(M83="","",L83/M83*100)</f>
        <v/>
      </c>
      <c r="O83" s="2">
        <f>A83&amp;"|"&amp;C83</f>
        <v/>
      </c>
    </row>
    <row r="84">
      <c r="A84" s="4" t="inlineStr">
        <is>
          <t>ev</t>
        </is>
      </c>
      <c r="B84" s="4" t="inlineStr">
        <is>
          <t>alex</t>
        </is>
      </c>
      <c r="C84" s="4" t="inlineStr">
        <is>
          <t>2024-03-05 16:17</t>
        </is>
      </c>
      <c r="D84" s="4" t="n">
        <v>6914.2</v>
      </c>
      <c r="E84" s="4" t="inlineStr">
        <is>
          <t>ev</t>
        </is>
      </c>
      <c r="F84" s="4" t="n">
        <v>26.431</v>
      </c>
      <c r="G84" s="4" t="n">
        <v>0.79</v>
      </c>
      <c r="H84" s="4" t="n">
        <v>20.88</v>
      </c>
      <c r="I84" s="4" t="inlineStr">
        <is>
          <t>yes</t>
        </is>
      </c>
      <c r="J84" s="4" t="inlineStr">
        <is>
          <t>Ionity Woodall (DC)</t>
        </is>
      </c>
      <c r="K84" s="2">
        <f>IF(A84&lt;&gt;A83,"",IF(I83="no",D83,K83))</f>
        <v/>
      </c>
      <c r="L84" s="2">
        <f>IF(OR(A84&lt;&gt;A83,K84=""),"",IF(I83="no",F84,L83+F84))</f>
        <v/>
      </c>
      <c r="M84" s="2">
        <f>IF(AND(I84="no",K84&lt;&gt;""),D84-K84,"")</f>
        <v/>
      </c>
      <c r="N84" s="19">
        <f>IF(M84="","",L84/M84*100)</f>
        <v/>
      </c>
      <c r="O84" s="2">
        <f>A84&amp;"|"&amp;C84</f>
        <v/>
      </c>
    </row>
    <row r="85">
      <c r="A85" s="4" t="inlineStr">
        <is>
          <t>ev</t>
        </is>
      </c>
      <c r="B85" s="4" t="inlineStr">
        <is>
          <t>alex</t>
        </is>
      </c>
      <c r="C85" s="4" t="inlineStr">
        <is>
          <t>2024-03-08 23:56</t>
        </is>
      </c>
      <c r="D85" s="4" t="n">
        <v>7023.2</v>
      </c>
      <c r="E85" s="4" t="inlineStr">
        <is>
          <t>ev</t>
        </is>
      </c>
      <c r="F85" s="4" t="n">
        <v>17.687</v>
      </c>
      <c r="G85" s="4" t="n">
        <v>0.245</v>
      </c>
      <c r="H85" s="4" t="n">
        <v>4.33</v>
      </c>
      <c r="I85" s="4" t="inlineStr">
        <is>
          <t>no</t>
        </is>
      </c>
      <c r="J85" s="4" t="inlineStr">
        <is>
          <t>Home</t>
        </is>
      </c>
      <c r="K85" s="2">
        <f>IF(A85&lt;&gt;A84,"",IF(I84="no",D84,K84))</f>
        <v/>
      </c>
      <c r="L85" s="2">
        <f>IF(OR(A85&lt;&gt;A84,K85=""),"",IF(I84="no",F85,L84+F85))</f>
        <v/>
      </c>
      <c r="M85" s="2">
        <f>IF(AND(I85="no",K85&lt;&gt;""),D85-K85,"")</f>
        <v/>
      </c>
      <c r="N85" s="19">
        <f>IF(M85="","",L85/M85*100)</f>
        <v/>
      </c>
      <c r="O85" s="2">
        <f>A85&amp;"|"&amp;C85</f>
        <v/>
      </c>
    </row>
    <row r="86">
      <c r="A86" s="4" t="inlineStr">
        <is>
          <t>ev</t>
        </is>
      </c>
      <c r="B86" s="4" t="inlineStr">
        <is>
          <t>alex</t>
        </is>
      </c>
      <c r="C86" s="4" t="inlineStr">
        <is>
          <t>2024-03-09 12:15</t>
        </is>
      </c>
      <c r="D86" s="4" t="n">
        <v>7040.9</v>
      </c>
      <c r="E86" s="4" t="inlineStr">
        <is>
          <t>ev</t>
        </is>
      </c>
      <c r="F86" s="4" t="n">
        <v>11.254</v>
      </c>
      <c r="G86" s="4" t="n">
        <v>0.52</v>
      </c>
      <c r="H86" s="4" t="n">
        <v>5.85</v>
      </c>
      <c r="I86" s="4" t="inlineStr">
        <is>
          <t>yes</t>
        </is>
      </c>
      <c r="J86" s="4" t="inlineStr">
        <is>
          <t>Leeds Council car park (AC)</t>
        </is>
      </c>
      <c r="K86" s="2">
        <f>IF(A86&lt;&gt;A85,"",IF(I85="no",D85,K85))</f>
        <v/>
      </c>
      <c r="L86" s="2">
        <f>IF(OR(A86&lt;&gt;A85,K86=""),"",IF(I85="no",F86,L85+F86))</f>
        <v/>
      </c>
      <c r="M86" s="2">
        <f>IF(AND(I86="no",K86&lt;&gt;""),D86-K86,"")</f>
        <v/>
      </c>
      <c r="N86" s="19">
        <f>IF(M86="","",L86/M86*100)</f>
        <v/>
      </c>
      <c r="O86" s="2">
        <f>A86&amp;"|"&amp;C86</f>
        <v/>
      </c>
    </row>
    <row r="87">
      <c r="A87" s="4" t="inlineStr">
        <is>
          <t>ev</t>
        </is>
      </c>
      <c r="B87" s="4" t="inlineStr">
        <is>
          <t>alex</t>
        </is>
      </c>
      <c r="C87" s="4" t="inlineStr">
        <is>
          <t>2024-03-12 23:54</t>
        </is>
      </c>
      <c r="D87" s="4" t="n">
        <v>7182.7</v>
      </c>
      <c r="E87" s="4" t="inlineStr">
        <is>
          <t>ev</t>
        </is>
      </c>
      <c r="F87" s="4" t="n">
        <v>22.239</v>
      </c>
      <c r="G87" s="4" t="n">
        <v>0.245</v>
      </c>
      <c r="H87" s="4" t="n">
        <v>5.45</v>
      </c>
      <c r="I87" s="4" t="inlineStr">
        <is>
          <t>no</t>
        </is>
      </c>
      <c r="J87" s="4" t="inlineStr">
        <is>
          <t>Home</t>
        </is>
      </c>
      <c r="K87" s="2">
        <f>IF(A87&lt;&gt;A86,"",IF(I86="no",D86,K86))</f>
        <v/>
      </c>
      <c r="L87" s="2">
        <f>IF(OR(A87&lt;&gt;A86,K87=""),"",IF(I86="no",F87,L86+F87))</f>
        <v/>
      </c>
      <c r="M87" s="2">
        <f>IF(AND(I87="no",K87&lt;&gt;""),D87-K87,"")</f>
        <v/>
      </c>
      <c r="N87" s="19">
        <f>IF(M87="","",L87/M87*100)</f>
        <v/>
      </c>
      <c r="O87" s="2">
        <f>A87&amp;"|"&amp;C87</f>
        <v/>
      </c>
    </row>
    <row r="88">
      <c r="A88" s="4" t="inlineStr">
        <is>
          <t>ev</t>
        </is>
      </c>
      <c r="B88" s="4" t="inlineStr">
        <is>
          <t>alex</t>
        </is>
      </c>
      <c r="C88" s="4" t="inlineStr">
        <is>
          <t>2024-03-14 16:15</t>
        </is>
      </c>
      <c r="D88" s="4" t="n">
        <v>7257.2</v>
      </c>
      <c r="E88" s="4" t="inlineStr">
        <is>
          <t>ev</t>
        </is>
      </c>
      <c r="F88" s="4" t="n">
        <v>32.451</v>
      </c>
      <c r="G88" s="4" t="n">
        <v>0.79</v>
      </c>
      <c r="H88" s="4" t="n">
        <v>25.64</v>
      </c>
      <c r="I88" s="4" t="inlineStr">
        <is>
          <t>yes</t>
        </is>
      </c>
      <c r="J88" s="4" t="inlineStr">
        <is>
          <t>Ionity Woodall (DC)</t>
        </is>
      </c>
      <c r="K88" s="2">
        <f>IF(A88&lt;&gt;A87,"",IF(I87="no",D87,K87))</f>
        <v/>
      </c>
      <c r="L88" s="2">
        <f>IF(OR(A88&lt;&gt;A87,K88=""),"",IF(I87="no",F88,L87+F88))</f>
        <v/>
      </c>
      <c r="M88" s="2">
        <f>IF(AND(I88="no",K88&lt;&gt;""),D88-K88,"")</f>
        <v/>
      </c>
      <c r="N88" s="19">
        <f>IF(M88="","",L88/M88*100)</f>
        <v/>
      </c>
      <c r="O88" s="2">
        <f>A88&amp;"|"&amp;C88</f>
        <v/>
      </c>
    </row>
    <row r="89">
      <c r="A89" s="4" t="inlineStr">
        <is>
          <t>ev</t>
        </is>
      </c>
      <c r="B89" s="4" t="inlineStr">
        <is>
          <t>alex</t>
        </is>
      </c>
      <c r="C89" s="4" t="inlineStr">
        <is>
          <t>2024-03-18 23:34</t>
        </is>
      </c>
      <c r="D89" s="4" t="n">
        <v>7387.2</v>
      </c>
      <c r="E89" s="4" t="inlineStr">
        <is>
          <t>ev</t>
        </is>
      </c>
      <c r="F89" s="4" t="n">
        <v>20.342</v>
      </c>
      <c r="G89" s="4" t="n">
        <v>0.245</v>
      </c>
      <c r="H89" s="4" t="n">
        <v>4.98</v>
      </c>
      <c r="I89" s="4" t="inlineStr">
        <is>
          <t>no</t>
        </is>
      </c>
      <c r="J89" s="4" t="inlineStr">
        <is>
          <t>Home</t>
        </is>
      </c>
      <c r="K89" s="2">
        <f>IF(A89&lt;&gt;A88,"",IF(I88="no",D88,K88))</f>
        <v/>
      </c>
      <c r="L89" s="2">
        <f>IF(OR(A89&lt;&gt;A88,K89=""),"",IF(I88="no",F89,L88+F89))</f>
        <v/>
      </c>
      <c r="M89" s="2">
        <f>IF(AND(I89="no",K89&lt;&gt;""),D89-K89,"")</f>
        <v/>
      </c>
      <c r="N89" s="19">
        <f>IF(M89="","",L89/M89*100)</f>
        <v/>
      </c>
      <c r="O89" s="2">
        <f>A89&amp;"|"&amp;C89</f>
        <v/>
      </c>
    </row>
    <row r="90">
      <c r="A90" s="4" t="inlineStr">
        <is>
          <t>ev</t>
        </is>
      </c>
      <c r="B90" s="4" t="inlineStr">
        <is>
          <t>alex</t>
        </is>
      </c>
      <c r="C90" s="4" t="inlineStr">
        <is>
          <t>2024-03-20 23:54</t>
        </is>
      </c>
      <c r="D90" s="4" t="n">
        <v>7439.5</v>
      </c>
      <c r="E90" s="4" t="inlineStr">
        <is>
          <t>ev</t>
        </is>
      </c>
      <c r="F90" s="4" t="n">
        <v>9.262</v>
      </c>
      <c r="G90" s="4" t="n">
        <v>0.245</v>
      </c>
      <c r="H90" s="4" t="n">
        <v>2.27</v>
      </c>
      <c r="I90" s="4" t="inlineStr">
        <is>
          <t>no</t>
        </is>
      </c>
      <c r="J90" s="4" t="inlineStr">
        <is>
          <t>Home</t>
        </is>
      </c>
      <c r="K90" s="2">
        <f>IF(A90&lt;&gt;A89,"",IF(I89="no",D89,K89))</f>
        <v/>
      </c>
      <c r="L90" s="2">
        <f>IF(OR(A90&lt;&gt;A89,K90=""),"",IF(I89="no",F90,L89+F90))</f>
        <v/>
      </c>
      <c r="M90" s="2">
        <f>IF(AND(I90="no",K90&lt;&gt;""),D90-K90,"")</f>
        <v/>
      </c>
      <c r="N90" s="19">
        <f>IF(M90="","",L90/M90*100)</f>
        <v/>
      </c>
      <c r="O90" s="2">
        <f>A90&amp;"|"&amp;C90</f>
        <v/>
      </c>
    </row>
    <row r="91">
      <c r="A91" s="4" t="inlineStr">
        <is>
          <t>ev</t>
        </is>
      </c>
      <c r="B91" s="4" t="inlineStr">
        <is>
          <t>alex</t>
        </is>
      </c>
      <c r="C91" s="4" t="inlineStr">
        <is>
          <t>2024-03-23 23:32</t>
        </is>
      </c>
      <c r="D91" s="4" t="n">
        <v>7531.4</v>
      </c>
      <c r="E91" s="4" t="inlineStr">
        <is>
          <t>ev</t>
        </is>
      </c>
      <c r="F91" s="4" t="n">
        <v>16.727</v>
      </c>
      <c r="G91" s="4" t="n">
        <v>0.245</v>
      </c>
      <c r="H91" s="4" t="n">
        <v>4.1</v>
      </c>
      <c r="I91" s="4" t="inlineStr">
        <is>
          <t>no</t>
        </is>
      </c>
      <c r="J91" s="4" t="inlineStr">
        <is>
          <t>Home</t>
        </is>
      </c>
      <c r="K91" s="2">
        <f>IF(A91&lt;&gt;A90,"",IF(I90="no",D90,K90))</f>
        <v/>
      </c>
      <c r="L91" s="2">
        <f>IF(OR(A91&lt;&gt;A90,K91=""),"",IF(I90="no",F91,L90+F91))</f>
        <v/>
      </c>
      <c r="M91" s="2">
        <f>IF(AND(I91="no",K91&lt;&gt;""),D91-K91,"")</f>
        <v/>
      </c>
      <c r="N91" s="19">
        <f>IF(M91="","",L91/M91*100)</f>
        <v/>
      </c>
      <c r="O91" s="2">
        <f>A91&amp;"|"&amp;C91</f>
        <v/>
      </c>
    </row>
    <row r="92">
      <c r="A92" s="4" t="inlineStr">
        <is>
          <t>ev</t>
        </is>
      </c>
      <c r="B92" s="4" t="inlineStr">
        <is>
          <t>alex</t>
        </is>
      </c>
      <c r="C92" s="4" t="inlineStr">
        <is>
          <t>2024-03-24 23:46</t>
        </is>
      </c>
      <c r="D92" s="4" t="n">
        <v>7573</v>
      </c>
      <c r="E92" s="4" t="inlineStr">
        <is>
          <t>ev</t>
        </is>
      </c>
      <c r="F92" s="4" t="n">
        <v>8.101000000000001</v>
      </c>
      <c r="G92" s="4" t="n">
        <v>0.245</v>
      </c>
      <c r="H92" s="4" t="n">
        <v>1.98</v>
      </c>
      <c r="I92" s="4" t="inlineStr">
        <is>
          <t>no</t>
        </is>
      </c>
      <c r="J92" s="4" t="inlineStr">
        <is>
          <t>Home</t>
        </is>
      </c>
      <c r="K92" s="2">
        <f>IF(A92&lt;&gt;A91,"",IF(I91="no",D91,K91))</f>
        <v/>
      </c>
      <c r="L92" s="2">
        <f>IF(OR(A92&lt;&gt;A91,K92=""),"",IF(I91="no",F92,L91+F92))</f>
        <v/>
      </c>
      <c r="M92" s="2">
        <f>IF(AND(I92="no",K92&lt;&gt;""),D92-K92,"")</f>
        <v/>
      </c>
      <c r="N92" s="19">
        <f>IF(M92="","",L92/M92*100)</f>
        <v/>
      </c>
      <c r="O92" s="2">
        <f>A92&amp;"|"&amp;C92</f>
        <v/>
      </c>
    </row>
    <row r="93">
      <c r="A93" s="4" t="inlineStr">
        <is>
          <t>ev</t>
        </is>
      </c>
      <c r="B93" s="4" t="inlineStr">
        <is>
          <t>alex</t>
        </is>
      </c>
      <c r="C93" s="4" t="inlineStr">
        <is>
          <t>2024-03-27 23:58</t>
        </is>
      </c>
      <c r="D93" s="4" t="n">
        <v>7666.4</v>
      </c>
      <c r="E93" s="4" t="inlineStr">
        <is>
          <t>ev</t>
        </is>
      </c>
      <c r="F93" s="4" t="n">
        <v>16.91</v>
      </c>
      <c r="G93" s="4" t="n">
        <v>0.245</v>
      </c>
      <c r="H93" s="4" t="n">
        <v>4.14</v>
      </c>
      <c r="I93" s="4" t="inlineStr">
        <is>
          <t>no</t>
        </is>
      </c>
      <c r="J93" s="4" t="inlineStr">
        <is>
          <t>Home</t>
        </is>
      </c>
      <c r="K93" s="2">
        <f>IF(A93&lt;&gt;A92,"",IF(I92="no",D92,K92))</f>
        <v/>
      </c>
      <c r="L93" s="2">
        <f>IF(OR(A93&lt;&gt;A92,K93=""),"",IF(I92="no",F93,L92+F93))</f>
        <v/>
      </c>
      <c r="M93" s="2">
        <f>IF(AND(I93="no",K93&lt;&gt;""),D93-K93,"")</f>
        <v/>
      </c>
      <c r="N93" s="19">
        <f>IF(M93="","",L93/M93*100)</f>
        <v/>
      </c>
      <c r="O93" s="2">
        <f>A93&amp;"|"&amp;C93</f>
        <v/>
      </c>
    </row>
    <row r="94">
      <c r="A94" s="4" t="inlineStr">
        <is>
          <t>ev</t>
        </is>
      </c>
      <c r="B94" s="4" t="inlineStr">
        <is>
          <t>alex</t>
        </is>
      </c>
      <c r="C94" s="4" t="inlineStr">
        <is>
          <t>2024-03-30 23:30</t>
        </is>
      </c>
      <c r="D94" s="4" t="n">
        <v>7764.3</v>
      </c>
      <c r="E94" s="4" t="inlineStr">
        <is>
          <t>ev</t>
        </is>
      </c>
      <c r="F94" s="4" t="n">
        <v>17.519</v>
      </c>
      <c r="G94" s="4" t="n">
        <v>0.245</v>
      </c>
      <c r="H94" s="4" t="n">
        <v>4.29</v>
      </c>
      <c r="I94" s="4" t="inlineStr">
        <is>
          <t>no</t>
        </is>
      </c>
      <c r="J94" s="4" t="inlineStr">
        <is>
          <t>Home</t>
        </is>
      </c>
      <c r="K94" s="2">
        <f>IF(A94&lt;&gt;A93,"",IF(I93="no",D93,K93))</f>
        <v/>
      </c>
      <c r="L94" s="2">
        <f>IF(OR(A94&lt;&gt;A93,K94=""),"",IF(I93="no",F94,L93+F94))</f>
        <v/>
      </c>
      <c r="M94" s="2">
        <f>IF(AND(I94="no",K94&lt;&gt;""),D94-K94,"")</f>
        <v/>
      </c>
      <c r="N94" s="19">
        <f>IF(M94="","",L94/M94*100)</f>
        <v/>
      </c>
      <c r="O94" s="2">
        <f>A94&amp;"|"&amp;C94</f>
        <v/>
      </c>
    </row>
    <row r="95">
      <c r="A95" s="4" t="inlineStr">
        <is>
          <t>ev</t>
        </is>
      </c>
      <c r="B95" s="4" t="inlineStr">
        <is>
          <t>alex</t>
        </is>
      </c>
      <c r="C95" s="4" t="inlineStr">
        <is>
          <t>2024-04-02 23:54</t>
        </is>
      </c>
      <c r="D95" s="4" t="n">
        <v>7828.4</v>
      </c>
      <c r="E95" s="4" t="inlineStr">
        <is>
          <t>ev</t>
        </is>
      </c>
      <c r="F95" s="4" t="n">
        <v>11.063</v>
      </c>
      <c r="G95" s="4" t="n">
        <v>0.245</v>
      </c>
      <c r="H95" s="4" t="n">
        <v>2.71</v>
      </c>
      <c r="I95" s="4" t="inlineStr">
        <is>
          <t>no</t>
        </is>
      </c>
      <c r="J95" s="4" t="inlineStr">
        <is>
          <t>Home</t>
        </is>
      </c>
      <c r="K95" s="2">
        <f>IF(A95&lt;&gt;A94,"",IF(I94="no",D94,K94))</f>
        <v/>
      </c>
      <c r="L95" s="2">
        <f>IF(OR(A95&lt;&gt;A94,K95=""),"",IF(I94="no",F95,L94+F95))</f>
        <v/>
      </c>
      <c r="M95" s="2">
        <f>IF(AND(I95="no",K95&lt;&gt;""),D95-K95,"")</f>
        <v/>
      </c>
      <c r="N95" s="19">
        <f>IF(M95="","",L95/M95*100)</f>
        <v/>
      </c>
      <c r="O95" s="2">
        <f>A95&amp;"|"&amp;C95</f>
        <v/>
      </c>
    </row>
    <row r="96">
      <c r="A96" s="4" t="inlineStr">
        <is>
          <t>ev</t>
        </is>
      </c>
      <c r="B96" s="4" t="inlineStr">
        <is>
          <t>alex</t>
        </is>
      </c>
      <c r="C96" s="4" t="inlineStr">
        <is>
          <t>2024-04-06 10:39</t>
        </is>
      </c>
      <c r="D96" s="4" t="n">
        <v>7922.3</v>
      </c>
      <c r="E96" s="4" t="inlineStr">
        <is>
          <t>ev</t>
        </is>
      </c>
      <c r="F96" s="4" t="n">
        <v>33.06</v>
      </c>
      <c r="G96" s="4" t="n">
        <v>0.79</v>
      </c>
      <c r="H96" s="4" t="n">
        <v>26.12</v>
      </c>
      <c r="I96" s="4" t="inlineStr">
        <is>
          <t>yes</t>
        </is>
      </c>
      <c r="J96" s="4" t="inlineStr">
        <is>
          <t>Ionity Woodall (DC)</t>
        </is>
      </c>
      <c r="K96" s="2">
        <f>IF(A96&lt;&gt;A95,"",IF(I95="no",D95,K95))</f>
        <v/>
      </c>
      <c r="L96" s="2">
        <f>IF(OR(A96&lt;&gt;A95,K96=""),"",IF(I95="no",F96,L95+F96))</f>
        <v/>
      </c>
      <c r="M96" s="2">
        <f>IF(AND(I96="no",K96&lt;&gt;""),D96-K96,"")</f>
        <v/>
      </c>
      <c r="N96" s="19">
        <f>IF(M96="","",L96/M96*100)</f>
        <v/>
      </c>
      <c r="O96" s="2">
        <f>A96&amp;"|"&amp;C96</f>
        <v/>
      </c>
    </row>
    <row r="97">
      <c r="A97" s="4" t="inlineStr">
        <is>
          <t>ev</t>
        </is>
      </c>
      <c r="B97" s="4" t="inlineStr">
        <is>
          <t>alex</t>
        </is>
      </c>
      <c r="C97" s="4" t="inlineStr">
        <is>
          <t>2024-04-07 23:30</t>
        </is>
      </c>
      <c r="D97" s="4" t="n">
        <v>7984.1</v>
      </c>
      <c r="E97" s="4" t="inlineStr">
        <is>
          <t>ev</t>
        </is>
      </c>
      <c r="F97" s="4" t="n">
        <v>8.499000000000001</v>
      </c>
      <c r="G97" s="4" t="n">
        <v>0.245</v>
      </c>
      <c r="H97" s="4" t="n">
        <v>2.08</v>
      </c>
      <c r="I97" s="4" t="inlineStr">
        <is>
          <t>no</t>
        </is>
      </c>
      <c r="J97" s="4" t="inlineStr">
        <is>
          <t>Home</t>
        </is>
      </c>
      <c r="K97" s="2">
        <f>IF(A97&lt;&gt;A96,"",IF(I96="no",D96,K96))</f>
        <v/>
      </c>
      <c r="L97" s="2">
        <f>IF(OR(A97&lt;&gt;A96,K97=""),"",IF(I96="no",F97,L96+F97))</f>
        <v/>
      </c>
      <c r="M97" s="2">
        <f>IF(AND(I97="no",K97&lt;&gt;""),D97-K97,"")</f>
        <v/>
      </c>
      <c r="N97" s="19">
        <f>IF(M97="","",L97/M97*100)</f>
        <v/>
      </c>
      <c r="O97" s="2">
        <f>A97&amp;"|"&amp;C97</f>
        <v/>
      </c>
    </row>
    <row r="98">
      <c r="A98" s="4" t="inlineStr">
        <is>
          <t>ev</t>
        </is>
      </c>
      <c r="B98" s="4" t="inlineStr">
        <is>
          <t>alex</t>
        </is>
      </c>
      <c r="C98" s="4" t="inlineStr">
        <is>
          <t>2024-04-11 23:36</t>
        </is>
      </c>
      <c r="D98" s="4" t="n">
        <v>8095.9</v>
      </c>
      <c r="E98" s="4" t="inlineStr">
        <is>
          <t>ev</t>
        </is>
      </c>
      <c r="F98" s="4" t="n">
        <v>19.928</v>
      </c>
      <c r="G98" s="4" t="n">
        <v>0.245</v>
      </c>
      <c r="H98" s="4" t="n">
        <v>4.88</v>
      </c>
      <c r="I98" s="4" t="inlineStr">
        <is>
          <t>no</t>
        </is>
      </c>
      <c r="J98" s="4" t="inlineStr">
        <is>
          <t>Home</t>
        </is>
      </c>
      <c r="K98" s="2">
        <f>IF(A98&lt;&gt;A97,"",IF(I97="no",D97,K97))</f>
        <v/>
      </c>
      <c r="L98" s="2">
        <f>IF(OR(A98&lt;&gt;A97,K98=""),"",IF(I97="no",F98,L97+F98))</f>
        <v/>
      </c>
      <c r="M98" s="2">
        <f>IF(AND(I98="no",K98&lt;&gt;""),D98-K98,"")</f>
        <v/>
      </c>
      <c r="N98" s="19">
        <f>IF(M98="","",L98/M98*100)</f>
        <v/>
      </c>
      <c r="O98" s="2">
        <f>A98&amp;"|"&amp;C98</f>
        <v/>
      </c>
    </row>
    <row r="99">
      <c r="A99" s="4" t="inlineStr">
        <is>
          <t>ev</t>
        </is>
      </c>
      <c r="B99" s="4" t="inlineStr">
        <is>
          <t>alex</t>
        </is>
      </c>
      <c r="C99" s="4" t="inlineStr">
        <is>
          <t>2024-04-14 15:28</t>
        </is>
      </c>
      <c r="D99" s="4" t="n">
        <v>8187.3</v>
      </c>
      <c r="E99" s="4" t="inlineStr">
        <is>
          <t>ev</t>
        </is>
      </c>
      <c r="F99" s="4" t="n">
        <v>9.303000000000001</v>
      </c>
      <c r="G99" s="4" t="n">
        <v>0.52</v>
      </c>
      <c r="H99" s="4" t="n">
        <v>4.84</v>
      </c>
      <c r="I99" s="4" t="inlineStr">
        <is>
          <t>yes</t>
        </is>
      </c>
      <c r="J99" s="4" t="inlineStr">
        <is>
          <t>Leeds Council car park (AC)</t>
        </is>
      </c>
      <c r="K99" s="2">
        <f>IF(A99&lt;&gt;A98,"",IF(I98="no",D98,K98))</f>
        <v/>
      </c>
      <c r="L99" s="2">
        <f>IF(OR(A99&lt;&gt;A98,K99=""),"",IF(I98="no",F99,L98+F99))</f>
        <v/>
      </c>
      <c r="M99" s="2">
        <f>IF(AND(I99="no",K99&lt;&gt;""),D99-K99,"")</f>
        <v/>
      </c>
      <c r="N99" s="19">
        <f>IF(M99="","",L99/M99*100)</f>
        <v/>
      </c>
      <c r="O99" s="2">
        <f>A99&amp;"|"&amp;C99</f>
        <v/>
      </c>
    </row>
    <row r="100">
      <c r="A100" s="4" t="inlineStr">
        <is>
          <t>ev</t>
        </is>
      </c>
      <c r="B100" s="4" t="inlineStr">
        <is>
          <t>alex</t>
        </is>
      </c>
      <c r="C100" s="4" t="inlineStr">
        <is>
          <t>2024-04-15 23:47</t>
        </is>
      </c>
      <c r="D100" s="4" t="n">
        <v>8243.9</v>
      </c>
      <c r="E100" s="4" t="inlineStr">
        <is>
          <t>ev</t>
        </is>
      </c>
      <c r="F100" s="4" t="n">
        <v>17.934</v>
      </c>
      <c r="G100" s="4" t="n">
        <v>0.245</v>
      </c>
      <c r="H100" s="4" t="n">
        <v>4.39</v>
      </c>
      <c r="I100" s="4" t="inlineStr">
        <is>
          <t>no</t>
        </is>
      </c>
      <c r="J100" s="4" t="inlineStr">
        <is>
          <t>Home</t>
        </is>
      </c>
      <c r="K100" s="2">
        <f>IF(A100&lt;&gt;A99,"",IF(I99="no",D99,K99))</f>
        <v/>
      </c>
      <c r="L100" s="2">
        <f>IF(OR(A100&lt;&gt;A99,K100=""),"",IF(I99="no",F100,L99+F100))</f>
        <v/>
      </c>
      <c r="M100" s="2">
        <f>IF(AND(I100="no",K100&lt;&gt;""),D100-K100,"")</f>
        <v/>
      </c>
      <c r="N100" s="19">
        <f>IF(M100="","",L100/M100*100)</f>
        <v/>
      </c>
      <c r="O100" s="2">
        <f>A100&amp;"|"&amp;C100</f>
        <v/>
      </c>
    </row>
    <row r="101">
      <c r="A101" s="4" t="inlineStr">
        <is>
          <t>ev</t>
        </is>
      </c>
      <c r="B101" s="4" t="inlineStr">
        <is>
          <t>alex</t>
        </is>
      </c>
      <c r="C101" s="4" t="inlineStr">
        <is>
          <t>2024-04-19 23:37</t>
        </is>
      </c>
      <c r="D101" s="4" t="n">
        <v>8328.1</v>
      </c>
      <c r="E101" s="4" t="inlineStr">
        <is>
          <t>ev</t>
        </is>
      </c>
      <c r="F101" s="4" t="n">
        <v>14.483</v>
      </c>
      <c r="G101" s="4" t="n">
        <v>0.245</v>
      </c>
      <c r="H101" s="4" t="n">
        <v>3.55</v>
      </c>
      <c r="I101" s="4" t="inlineStr">
        <is>
          <t>no</t>
        </is>
      </c>
      <c r="J101" s="4" t="inlineStr">
        <is>
          <t>Home</t>
        </is>
      </c>
      <c r="K101" s="2">
        <f>IF(A101&lt;&gt;A100,"",IF(I100="no",D100,K100))</f>
        <v/>
      </c>
      <c r="L101" s="2">
        <f>IF(OR(A101&lt;&gt;A100,K101=""),"",IF(I100="no",F101,L100+F101))</f>
        <v/>
      </c>
      <c r="M101" s="2">
        <f>IF(AND(I101="no",K101&lt;&gt;""),D101-K101,"")</f>
        <v/>
      </c>
      <c r="N101" s="19">
        <f>IF(M101="","",L101/M101*100)</f>
        <v/>
      </c>
      <c r="O101" s="2">
        <f>A101&amp;"|"&amp;C101</f>
        <v/>
      </c>
    </row>
    <row r="102">
      <c r="A102" s="4" t="inlineStr">
        <is>
          <t>ev</t>
        </is>
      </c>
      <c r="B102" s="4" t="inlineStr">
        <is>
          <t>alex</t>
        </is>
      </c>
      <c r="C102" s="4" t="inlineStr">
        <is>
          <t>2024-04-22 23:52</t>
        </is>
      </c>
      <c r="D102" s="4" t="n">
        <v>8434.200000000001</v>
      </c>
      <c r="E102" s="4" t="inlineStr">
        <is>
          <t>ev</t>
        </is>
      </c>
      <c r="F102" s="4" t="n">
        <v>18.795</v>
      </c>
      <c r="G102" s="4" t="n">
        <v>0.245</v>
      </c>
      <c r="H102" s="4" t="n">
        <v>4.6</v>
      </c>
      <c r="I102" s="4" t="inlineStr">
        <is>
          <t>no</t>
        </is>
      </c>
      <c r="J102" s="4" t="inlineStr">
        <is>
          <t>Home</t>
        </is>
      </c>
      <c r="K102" s="2">
        <f>IF(A102&lt;&gt;A101,"",IF(I101="no",D101,K101))</f>
        <v/>
      </c>
      <c r="L102" s="2">
        <f>IF(OR(A102&lt;&gt;A101,K102=""),"",IF(I101="no",F102,L101+F102))</f>
        <v/>
      </c>
      <c r="M102" s="2">
        <f>IF(AND(I102="no",K102&lt;&gt;""),D102-K102,"")</f>
        <v/>
      </c>
      <c r="N102" s="19">
        <f>IF(M102="","",L102/M102*100)</f>
        <v/>
      </c>
      <c r="O102" s="2">
        <f>A102&amp;"|"&amp;C102</f>
        <v/>
      </c>
    </row>
    <row r="103">
      <c r="A103" s="4" t="inlineStr">
        <is>
          <t>ev</t>
        </is>
      </c>
      <c r="B103" s="4" t="inlineStr">
        <is>
          <t>alex</t>
        </is>
      </c>
      <c r="C103" s="4" t="inlineStr">
        <is>
          <t>2024-04-26 23:54</t>
        </is>
      </c>
      <c r="D103" s="4" t="n">
        <v>8537</v>
      </c>
      <c r="E103" s="4" t="inlineStr">
        <is>
          <t>ev</t>
        </is>
      </c>
      <c r="F103" s="4" t="n">
        <v>18.293</v>
      </c>
      <c r="G103" s="4" t="n">
        <v>0.245</v>
      </c>
      <c r="H103" s="4" t="n">
        <v>4.48</v>
      </c>
      <c r="I103" s="4" t="inlineStr">
        <is>
          <t>no</t>
        </is>
      </c>
      <c r="J103" s="4" t="inlineStr">
        <is>
          <t>Home</t>
        </is>
      </c>
      <c r="K103" s="2">
        <f>IF(A103&lt;&gt;A102,"",IF(I102="no",D102,K102))</f>
        <v/>
      </c>
      <c r="L103" s="2">
        <f>IF(OR(A103&lt;&gt;A102,K103=""),"",IF(I102="no",F103,L102+F103))</f>
        <v/>
      </c>
      <c r="M103" s="2">
        <f>IF(AND(I103="no",K103&lt;&gt;""),D103-K103,"")</f>
        <v/>
      </c>
      <c r="N103" s="19">
        <f>IF(M103="","",L103/M103*100)</f>
        <v/>
      </c>
      <c r="O103" s="2">
        <f>A103&amp;"|"&amp;C103</f>
        <v/>
      </c>
    </row>
    <row r="104">
      <c r="A104" s="4" t="inlineStr">
        <is>
          <t>ev</t>
        </is>
      </c>
      <c r="B104" s="4" t="inlineStr">
        <is>
          <t>alex</t>
        </is>
      </c>
      <c r="C104" s="4" t="inlineStr">
        <is>
          <t>2024-04-30 23:31</t>
        </is>
      </c>
      <c r="D104" s="4" t="n">
        <v>8656.6</v>
      </c>
      <c r="E104" s="4" t="inlineStr">
        <is>
          <t>ev</t>
        </is>
      </c>
      <c r="F104" s="4" t="n">
        <v>21.834</v>
      </c>
      <c r="G104" s="4" t="n">
        <v>0.245</v>
      </c>
      <c r="H104" s="4" t="n">
        <v>5.35</v>
      </c>
      <c r="I104" s="4" t="inlineStr">
        <is>
          <t>no</t>
        </is>
      </c>
      <c r="J104" s="4" t="inlineStr">
        <is>
          <t>Home</t>
        </is>
      </c>
      <c r="K104" s="2">
        <f>IF(A104&lt;&gt;A103,"",IF(I103="no",D103,K103))</f>
        <v/>
      </c>
      <c r="L104" s="2">
        <f>IF(OR(A104&lt;&gt;A103,K104=""),"",IF(I103="no",F104,L103+F104))</f>
        <v/>
      </c>
      <c r="M104" s="2">
        <f>IF(AND(I104="no",K104&lt;&gt;""),D104-K104,"")</f>
        <v/>
      </c>
      <c r="N104" s="19">
        <f>IF(M104="","",L104/M104*100)</f>
        <v/>
      </c>
      <c r="O104" s="2">
        <f>A104&amp;"|"&amp;C104</f>
        <v/>
      </c>
    </row>
    <row r="105">
      <c r="A105" s="4" t="inlineStr">
        <is>
          <t>ev</t>
        </is>
      </c>
      <c r="B105" s="4" t="inlineStr">
        <is>
          <t>alex</t>
        </is>
      </c>
      <c r="C105" s="4" t="inlineStr">
        <is>
          <t>2024-05-02 23:38</t>
        </is>
      </c>
      <c r="D105" s="4" t="n">
        <v>8722.299999999999</v>
      </c>
      <c r="E105" s="4" t="inlineStr">
        <is>
          <t>ev</t>
        </is>
      </c>
      <c r="F105" s="4" t="n">
        <v>12.379</v>
      </c>
      <c r="G105" s="4" t="n">
        <v>0.245</v>
      </c>
      <c r="H105" s="4" t="n">
        <v>3.03</v>
      </c>
      <c r="I105" s="4" t="inlineStr">
        <is>
          <t>no</t>
        </is>
      </c>
      <c r="J105" s="4" t="inlineStr">
        <is>
          <t>Home</t>
        </is>
      </c>
      <c r="K105" s="2">
        <f>IF(A105&lt;&gt;A104,"",IF(I104="no",D104,K104))</f>
        <v/>
      </c>
      <c r="L105" s="2">
        <f>IF(OR(A105&lt;&gt;A104,K105=""),"",IF(I104="no",F105,L104+F105))</f>
        <v/>
      </c>
      <c r="M105" s="2">
        <f>IF(AND(I105="no",K105&lt;&gt;""),D105-K105,"")</f>
        <v/>
      </c>
      <c r="N105" s="19">
        <f>IF(M105="","",L105/M105*100)</f>
        <v/>
      </c>
      <c r="O105" s="2">
        <f>A105&amp;"|"&amp;C105</f>
        <v/>
      </c>
    </row>
    <row r="106">
      <c r="A106" s="4" t="inlineStr">
        <is>
          <t>ev</t>
        </is>
      </c>
      <c r="B106" s="4" t="inlineStr">
        <is>
          <t>alex</t>
        </is>
      </c>
      <c r="C106" s="4" t="inlineStr">
        <is>
          <t>2024-05-04 10:38</t>
        </is>
      </c>
      <c r="D106" s="4" t="n">
        <v>8772.299999999999</v>
      </c>
      <c r="E106" s="4" t="inlineStr">
        <is>
          <t>ev</t>
        </is>
      </c>
      <c r="F106" s="4" t="n">
        <v>22.572</v>
      </c>
      <c r="G106" s="4" t="n">
        <v>0.79</v>
      </c>
      <c r="H106" s="4" t="n">
        <v>17.83</v>
      </c>
      <c r="I106" s="4" t="inlineStr">
        <is>
          <t>yes</t>
        </is>
      </c>
      <c r="J106" s="4" t="inlineStr">
        <is>
          <t>Ionity Woodall (DC)</t>
        </is>
      </c>
      <c r="K106" s="2">
        <f>IF(A106&lt;&gt;A105,"",IF(I105="no",D105,K105))</f>
        <v/>
      </c>
      <c r="L106" s="2">
        <f>IF(OR(A106&lt;&gt;A105,K106=""),"",IF(I105="no",F106,L105+F106))</f>
        <v/>
      </c>
      <c r="M106" s="2">
        <f>IF(AND(I106="no",K106&lt;&gt;""),D106-K106,"")</f>
        <v/>
      </c>
      <c r="N106" s="19">
        <f>IF(M106="","",L106/M106*100)</f>
        <v/>
      </c>
      <c r="O106" s="2">
        <f>A106&amp;"|"&amp;C106</f>
        <v/>
      </c>
    </row>
    <row r="107">
      <c r="A107" s="4" t="inlineStr">
        <is>
          <t>ev</t>
        </is>
      </c>
      <c r="B107" s="4" t="inlineStr">
        <is>
          <t>alex</t>
        </is>
      </c>
      <c r="C107" s="4" t="inlineStr">
        <is>
          <t>2024-05-07 23:56</t>
        </is>
      </c>
      <c r="D107" s="4" t="n">
        <v>8885</v>
      </c>
      <c r="E107" s="4" t="inlineStr">
        <is>
          <t>ev</t>
        </is>
      </c>
      <c r="F107" s="4" t="n">
        <v>15.135</v>
      </c>
      <c r="G107" s="4" t="n">
        <v>0.245</v>
      </c>
      <c r="H107" s="4" t="n">
        <v>3.71</v>
      </c>
      <c r="I107" s="4" t="inlineStr">
        <is>
          <t>no</t>
        </is>
      </c>
      <c r="J107" s="4" t="inlineStr">
        <is>
          <t>Home</t>
        </is>
      </c>
      <c r="K107" s="2">
        <f>IF(A107&lt;&gt;A106,"",IF(I106="no",D106,K106))</f>
        <v/>
      </c>
      <c r="L107" s="2">
        <f>IF(OR(A107&lt;&gt;A106,K107=""),"",IF(I106="no",F107,L106+F107))</f>
        <v/>
      </c>
      <c r="M107" s="2">
        <f>IF(AND(I107="no",K107&lt;&gt;""),D107-K107,"")</f>
        <v/>
      </c>
      <c r="N107" s="19">
        <f>IF(M107="","",L107/M107*100)</f>
        <v/>
      </c>
      <c r="O107" s="2">
        <f>A107&amp;"|"&amp;C107</f>
        <v/>
      </c>
    </row>
    <row r="108">
      <c r="A108" s="4" t="inlineStr">
        <is>
          <t>ev</t>
        </is>
      </c>
      <c r="B108" s="4" t="inlineStr">
        <is>
          <t>alex</t>
        </is>
      </c>
      <c r="C108" s="4" t="inlineStr">
        <is>
          <t>2024-05-10 23:35</t>
        </is>
      </c>
      <c r="D108" s="4" t="n">
        <v>8975.9</v>
      </c>
      <c r="E108" s="4" t="inlineStr">
        <is>
          <t>ev</t>
        </is>
      </c>
      <c r="F108" s="4" t="n">
        <v>15.646</v>
      </c>
      <c r="G108" s="4" t="n">
        <v>0.245</v>
      </c>
      <c r="H108" s="4" t="n">
        <v>3.83</v>
      </c>
      <c r="I108" s="4" t="inlineStr">
        <is>
          <t>no</t>
        </is>
      </c>
      <c r="J108" s="4" t="inlineStr">
        <is>
          <t>Home</t>
        </is>
      </c>
      <c r="K108" s="2">
        <f>IF(A108&lt;&gt;A107,"",IF(I107="no",D107,K107))</f>
        <v/>
      </c>
      <c r="L108" s="2">
        <f>IF(OR(A108&lt;&gt;A107,K108=""),"",IF(I107="no",F108,L107+F108))</f>
        <v/>
      </c>
      <c r="M108" s="2">
        <f>IF(AND(I108="no",K108&lt;&gt;""),D108-K108,"")</f>
        <v/>
      </c>
      <c r="N108" s="19">
        <f>IF(M108="","",L108/M108*100)</f>
        <v/>
      </c>
      <c r="O108" s="2">
        <f>A108&amp;"|"&amp;C108</f>
        <v/>
      </c>
    </row>
    <row r="109">
      <c r="A109" s="4" t="inlineStr">
        <is>
          <t>ev</t>
        </is>
      </c>
      <c r="B109" s="4" t="inlineStr">
        <is>
          <t>alex</t>
        </is>
      </c>
      <c r="C109" s="4" t="inlineStr">
        <is>
          <t>2024-05-14 17:32</t>
        </is>
      </c>
      <c r="D109" s="4" t="n">
        <v>9067</v>
      </c>
      <c r="E109" s="4" t="inlineStr">
        <is>
          <t>ev</t>
        </is>
      </c>
      <c r="F109" s="4" t="n">
        <v>23.474</v>
      </c>
      <c r="G109" s="4" t="n">
        <v>0.79</v>
      </c>
      <c r="H109" s="4" t="n">
        <v>18.54</v>
      </c>
      <c r="I109" s="4" t="inlineStr">
        <is>
          <t>yes</t>
        </is>
      </c>
      <c r="J109" s="4" t="inlineStr">
        <is>
          <t>Ionity Woodall (DC)</t>
        </is>
      </c>
      <c r="K109" s="2">
        <f>IF(A109&lt;&gt;A108,"",IF(I108="no",D108,K108))</f>
        <v/>
      </c>
      <c r="L109" s="2">
        <f>IF(OR(A109&lt;&gt;A108,K109=""),"",IF(I108="no",F109,L108+F109))</f>
        <v/>
      </c>
      <c r="M109" s="2">
        <f>IF(AND(I109="no",K109&lt;&gt;""),D109-K109,"")</f>
        <v/>
      </c>
      <c r="N109" s="19">
        <f>IF(M109="","",L109/M109*100)</f>
        <v/>
      </c>
      <c r="O109" s="2">
        <f>A109&amp;"|"&amp;C109</f>
        <v/>
      </c>
    </row>
    <row r="110">
      <c r="A110" s="4" t="inlineStr">
        <is>
          <t>ev</t>
        </is>
      </c>
      <c r="B110" s="4" t="inlineStr">
        <is>
          <t>alex</t>
        </is>
      </c>
      <c r="C110" s="4" t="inlineStr">
        <is>
          <t>2024-05-18 23:46</t>
        </is>
      </c>
      <c r="D110" s="4" t="n">
        <v>9194.5</v>
      </c>
      <c r="E110" s="4" t="inlineStr">
        <is>
          <t>ev</t>
        </is>
      </c>
      <c r="F110" s="4" t="n">
        <v>20.659</v>
      </c>
      <c r="G110" s="4" t="n">
        <v>0.245</v>
      </c>
      <c r="H110" s="4" t="n">
        <v>5.06</v>
      </c>
      <c r="I110" s="4" t="inlineStr">
        <is>
          <t>no</t>
        </is>
      </c>
      <c r="J110" s="4" t="inlineStr">
        <is>
          <t>Home</t>
        </is>
      </c>
      <c r="K110" s="2">
        <f>IF(A110&lt;&gt;A109,"",IF(I109="no",D109,K109))</f>
        <v/>
      </c>
      <c r="L110" s="2">
        <f>IF(OR(A110&lt;&gt;A109,K110=""),"",IF(I109="no",F110,L109+F110))</f>
        <v/>
      </c>
      <c r="M110" s="2">
        <f>IF(AND(I110="no",K110&lt;&gt;""),D110-K110,"")</f>
        <v/>
      </c>
      <c r="N110" s="19">
        <f>IF(M110="","",L110/M110*100)</f>
        <v/>
      </c>
      <c r="O110" s="2">
        <f>A110&amp;"|"&amp;C110</f>
        <v/>
      </c>
    </row>
    <row r="111">
      <c r="A111" s="4" t="inlineStr">
        <is>
          <t>ev</t>
        </is>
      </c>
      <c r="B111" s="4" t="inlineStr">
        <is>
          <t>alex</t>
        </is>
      </c>
      <c r="C111" s="4" t="inlineStr">
        <is>
          <t>2024-05-21 17:06</t>
        </is>
      </c>
      <c r="D111" s="4" t="n">
        <v>9301.700000000001</v>
      </c>
      <c r="E111" s="4" t="inlineStr">
        <is>
          <t>ev</t>
        </is>
      </c>
      <c r="F111" s="4" t="n">
        <v>34.332</v>
      </c>
      <c r="G111" s="4" t="n">
        <v>0.79</v>
      </c>
      <c r="H111" s="4" t="n">
        <v>27.12</v>
      </c>
      <c r="I111" s="4" t="inlineStr">
        <is>
          <t>yes</t>
        </is>
      </c>
      <c r="J111" s="4" t="inlineStr">
        <is>
          <t>Ionity Woodall (DC)</t>
        </is>
      </c>
      <c r="K111" s="2">
        <f>IF(A111&lt;&gt;A110,"",IF(I110="no",D110,K110))</f>
        <v/>
      </c>
      <c r="L111" s="2">
        <f>IF(OR(A111&lt;&gt;A110,K111=""),"",IF(I110="no",F111,L110+F111))</f>
        <v/>
      </c>
      <c r="M111" s="2">
        <f>IF(AND(I111="no",K111&lt;&gt;""),D111-K111,"")</f>
        <v/>
      </c>
      <c r="N111" s="19">
        <f>IF(M111="","",L111/M111*100)</f>
        <v/>
      </c>
      <c r="O111" s="2">
        <f>A111&amp;"|"&amp;C111</f>
        <v/>
      </c>
    </row>
    <row r="112">
      <c r="A112" s="4" t="inlineStr">
        <is>
          <t>ev</t>
        </is>
      </c>
      <c r="B112" s="4" t="inlineStr">
        <is>
          <t>alex</t>
        </is>
      </c>
      <c r="C112" s="4" t="inlineStr">
        <is>
          <t>2024-05-24 23:31</t>
        </is>
      </c>
      <c r="D112" s="4" t="n">
        <v>9415.5</v>
      </c>
      <c r="E112" s="4" t="inlineStr">
        <is>
          <t>ev</t>
        </is>
      </c>
      <c r="F112" s="4" t="n">
        <v>18.335</v>
      </c>
      <c r="G112" s="4" t="n">
        <v>0.245</v>
      </c>
      <c r="H112" s="4" t="n">
        <v>4.49</v>
      </c>
      <c r="I112" s="4" t="inlineStr">
        <is>
          <t>no</t>
        </is>
      </c>
      <c r="J112" s="4" t="inlineStr">
        <is>
          <t>Home</t>
        </is>
      </c>
      <c r="K112" s="2">
        <f>IF(A112&lt;&gt;A111,"",IF(I111="no",D111,K111))</f>
        <v/>
      </c>
      <c r="L112" s="2">
        <f>IF(OR(A112&lt;&gt;A111,K112=""),"",IF(I111="no",F112,L111+F112))</f>
        <v/>
      </c>
      <c r="M112" s="2">
        <f>IF(AND(I112="no",K112&lt;&gt;""),D112-K112,"")</f>
        <v/>
      </c>
      <c r="N112" s="19">
        <f>IF(M112="","",L112/M112*100)</f>
        <v/>
      </c>
      <c r="O112" s="2">
        <f>A112&amp;"|"&amp;C112</f>
        <v/>
      </c>
    </row>
    <row r="113">
      <c r="A113" s="4" t="inlineStr">
        <is>
          <t>ev</t>
        </is>
      </c>
      <c r="B113" s="4" t="inlineStr">
        <is>
          <t>alex</t>
        </is>
      </c>
      <c r="C113" s="4" t="inlineStr">
        <is>
          <t>2024-05-25 23:42</t>
        </is>
      </c>
      <c r="D113" s="4" t="n">
        <v>9459.299999999999</v>
      </c>
      <c r="E113" s="4" t="inlineStr">
        <is>
          <t>ev</t>
        </is>
      </c>
      <c r="F113" s="4" t="n">
        <v>7.135</v>
      </c>
      <c r="G113" s="4" t="n">
        <v>0.245</v>
      </c>
      <c r="H113" s="4" t="n">
        <v>1.75</v>
      </c>
      <c r="I113" s="4" t="inlineStr">
        <is>
          <t>no</t>
        </is>
      </c>
      <c r="J113" s="4" t="inlineStr">
        <is>
          <t>Home</t>
        </is>
      </c>
      <c r="K113" s="2">
        <f>IF(A113&lt;&gt;A112,"",IF(I112="no",D112,K112))</f>
        <v/>
      </c>
      <c r="L113" s="2">
        <f>IF(OR(A113&lt;&gt;A112,K113=""),"",IF(I112="no",F113,L112+F113))</f>
        <v/>
      </c>
      <c r="M113" s="2">
        <f>IF(AND(I113="no",K113&lt;&gt;""),D113-K113,"")</f>
        <v/>
      </c>
      <c r="N113" s="19">
        <f>IF(M113="","",L113/M113*100)</f>
        <v/>
      </c>
      <c r="O113" s="2">
        <f>A113&amp;"|"&amp;C113</f>
        <v/>
      </c>
    </row>
    <row r="114">
      <c r="A114" s="4" t="inlineStr">
        <is>
          <t>ev</t>
        </is>
      </c>
      <c r="B114" s="4" t="inlineStr">
        <is>
          <t>alex</t>
        </is>
      </c>
      <c r="C114" s="4" t="inlineStr">
        <is>
          <t>2024-05-28 23:39</t>
        </is>
      </c>
      <c r="D114" s="4" t="n">
        <v>9559.6</v>
      </c>
      <c r="E114" s="4" t="inlineStr">
        <is>
          <t>ev</t>
        </is>
      </c>
      <c r="F114" s="4" t="n">
        <v>18.233</v>
      </c>
      <c r="G114" s="4" t="n">
        <v>0.245</v>
      </c>
      <c r="H114" s="4" t="n">
        <v>4.47</v>
      </c>
      <c r="I114" s="4" t="inlineStr">
        <is>
          <t>no</t>
        </is>
      </c>
      <c r="J114" s="4" t="inlineStr">
        <is>
          <t>Home</t>
        </is>
      </c>
      <c r="K114" s="2">
        <f>IF(A114&lt;&gt;A113,"",IF(I113="no",D113,K113))</f>
        <v/>
      </c>
      <c r="L114" s="2">
        <f>IF(OR(A114&lt;&gt;A113,K114=""),"",IF(I113="no",F114,L113+F114))</f>
        <v/>
      </c>
      <c r="M114" s="2">
        <f>IF(AND(I114="no",K114&lt;&gt;""),D114-K114,"")</f>
        <v/>
      </c>
      <c r="N114" s="19">
        <f>IF(M114="","",L114/M114*100)</f>
        <v/>
      </c>
      <c r="O114" s="2">
        <f>A114&amp;"|"&amp;C114</f>
        <v/>
      </c>
    </row>
    <row r="115">
      <c r="A115" s="4" t="inlineStr">
        <is>
          <t>ev</t>
        </is>
      </c>
      <c r="B115" s="4" t="inlineStr">
        <is>
          <t>alex</t>
        </is>
      </c>
      <c r="C115" s="4" t="inlineStr">
        <is>
          <t>2024-05-31 23:48</t>
        </is>
      </c>
      <c r="D115" s="4" t="n">
        <v>9664.700000000001</v>
      </c>
      <c r="E115" s="4" t="inlineStr">
        <is>
          <t>ev</t>
        </is>
      </c>
      <c r="F115" s="4" t="n">
        <v>18.469</v>
      </c>
      <c r="G115" s="4" t="n">
        <v>0.245</v>
      </c>
      <c r="H115" s="4" t="n">
        <v>4.52</v>
      </c>
      <c r="I115" s="4" t="inlineStr">
        <is>
          <t>no</t>
        </is>
      </c>
      <c r="J115" s="4" t="inlineStr">
        <is>
          <t>Home</t>
        </is>
      </c>
      <c r="K115" s="2">
        <f>IF(A115&lt;&gt;A114,"",IF(I114="no",D114,K114))</f>
        <v/>
      </c>
      <c r="L115" s="2">
        <f>IF(OR(A115&lt;&gt;A114,K115=""),"",IF(I114="no",F115,L114+F115))</f>
        <v/>
      </c>
      <c r="M115" s="2">
        <f>IF(AND(I115="no",K115&lt;&gt;""),D115-K115,"")</f>
        <v/>
      </c>
      <c r="N115" s="19">
        <f>IF(M115="","",L115/M115*100)</f>
        <v/>
      </c>
      <c r="O115" s="2">
        <f>A115&amp;"|"&amp;C115</f>
        <v/>
      </c>
    </row>
    <row r="116">
      <c r="A116" s="4" t="inlineStr">
        <is>
          <t>ev</t>
        </is>
      </c>
      <c r="B116" s="4" t="inlineStr">
        <is>
          <t>alex</t>
        </is>
      </c>
      <c r="C116" s="4" t="inlineStr">
        <is>
          <t>2024-06-02 23:48</t>
        </is>
      </c>
      <c r="D116" s="4" t="n">
        <v>9743.4</v>
      </c>
      <c r="E116" s="4" t="inlineStr">
        <is>
          <t>ev</t>
        </is>
      </c>
      <c r="F116" s="4" t="n">
        <v>13.952</v>
      </c>
      <c r="G116" s="4" t="n">
        <v>0.245</v>
      </c>
      <c r="H116" s="4" t="n">
        <v>3.42</v>
      </c>
      <c r="I116" s="4" t="inlineStr">
        <is>
          <t>no</t>
        </is>
      </c>
      <c r="J116" s="4" t="inlineStr">
        <is>
          <t>Home</t>
        </is>
      </c>
      <c r="K116" s="2">
        <f>IF(A116&lt;&gt;A115,"",IF(I115="no",D115,K115))</f>
        <v/>
      </c>
      <c r="L116" s="2">
        <f>IF(OR(A116&lt;&gt;A115,K116=""),"",IF(I115="no",F116,L115+F116))</f>
        <v/>
      </c>
      <c r="M116" s="2">
        <f>IF(AND(I116="no",K116&lt;&gt;""),D116-K116,"")</f>
        <v/>
      </c>
      <c r="N116" s="19">
        <f>IF(M116="","",L116/M116*100)</f>
        <v/>
      </c>
      <c r="O116" s="2">
        <f>A116&amp;"|"&amp;C116</f>
        <v/>
      </c>
    </row>
    <row r="117">
      <c r="A117" s="4" t="inlineStr">
        <is>
          <t>ev</t>
        </is>
      </c>
      <c r="B117" s="4" t="inlineStr">
        <is>
          <t>alex</t>
        </is>
      </c>
      <c r="C117" s="4" t="inlineStr">
        <is>
          <t>2024-06-03 23:52</t>
        </is>
      </c>
      <c r="D117" s="4" t="n">
        <v>9789.9</v>
      </c>
      <c r="E117" s="4" t="inlineStr">
        <is>
          <t>ev</t>
        </is>
      </c>
      <c r="F117" s="4" t="n">
        <v>8.458</v>
      </c>
      <c r="G117" s="4" t="n">
        <v>0.245</v>
      </c>
      <c r="H117" s="4" t="n">
        <v>2.07</v>
      </c>
      <c r="I117" s="4" t="inlineStr">
        <is>
          <t>no</t>
        </is>
      </c>
      <c r="J117" s="4" t="inlineStr">
        <is>
          <t>Home</t>
        </is>
      </c>
      <c r="K117" s="2">
        <f>IF(A117&lt;&gt;A116,"",IF(I116="no",D116,K116))</f>
        <v/>
      </c>
      <c r="L117" s="2">
        <f>IF(OR(A117&lt;&gt;A116,K117=""),"",IF(I116="no",F117,L116+F117))</f>
        <v/>
      </c>
      <c r="M117" s="2">
        <f>IF(AND(I117="no",K117&lt;&gt;""),D117-K117,"")</f>
        <v/>
      </c>
      <c r="N117" s="19">
        <f>IF(M117="","",L117/M117*100)</f>
        <v/>
      </c>
      <c r="O117" s="2">
        <f>A117&amp;"|"&amp;C117</f>
        <v/>
      </c>
    </row>
    <row r="118">
      <c r="A118" s="4" t="inlineStr">
        <is>
          <t>ev</t>
        </is>
      </c>
      <c r="B118" s="4" t="inlineStr">
        <is>
          <t>alex</t>
        </is>
      </c>
      <c r="C118" s="4" t="inlineStr">
        <is>
          <t>2024-06-07 23:52</t>
        </is>
      </c>
      <c r="D118" s="4" t="n">
        <v>9889</v>
      </c>
      <c r="E118" s="4" t="inlineStr">
        <is>
          <t>ev</t>
        </is>
      </c>
      <c r="F118" s="4" t="n">
        <v>17.619</v>
      </c>
      <c r="G118" s="4" t="n">
        <v>0.245</v>
      </c>
      <c r="H118" s="4" t="n">
        <v>4.32</v>
      </c>
      <c r="I118" s="4" t="inlineStr">
        <is>
          <t>no</t>
        </is>
      </c>
      <c r="J118" s="4" t="inlineStr">
        <is>
          <t>Home</t>
        </is>
      </c>
      <c r="K118" s="2">
        <f>IF(A118&lt;&gt;A117,"",IF(I117="no",D117,K117))</f>
        <v/>
      </c>
      <c r="L118" s="2">
        <f>IF(OR(A118&lt;&gt;A117,K118=""),"",IF(I117="no",F118,L117+F118))</f>
        <v/>
      </c>
      <c r="M118" s="2">
        <f>IF(AND(I118="no",K118&lt;&gt;""),D118-K118,"")</f>
        <v/>
      </c>
      <c r="N118" s="19">
        <f>IF(M118="","",L118/M118*100)</f>
        <v/>
      </c>
      <c r="O118" s="2">
        <f>A118&amp;"|"&amp;C118</f>
        <v/>
      </c>
    </row>
    <row r="119">
      <c r="A119" s="4" t="inlineStr">
        <is>
          <t>ev</t>
        </is>
      </c>
      <c r="B119" s="4" t="inlineStr">
        <is>
          <t>alex</t>
        </is>
      </c>
      <c r="C119" s="4" t="inlineStr">
        <is>
          <t>2024-06-10 09:39</t>
        </is>
      </c>
      <c r="D119" s="4" t="n">
        <v>9964.299999999999</v>
      </c>
      <c r="E119" s="4" t="inlineStr">
        <is>
          <t>ev</t>
        </is>
      </c>
      <c r="F119" s="4" t="n">
        <v>8.958</v>
      </c>
      <c r="G119" s="4" t="n">
        <v>0.52</v>
      </c>
      <c r="H119" s="4" t="n">
        <v>4.66</v>
      </c>
      <c r="I119" s="4" t="inlineStr">
        <is>
          <t>yes</t>
        </is>
      </c>
      <c r="J119" s="4" t="inlineStr">
        <is>
          <t>Leeds Council car park (AC)</t>
        </is>
      </c>
      <c r="K119" s="2">
        <f>IF(A119&lt;&gt;A118,"",IF(I118="no",D118,K118))</f>
        <v/>
      </c>
      <c r="L119" s="2">
        <f>IF(OR(A119&lt;&gt;A118,K119=""),"",IF(I118="no",F119,L118+F119))</f>
        <v/>
      </c>
      <c r="M119" s="2">
        <f>IF(AND(I119="no",K119&lt;&gt;""),D119-K119,"")</f>
        <v/>
      </c>
      <c r="N119" s="19">
        <f>IF(M119="","",L119/M119*100)</f>
        <v/>
      </c>
      <c r="O119" s="2">
        <f>A119&amp;"|"&amp;C119</f>
        <v/>
      </c>
    </row>
    <row r="120">
      <c r="A120" s="4" t="inlineStr">
        <is>
          <t>ev</t>
        </is>
      </c>
      <c r="B120" s="4" t="inlineStr">
        <is>
          <t>alex</t>
        </is>
      </c>
      <c r="C120" s="4" t="inlineStr">
        <is>
          <t>2024-06-11 23:46</t>
        </is>
      </c>
      <c r="D120" s="4" t="n">
        <v>10014.8</v>
      </c>
      <c r="E120" s="4" t="inlineStr">
        <is>
          <t>ev</t>
        </is>
      </c>
      <c r="F120" s="4" t="n">
        <v>12.199</v>
      </c>
      <c r="G120" s="4" t="n">
        <v>0.245</v>
      </c>
      <c r="H120" s="4" t="n">
        <v>2.99</v>
      </c>
      <c r="I120" s="4" t="inlineStr">
        <is>
          <t>no</t>
        </is>
      </c>
      <c r="J120" s="4" t="inlineStr">
        <is>
          <t>Home</t>
        </is>
      </c>
      <c r="K120" s="2">
        <f>IF(A120&lt;&gt;A119,"",IF(I119="no",D119,K119))</f>
        <v/>
      </c>
      <c r="L120" s="2">
        <f>IF(OR(A120&lt;&gt;A119,K120=""),"",IF(I119="no",F120,L119+F120))</f>
        <v/>
      </c>
      <c r="M120" s="2">
        <f>IF(AND(I120="no",K120&lt;&gt;""),D120-K120,"")</f>
        <v/>
      </c>
      <c r="N120" s="19">
        <f>IF(M120="","",L120/M120*100)</f>
        <v/>
      </c>
      <c r="O120" s="2">
        <f>A120&amp;"|"&amp;C120</f>
        <v/>
      </c>
    </row>
    <row r="121">
      <c r="A121" s="4" t="inlineStr">
        <is>
          <t>ev</t>
        </is>
      </c>
      <c r="B121" s="4" t="inlineStr">
        <is>
          <t>alex</t>
        </is>
      </c>
      <c r="C121" s="4" t="inlineStr">
        <is>
          <t>2024-06-14 23:46</t>
        </is>
      </c>
      <c r="D121" s="4" t="n">
        <v>10117.7</v>
      </c>
      <c r="E121" s="4" t="inlineStr">
        <is>
          <t>ev</t>
        </is>
      </c>
      <c r="F121" s="4" t="n">
        <v>18.754</v>
      </c>
      <c r="G121" s="4" t="n">
        <v>0.245</v>
      </c>
      <c r="H121" s="4" t="n">
        <v>4.59</v>
      </c>
      <c r="I121" s="4" t="inlineStr">
        <is>
          <t>no</t>
        </is>
      </c>
      <c r="J121" s="4" t="inlineStr">
        <is>
          <t>Home</t>
        </is>
      </c>
      <c r="K121" s="2">
        <f>IF(A121&lt;&gt;A120,"",IF(I120="no",D120,K120))</f>
        <v/>
      </c>
      <c r="L121" s="2">
        <f>IF(OR(A121&lt;&gt;A120,K121=""),"",IF(I120="no",F121,L120+F121))</f>
        <v/>
      </c>
      <c r="M121" s="2">
        <f>IF(AND(I121="no",K121&lt;&gt;""),D121-K121,"")</f>
        <v/>
      </c>
      <c r="N121" s="19">
        <f>IF(M121="","",L121/M121*100)</f>
        <v/>
      </c>
      <c r="O121" s="2">
        <f>A121&amp;"|"&amp;C121</f>
        <v/>
      </c>
    </row>
    <row r="122">
      <c r="A122" s="4" t="inlineStr">
        <is>
          <t>ev</t>
        </is>
      </c>
      <c r="B122" s="4" t="inlineStr">
        <is>
          <t>alex</t>
        </is>
      </c>
      <c r="C122" s="4" t="inlineStr">
        <is>
          <t>2024-06-15 23:56</t>
        </is>
      </c>
      <c r="D122" s="4" t="n">
        <v>10161.7</v>
      </c>
      <c r="E122" s="4" t="inlineStr">
        <is>
          <t>ev</t>
        </is>
      </c>
      <c r="F122" s="4" t="n">
        <v>7.483</v>
      </c>
      <c r="G122" s="4" t="n">
        <v>0.245</v>
      </c>
      <c r="H122" s="4" t="n">
        <v>1.83</v>
      </c>
      <c r="I122" s="4" t="inlineStr">
        <is>
          <t>no</t>
        </is>
      </c>
      <c r="J122" s="4" t="inlineStr">
        <is>
          <t>Home</t>
        </is>
      </c>
      <c r="K122" s="2">
        <f>IF(A122&lt;&gt;A121,"",IF(I121="no",D121,K121))</f>
        <v/>
      </c>
      <c r="L122" s="2">
        <f>IF(OR(A122&lt;&gt;A121,K122=""),"",IF(I121="no",F122,L121+F122))</f>
        <v/>
      </c>
      <c r="M122" s="2">
        <f>IF(AND(I122="no",K122&lt;&gt;""),D122-K122,"")</f>
        <v/>
      </c>
      <c r="N122" s="19">
        <f>IF(M122="","",L122/M122*100)</f>
        <v/>
      </c>
      <c r="O122" s="2">
        <f>A122&amp;"|"&amp;C122</f>
        <v/>
      </c>
    </row>
    <row r="123">
      <c r="A123" s="4" t="inlineStr">
        <is>
          <t>ev</t>
        </is>
      </c>
      <c r="B123" s="4" t="inlineStr">
        <is>
          <t>alex</t>
        </is>
      </c>
      <c r="C123" s="4" t="inlineStr">
        <is>
          <t>2024-06-18 23:58</t>
        </is>
      </c>
      <c r="D123" s="4" t="n">
        <v>10271.3</v>
      </c>
      <c r="E123" s="4" t="inlineStr">
        <is>
          <t>ev</t>
        </is>
      </c>
      <c r="F123" s="4" t="n">
        <v>18.873</v>
      </c>
      <c r="G123" s="4" t="n">
        <v>0.245</v>
      </c>
      <c r="H123" s="4" t="n">
        <v>4.62</v>
      </c>
      <c r="I123" s="4" t="inlineStr">
        <is>
          <t>no</t>
        </is>
      </c>
      <c r="J123" s="4" t="inlineStr">
        <is>
          <t>Home</t>
        </is>
      </c>
      <c r="K123" s="2">
        <f>IF(A123&lt;&gt;A122,"",IF(I122="no",D122,K122))</f>
        <v/>
      </c>
      <c r="L123" s="2">
        <f>IF(OR(A123&lt;&gt;A122,K123=""),"",IF(I122="no",F123,L122+F123))</f>
        <v/>
      </c>
      <c r="M123" s="2">
        <f>IF(AND(I123="no",K123&lt;&gt;""),D123-K123,"")</f>
        <v/>
      </c>
      <c r="N123" s="19">
        <f>IF(M123="","",L123/M123*100)</f>
        <v/>
      </c>
      <c r="O123" s="2">
        <f>A123&amp;"|"&amp;C123</f>
        <v/>
      </c>
    </row>
    <row r="124">
      <c r="A124" s="4" t="inlineStr">
        <is>
          <t>ev</t>
        </is>
      </c>
      <c r="B124" s="4" t="inlineStr">
        <is>
          <t>alex</t>
        </is>
      </c>
      <c r="C124" s="4" t="inlineStr">
        <is>
          <t>2024-06-22 23:33</t>
        </is>
      </c>
      <c r="D124" s="4" t="n">
        <v>10376</v>
      </c>
      <c r="E124" s="4" t="inlineStr">
        <is>
          <t>ev</t>
        </is>
      </c>
      <c r="F124" s="4" t="n">
        <v>18.051</v>
      </c>
      <c r="G124" s="4" t="n">
        <v>0.245</v>
      </c>
      <c r="H124" s="4" t="n">
        <v>4.42</v>
      </c>
      <c r="I124" s="4" t="inlineStr">
        <is>
          <t>no</t>
        </is>
      </c>
      <c r="J124" s="4" t="inlineStr">
        <is>
          <t>Home</t>
        </is>
      </c>
      <c r="K124" s="2">
        <f>IF(A124&lt;&gt;A123,"",IF(I123="no",D123,K123))</f>
        <v/>
      </c>
      <c r="L124" s="2">
        <f>IF(OR(A124&lt;&gt;A123,K124=""),"",IF(I123="no",F124,L123+F124))</f>
        <v/>
      </c>
      <c r="M124" s="2">
        <f>IF(AND(I124="no",K124&lt;&gt;""),D124-K124,"")</f>
        <v/>
      </c>
      <c r="N124" s="19">
        <f>IF(M124="","",L124/M124*100)</f>
        <v/>
      </c>
      <c r="O124" s="2">
        <f>A124&amp;"|"&amp;C124</f>
        <v/>
      </c>
    </row>
    <row r="125">
      <c r="A125" s="4" t="inlineStr">
        <is>
          <t>ev</t>
        </is>
      </c>
      <c r="B125" s="4" t="inlineStr">
        <is>
          <t>alex</t>
        </is>
      </c>
      <c r="C125" s="4" t="inlineStr">
        <is>
          <t>2024-06-26 23:35</t>
        </is>
      </c>
      <c r="D125" s="4" t="n">
        <v>10486.7</v>
      </c>
      <c r="E125" s="4" t="inlineStr">
        <is>
          <t>ev</t>
        </is>
      </c>
      <c r="F125" s="4" t="n">
        <v>19.792</v>
      </c>
      <c r="G125" s="4" t="n">
        <v>0.245</v>
      </c>
      <c r="H125" s="4" t="n">
        <v>4.85</v>
      </c>
      <c r="I125" s="4" t="inlineStr">
        <is>
          <t>no</t>
        </is>
      </c>
      <c r="J125" s="4" t="inlineStr">
        <is>
          <t>Home</t>
        </is>
      </c>
      <c r="K125" s="2">
        <f>IF(A125&lt;&gt;A124,"",IF(I124="no",D124,K124))</f>
        <v/>
      </c>
      <c r="L125" s="2">
        <f>IF(OR(A125&lt;&gt;A124,K125=""),"",IF(I124="no",F125,L124+F125))</f>
        <v/>
      </c>
      <c r="M125" s="2">
        <f>IF(AND(I125="no",K125&lt;&gt;""),D125-K125,"")</f>
        <v/>
      </c>
      <c r="N125" s="19">
        <f>IF(M125="","",L125/M125*100)</f>
        <v/>
      </c>
      <c r="O125" s="2">
        <f>A125&amp;"|"&amp;C125</f>
        <v/>
      </c>
    </row>
    <row r="126">
      <c r="A126" s="4" t="inlineStr">
        <is>
          <t>ev</t>
        </is>
      </c>
      <c r="B126" s="4" t="inlineStr">
        <is>
          <t>alex</t>
        </is>
      </c>
      <c r="C126" s="4" t="inlineStr">
        <is>
          <t>2024-06-30 23:41</t>
        </is>
      </c>
      <c r="D126" s="4" t="n">
        <v>10579</v>
      </c>
      <c r="E126" s="4" t="inlineStr">
        <is>
          <t>ev</t>
        </is>
      </c>
      <c r="F126" s="4" t="n">
        <v>16.169</v>
      </c>
      <c r="G126" s="4" t="n">
        <v>0.245</v>
      </c>
      <c r="H126" s="4" t="n">
        <v>3.96</v>
      </c>
      <c r="I126" s="4" t="inlineStr">
        <is>
          <t>no</t>
        </is>
      </c>
      <c r="J126" s="4" t="inlineStr">
        <is>
          <t>Home</t>
        </is>
      </c>
      <c r="K126" s="2">
        <f>IF(A126&lt;&gt;A125,"",IF(I125="no",D125,K125))</f>
        <v/>
      </c>
      <c r="L126" s="2">
        <f>IF(OR(A126&lt;&gt;A125,K126=""),"",IF(I125="no",F126,L125+F126))</f>
        <v/>
      </c>
      <c r="M126" s="2">
        <f>IF(AND(I126="no",K126&lt;&gt;""),D126-K126,"")</f>
        <v/>
      </c>
      <c r="N126" s="19">
        <f>IF(M126="","",L126/M126*100)</f>
        <v/>
      </c>
      <c r="O126" s="2">
        <f>A126&amp;"|"&amp;C126</f>
        <v/>
      </c>
    </row>
    <row r="127">
      <c r="A127" s="4" t="inlineStr">
        <is>
          <t>ev</t>
        </is>
      </c>
      <c r="B127" s="4" t="inlineStr">
        <is>
          <t>alex</t>
        </is>
      </c>
      <c r="C127" s="4" t="inlineStr">
        <is>
          <t>2024-07-02 23:49</t>
        </is>
      </c>
      <c r="D127" s="4" t="n">
        <v>10625.2</v>
      </c>
      <c r="E127" s="4" t="inlineStr">
        <is>
          <t>ev</t>
        </is>
      </c>
      <c r="F127" s="4" t="n">
        <v>8.324</v>
      </c>
      <c r="G127" s="4" t="n">
        <v>0.245</v>
      </c>
      <c r="H127" s="4" t="n">
        <v>2.04</v>
      </c>
      <c r="I127" s="4" t="inlineStr">
        <is>
          <t>no</t>
        </is>
      </c>
      <c r="J127" s="4" t="inlineStr">
        <is>
          <t>Home</t>
        </is>
      </c>
      <c r="K127" s="2">
        <f>IF(A127&lt;&gt;A126,"",IF(I126="no",D126,K126))</f>
        <v/>
      </c>
      <c r="L127" s="2">
        <f>IF(OR(A127&lt;&gt;A126,K127=""),"",IF(I126="no",F127,L126+F127))</f>
        <v/>
      </c>
      <c r="M127" s="2">
        <f>IF(AND(I127="no",K127&lt;&gt;""),D127-K127,"")</f>
        <v/>
      </c>
      <c r="N127" s="19">
        <f>IF(M127="","",L127/M127*100)</f>
        <v/>
      </c>
      <c r="O127" s="2">
        <f>A127&amp;"|"&amp;C127</f>
        <v/>
      </c>
    </row>
    <row r="128">
      <c r="A128" s="4" t="inlineStr">
        <is>
          <t>ev</t>
        </is>
      </c>
      <c r="B128" s="4" t="inlineStr">
        <is>
          <t>alex</t>
        </is>
      </c>
      <c r="C128" s="4" t="inlineStr">
        <is>
          <t>2024-07-07 23:46</t>
        </is>
      </c>
      <c r="D128" s="4" t="n">
        <v>10724.1</v>
      </c>
      <c r="E128" s="4" t="inlineStr">
        <is>
          <t>ev</t>
        </is>
      </c>
      <c r="F128" s="4" t="n">
        <v>17.646</v>
      </c>
      <c r="G128" s="4" t="n">
        <v>0.245</v>
      </c>
      <c r="H128" s="4" t="n">
        <v>4.32</v>
      </c>
      <c r="I128" s="4" t="inlineStr">
        <is>
          <t>no</t>
        </is>
      </c>
      <c r="J128" s="4" t="inlineStr">
        <is>
          <t>Home</t>
        </is>
      </c>
      <c r="K128" s="2">
        <f>IF(A128&lt;&gt;A127,"",IF(I127="no",D127,K127))</f>
        <v/>
      </c>
      <c r="L128" s="2">
        <f>IF(OR(A128&lt;&gt;A127,K128=""),"",IF(I127="no",F128,L127+F128))</f>
        <v/>
      </c>
      <c r="M128" s="2">
        <f>IF(AND(I128="no",K128&lt;&gt;""),D128-K128,"")</f>
        <v/>
      </c>
      <c r="N128" s="19">
        <f>IF(M128="","",L128/M128*100)</f>
        <v/>
      </c>
      <c r="O128" s="2">
        <f>A128&amp;"|"&amp;C128</f>
        <v/>
      </c>
    </row>
    <row r="129">
      <c r="A129" s="4" t="inlineStr">
        <is>
          <t>ev</t>
        </is>
      </c>
      <c r="B129" s="4" t="inlineStr">
        <is>
          <t>alex</t>
        </is>
      </c>
      <c r="C129" s="4" t="inlineStr">
        <is>
          <t>2024-07-09 23:48</t>
        </is>
      </c>
      <c r="D129" s="4" t="n">
        <v>10780.3</v>
      </c>
      <c r="E129" s="4" t="inlineStr">
        <is>
          <t>ev</t>
        </is>
      </c>
      <c r="F129" s="4" t="n">
        <v>9.904999999999999</v>
      </c>
      <c r="G129" s="4" t="n">
        <v>0.245</v>
      </c>
      <c r="H129" s="4" t="n">
        <v>2.43</v>
      </c>
      <c r="I129" s="4" t="inlineStr">
        <is>
          <t>no</t>
        </is>
      </c>
      <c r="J129" s="4" t="inlineStr">
        <is>
          <t>Home</t>
        </is>
      </c>
      <c r="K129" s="2">
        <f>IF(A129&lt;&gt;A128,"",IF(I128="no",D128,K128))</f>
        <v/>
      </c>
      <c r="L129" s="2">
        <f>IF(OR(A129&lt;&gt;A128,K129=""),"",IF(I128="no",F129,L128+F129))</f>
        <v/>
      </c>
      <c r="M129" s="2">
        <f>IF(AND(I129="no",K129&lt;&gt;""),D129-K129,"")</f>
        <v/>
      </c>
      <c r="N129" s="19">
        <f>IF(M129="","",L129/M129*100)</f>
        <v/>
      </c>
      <c r="O129" s="2">
        <f>A129&amp;"|"&amp;C129</f>
        <v/>
      </c>
    </row>
    <row r="130">
      <c r="A130" s="4" t="inlineStr">
        <is>
          <t>ev</t>
        </is>
      </c>
      <c r="B130" s="4" t="inlineStr">
        <is>
          <t>alex</t>
        </is>
      </c>
      <c r="C130" s="4" t="inlineStr">
        <is>
          <t>2024-07-13 23:36</t>
        </is>
      </c>
      <c r="D130" s="4" t="n">
        <v>10880.3</v>
      </c>
      <c r="E130" s="4" t="inlineStr">
        <is>
          <t>ev</t>
        </is>
      </c>
      <c r="F130" s="4" t="n">
        <v>18.276</v>
      </c>
      <c r="G130" s="4" t="n">
        <v>0.245</v>
      </c>
      <c r="H130" s="4" t="n">
        <v>4.48</v>
      </c>
      <c r="I130" s="4" t="inlineStr">
        <is>
          <t>no</t>
        </is>
      </c>
      <c r="J130" s="4" t="inlineStr">
        <is>
          <t>Home</t>
        </is>
      </c>
      <c r="K130" s="2">
        <f>IF(A130&lt;&gt;A129,"",IF(I129="no",D129,K129))</f>
        <v/>
      </c>
      <c r="L130" s="2">
        <f>IF(OR(A130&lt;&gt;A129,K130=""),"",IF(I129="no",F130,L129+F130))</f>
        <v/>
      </c>
      <c r="M130" s="2">
        <f>IF(AND(I130="no",K130&lt;&gt;""),D130-K130,"")</f>
        <v/>
      </c>
      <c r="N130" s="19">
        <f>IF(M130="","",L130/M130*100)</f>
        <v/>
      </c>
      <c r="O130" s="2">
        <f>A130&amp;"|"&amp;C130</f>
        <v/>
      </c>
    </row>
    <row r="131">
      <c r="A131" s="4" t="inlineStr">
        <is>
          <t>ev</t>
        </is>
      </c>
      <c r="B131" s="4" t="inlineStr">
        <is>
          <t>alex</t>
        </is>
      </c>
      <c r="C131" s="4" t="inlineStr">
        <is>
          <t>2024-07-15 23:51</t>
        </is>
      </c>
      <c r="D131" s="4" t="n">
        <v>10945.9</v>
      </c>
      <c r="E131" s="4" t="inlineStr">
        <is>
          <t>ev</t>
        </is>
      </c>
      <c r="F131" s="4" t="n">
        <v>11.281</v>
      </c>
      <c r="G131" s="4" t="n">
        <v>0.245</v>
      </c>
      <c r="H131" s="4" t="n">
        <v>2.76</v>
      </c>
      <c r="I131" s="4" t="inlineStr">
        <is>
          <t>no</t>
        </is>
      </c>
      <c r="J131" s="4" t="inlineStr">
        <is>
          <t>Home</t>
        </is>
      </c>
      <c r="K131" s="2">
        <f>IF(A131&lt;&gt;A130,"",IF(I130="no",D130,K130))</f>
        <v/>
      </c>
      <c r="L131" s="2">
        <f>IF(OR(A131&lt;&gt;A130,K131=""),"",IF(I130="no",F131,L130+F131))</f>
        <v/>
      </c>
      <c r="M131" s="2">
        <f>IF(AND(I131="no",K131&lt;&gt;""),D131-K131,"")</f>
        <v/>
      </c>
      <c r="N131" s="19">
        <f>IF(M131="","",L131/M131*100)</f>
        <v/>
      </c>
      <c r="O131" s="2">
        <f>A131&amp;"|"&amp;C131</f>
        <v/>
      </c>
    </row>
    <row r="132">
      <c r="A132" s="4" t="inlineStr">
        <is>
          <t>ev</t>
        </is>
      </c>
      <c r="B132" s="4" t="inlineStr">
        <is>
          <t>alex</t>
        </is>
      </c>
      <c r="C132" s="4" t="inlineStr">
        <is>
          <t>2024-07-16 23:36</t>
        </is>
      </c>
      <c r="D132" s="4" t="n">
        <v>10992.1</v>
      </c>
      <c r="E132" s="4" t="inlineStr">
        <is>
          <t>ev</t>
        </is>
      </c>
      <c r="F132" s="4" t="n">
        <v>8.513</v>
      </c>
      <c r="G132" s="4" t="n">
        <v>0.245</v>
      </c>
      <c r="H132" s="4" t="n">
        <v>2.09</v>
      </c>
      <c r="I132" s="4" t="inlineStr">
        <is>
          <t>no</t>
        </is>
      </c>
      <c r="J132" s="4" t="inlineStr">
        <is>
          <t>Home</t>
        </is>
      </c>
      <c r="K132" s="2">
        <f>IF(A132&lt;&gt;A131,"",IF(I131="no",D131,K131))</f>
        <v/>
      </c>
      <c r="L132" s="2">
        <f>IF(OR(A132&lt;&gt;A131,K132=""),"",IF(I131="no",F132,L131+F132))</f>
        <v/>
      </c>
      <c r="M132" s="2">
        <f>IF(AND(I132="no",K132&lt;&gt;""),D132-K132,"")</f>
        <v/>
      </c>
      <c r="N132" s="19">
        <f>IF(M132="","",L132/M132*100)</f>
        <v/>
      </c>
      <c r="O132" s="2">
        <f>A132&amp;"|"&amp;C132</f>
        <v/>
      </c>
    </row>
    <row r="133">
      <c r="A133" s="4" t="inlineStr">
        <is>
          <t>ev</t>
        </is>
      </c>
      <c r="B133" s="4" t="inlineStr">
        <is>
          <t>alex</t>
        </is>
      </c>
      <c r="C133" s="4" t="inlineStr">
        <is>
          <t>2024-07-18 14:24</t>
        </is>
      </c>
      <c r="D133" s="4" t="n">
        <v>11029.4</v>
      </c>
      <c r="E133" s="4" t="inlineStr">
        <is>
          <t>ev</t>
        </is>
      </c>
      <c r="F133" s="4" t="n">
        <v>8.929</v>
      </c>
      <c r="G133" s="4" t="n">
        <v>0.52</v>
      </c>
      <c r="H133" s="4" t="n">
        <v>4.64</v>
      </c>
      <c r="I133" s="4" t="inlineStr">
        <is>
          <t>yes</t>
        </is>
      </c>
      <c r="J133" s="4" t="inlineStr">
        <is>
          <t>Leeds Council car park (AC)</t>
        </is>
      </c>
      <c r="K133" s="2">
        <f>IF(A133&lt;&gt;A132,"",IF(I132="no",D132,K132))</f>
        <v/>
      </c>
      <c r="L133" s="2">
        <f>IF(OR(A133&lt;&gt;A132,K133=""),"",IF(I132="no",F133,L132+F133))</f>
        <v/>
      </c>
      <c r="M133" s="2">
        <f>IF(AND(I133="no",K133&lt;&gt;""),D133-K133,"")</f>
        <v/>
      </c>
      <c r="N133" s="19">
        <f>IF(M133="","",L133/M133*100)</f>
        <v/>
      </c>
      <c r="O133" s="2">
        <f>A133&amp;"|"&amp;C133</f>
        <v/>
      </c>
    </row>
    <row r="134">
      <c r="A134" s="4" t="inlineStr">
        <is>
          <t>ev</t>
        </is>
      </c>
      <c r="B134" s="4" t="inlineStr">
        <is>
          <t>alex</t>
        </is>
      </c>
      <c r="C134" s="4" t="inlineStr">
        <is>
          <t>2024-07-20 23:30</t>
        </is>
      </c>
      <c r="D134" s="4" t="n">
        <v>11095.9</v>
      </c>
      <c r="E134" s="4" t="inlineStr">
        <is>
          <t>ev</t>
        </is>
      </c>
      <c r="F134" s="4" t="n">
        <v>10.092</v>
      </c>
      <c r="G134" s="4" t="n">
        <v>0.245</v>
      </c>
      <c r="H134" s="4" t="n">
        <v>2.47</v>
      </c>
      <c r="I134" s="4" t="inlineStr">
        <is>
          <t>no</t>
        </is>
      </c>
      <c r="J134" s="4" t="inlineStr">
        <is>
          <t>Home</t>
        </is>
      </c>
      <c r="K134" s="2">
        <f>IF(A134&lt;&gt;A133,"",IF(I133="no",D133,K133))</f>
        <v/>
      </c>
      <c r="L134" s="2">
        <f>IF(OR(A134&lt;&gt;A133,K134=""),"",IF(I133="no",F134,L133+F134))</f>
        <v/>
      </c>
      <c r="M134" s="2">
        <f>IF(AND(I134="no",K134&lt;&gt;""),D134-K134,"")</f>
        <v/>
      </c>
      <c r="N134" s="19">
        <f>IF(M134="","",L134/M134*100)</f>
        <v/>
      </c>
      <c r="O134" s="2">
        <f>A134&amp;"|"&amp;C134</f>
        <v/>
      </c>
    </row>
    <row r="135">
      <c r="A135" s="4" t="inlineStr">
        <is>
          <t>ev</t>
        </is>
      </c>
      <c r="B135" s="4" t="inlineStr">
        <is>
          <t>alex</t>
        </is>
      </c>
      <c r="C135" s="4" t="inlineStr">
        <is>
          <t>2024-07-24 23:32</t>
        </is>
      </c>
      <c r="D135" s="4" t="n">
        <v>11208.4</v>
      </c>
      <c r="E135" s="4" t="inlineStr">
        <is>
          <t>ev</t>
        </is>
      </c>
      <c r="F135" s="4" t="n">
        <v>20.593</v>
      </c>
      <c r="G135" s="4" t="n">
        <v>0.245</v>
      </c>
      <c r="H135" s="4" t="n">
        <v>5.05</v>
      </c>
      <c r="I135" s="4" t="inlineStr">
        <is>
          <t>no</t>
        </is>
      </c>
      <c r="J135" s="4" t="inlineStr">
        <is>
          <t>Home</t>
        </is>
      </c>
      <c r="K135" s="2">
        <f>IF(A135&lt;&gt;A134,"",IF(I134="no",D134,K134))</f>
        <v/>
      </c>
      <c r="L135" s="2">
        <f>IF(OR(A135&lt;&gt;A134,K135=""),"",IF(I134="no",F135,L134+F135))</f>
        <v/>
      </c>
      <c r="M135" s="2">
        <f>IF(AND(I135="no",K135&lt;&gt;""),D135-K135,"")</f>
        <v/>
      </c>
      <c r="N135" s="19">
        <f>IF(M135="","",L135/M135*100)</f>
        <v/>
      </c>
      <c r="O135" s="2">
        <f>A135&amp;"|"&amp;C135</f>
        <v/>
      </c>
    </row>
    <row r="136">
      <c r="A136" s="4" t="inlineStr">
        <is>
          <t>ev</t>
        </is>
      </c>
      <c r="B136" s="4" t="inlineStr">
        <is>
          <t>alex</t>
        </is>
      </c>
      <c r="C136" s="4" t="inlineStr">
        <is>
          <t>2024-07-27 23:40</t>
        </is>
      </c>
      <c r="D136" s="4" t="n">
        <v>11327.2</v>
      </c>
      <c r="E136" s="4" t="inlineStr">
        <is>
          <t>ev</t>
        </is>
      </c>
      <c r="F136" s="4" t="n">
        <v>20.123</v>
      </c>
      <c r="G136" s="4" t="n">
        <v>0.245</v>
      </c>
      <c r="H136" s="4" t="n">
        <v>4.93</v>
      </c>
      <c r="I136" s="4" t="inlineStr">
        <is>
          <t>no</t>
        </is>
      </c>
      <c r="J136" s="4" t="inlineStr">
        <is>
          <t>Home</t>
        </is>
      </c>
      <c r="K136" s="2">
        <f>IF(A136&lt;&gt;A135,"",IF(I135="no",D135,K135))</f>
        <v/>
      </c>
      <c r="L136" s="2">
        <f>IF(OR(A136&lt;&gt;A135,K136=""),"",IF(I135="no",F136,L135+F136))</f>
        <v/>
      </c>
      <c r="M136" s="2">
        <f>IF(AND(I136="no",K136&lt;&gt;""),D136-K136,"")</f>
        <v/>
      </c>
      <c r="N136" s="19">
        <f>IF(M136="","",L136/M136*100)</f>
        <v/>
      </c>
      <c r="O136" s="2">
        <f>A136&amp;"|"&amp;C136</f>
        <v/>
      </c>
    </row>
    <row r="137">
      <c r="A137" s="4" t="inlineStr">
        <is>
          <t>ev</t>
        </is>
      </c>
      <c r="B137" s="4" t="inlineStr">
        <is>
          <t>alex</t>
        </is>
      </c>
      <c r="C137" s="4" t="inlineStr">
        <is>
          <t>2024-07-30 23:48</t>
        </is>
      </c>
      <c r="D137" s="4" t="n">
        <v>11430.9</v>
      </c>
      <c r="E137" s="4" t="inlineStr">
        <is>
          <t>ev</t>
        </is>
      </c>
      <c r="F137" s="4" t="n">
        <v>17.753</v>
      </c>
      <c r="G137" s="4" t="n">
        <v>0.245</v>
      </c>
      <c r="H137" s="4" t="n">
        <v>4.35</v>
      </c>
      <c r="I137" s="4" t="inlineStr">
        <is>
          <t>no</t>
        </is>
      </c>
      <c r="J137" s="4" t="inlineStr">
        <is>
          <t>Home</t>
        </is>
      </c>
      <c r="K137" s="2">
        <f>IF(A137&lt;&gt;A136,"",IF(I136="no",D136,K136))</f>
        <v/>
      </c>
      <c r="L137" s="2">
        <f>IF(OR(A137&lt;&gt;A136,K137=""),"",IF(I136="no",F137,L136+F137))</f>
        <v/>
      </c>
      <c r="M137" s="2">
        <f>IF(AND(I137="no",K137&lt;&gt;""),D137-K137,"")</f>
        <v/>
      </c>
      <c r="N137" s="19">
        <f>IF(M137="","",L137/M137*100)</f>
        <v/>
      </c>
      <c r="O137" s="2">
        <f>A137&amp;"|"&amp;C137</f>
        <v/>
      </c>
    </row>
    <row r="138">
      <c r="A138" s="4" t="inlineStr">
        <is>
          <t>ev</t>
        </is>
      </c>
      <c r="B138" s="4" t="inlineStr">
        <is>
          <t>alex</t>
        </is>
      </c>
      <c r="C138" s="4" t="inlineStr">
        <is>
          <t>2024-08-01 23:42</t>
        </is>
      </c>
      <c r="D138" s="4" t="n">
        <v>11517.9</v>
      </c>
      <c r="E138" s="4" t="inlineStr">
        <is>
          <t>ev</t>
        </is>
      </c>
      <c r="F138" s="4" t="n">
        <v>16.524</v>
      </c>
      <c r="G138" s="4" t="n">
        <v>0.245</v>
      </c>
      <c r="H138" s="4" t="n">
        <v>4.05</v>
      </c>
      <c r="I138" s="4" t="inlineStr">
        <is>
          <t>no</t>
        </is>
      </c>
      <c r="J138" s="4" t="inlineStr">
        <is>
          <t>Home</t>
        </is>
      </c>
      <c r="K138" s="2">
        <f>IF(A138&lt;&gt;A137,"",IF(I137="no",D137,K137))</f>
        <v/>
      </c>
      <c r="L138" s="2">
        <f>IF(OR(A138&lt;&gt;A137,K138=""),"",IF(I137="no",F138,L137+F138))</f>
        <v/>
      </c>
      <c r="M138" s="2">
        <f>IF(AND(I138="no",K138&lt;&gt;""),D138-K138,"")</f>
        <v/>
      </c>
      <c r="N138" s="19">
        <f>IF(M138="","",L138/M138*100)</f>
        <v/>
      </c>
      <c r="O138" s="2">
        <f>A138&amp;"|"&amp;C138</f>
        <v/>
      </c>
    </row>
    <row r="139">
      <c r="A139" s="4" t="inlineStr">
        <is>
          <t>ev</t>
        </is>
      </c>
      <c r="B139" s="4" t="inlineStr">
        <is>
          <t>alex</t>
        </is>
      </c>
      <c r="C139" s="4" t="inlineStr">
        <is>
          <t>2024-08-04 10:12</t>
        </is>
      </c>
      <c r="D139" s="4" t="n">
        <v>11587.4</v>
      </c>
      <c r="E139" s="4" t="inlineStr">
        <is>
          <t>ev</t>
        </is>
      </c>
      <c r="F139" s="4" t="n">
        <v>7.869</v>
      </c>
      <c r="G139" s="4" t="n">
        <v>0.52</v>
      </c>
      <c r="H139" s="4" t="n">
        <v>4.09</v>
      </c>
      <c r="I139" s="4" t="inlineStr">
        <is>
          <t>yes</t>
        </is>
      </c>
      <c r="J139" s="4" t="inlineStr">
        <is>
          <t>Leeds Council car park (AC)</t>
        </is>
      </c>
      <c r="K139" s="2">
        <f>IF(A139&lt;&gt;A138,"",IF(I138="no",D138,K138))</f>
        <v/>
      </c>
      <c r="L139" s="2">
        <f>IF(OR(A139&lt;&gt;A138,K139=""),"",IF(I138="no",F139,L138+F139))</f>
        <v/>
      </c>
      <c r="M139" s="2">
        <f>IF(AND(I139="no",K139&lt;&gt;""),D139-K139,"")</f>
        <v/>
      </c>
      <c r="N139" s="19">
        <f>IF(M139="","",L139/M139*100)</f>
        <v/>
      </c>
      <c r="O139" s="2">
        <f>A139&amp;"|"&amp;C139</f>
        <v/>
      </c>
    </row>
    <row r="140">
      <c r="A140" s="4" t="inlineStr">
        <is>
          <t>ev</t>
        </is>
      </c>
      <c r="B140" s="4" t="inlineStr">
        <is>
          <t>alex</t>
        </is>
      </c>
      <c r="C140" s="4" t="inlineStr">
        <is>
          <t>2024-08-05 23:39</t>
        </is>
      </c>
      <c r="D140" s="4" t="n">
        <v>11626.6</v>
      </c>
      <c r="E140" s="4" t="inlineStr">
        <is>
          <t>ev</t>
        </is>
      </c>
      <c r="F140" s="4" t="n">
        <v>11.465</v>
      </c>
      <c r="G140" s="4" t="n">
        <v>0.245</v>
      </c>
      <c r="H140" s="4" t="n">
        <v>2.81</v>
      </c>
      <c r="I140" s="4" t="inlineStr">
        <is>
          <t>no</t>
        </is>
      </c>
      <c r="J140" s="4" t="inlineStr">
        <is>
          <t>Home</t>
        </is>
      </c>
      <c r="K140" s="2">
        <f>IF(A140&lt;&gt;A139,"",IF(I139="no",D139,K139))</f>
        <v/>
      </c>
      <c r="L140" s="2">
        <f>IF(OR(A140&lt;&gt;A139,K140=""),"",IF(I139="no",F140,L139+F140))</f>
        <v/>
      </c>
      <c r="M140" s="2">
        <f>IF(AND(I140="no",K140&lt;&gt;""),D140-K140,"")</f>
        <v/>
      </c>
      <c r="N140" s="19">
        <f>IF(M140="","",L140/M140*100)</f>
        <v/>
      </c>
      <c r="O140" s="2">
        <f>A140&amp;"|"&amp;C140</f>
        <v/>
      </c>
    </row>
    <row r="141">
      <c r="A141" s="4" t="inlineStr">
        <is>
          <t>ev</t>
        </is>
      </c>
      <c r="B141" s="4" t="inlineStr">
        <is>
          <t>alex</t>
        </is>
      </c>
      <c r="C141" s="4" t="inlineStr">
        <is>
          <t>2024-08-08 23:50</t>
        </is>
      </c>
      <c r="D141" s="4" t="n">
        <v>11738.6</v>
      </c>
      <c r="E141" s="4" t="inlineStr">
        <is>
          <t>ev</t>
        </is>
      </c>
      <c r="F141" s="4" t="n">
        <v>20.218</v>
      </c>
      <c r="G141" s="4" t="n">
        <v>0.245</v>
      </c>
      <c r="H141" s="4" t="n">
        <v>4.95</v>
      </c>
      <c r="I141" s="4" t="inlineStr">
        <is>
          <t>no</t>
        </is>
      </c>
      <c r="J141" s="4" t="inlineStr">
        <is>
          <t>Home</t>
        </is>
      </c>
      <c r="K141" s="2">
        <f>IF(A141&lt;&gt;A140,"",IF(I140="no",D140,K140))</f>
        <v/>
      </c>
      <c r="L141" s="2">
        <f>IF(OR(A141&lt;&gt;A140,K141=""),"",IF(I140="no",F141,L140+F141))</f>
        <v/>
      </c>
      <c r="M141" s="2">
        <f>IF(AND(I141="no",K141&lt;&gt;""),D141-K141,"")</f>
        <v/>
      </c>
      <c r="N141" s="19">
        <f>IF(M141="","",L141/M141*100)</f>
        <v/>
      </c>
      <c r="O141" s="2">
        <f>A141&amp;"|"&amp;C141</f>
        <v/>
      </c>
    </row>
    <row r="142">
      <c r="A142" s="4" t="inlineStr">
        <is>
          <t>ev</t>
        </is>
      </c>
      <c r="B142" s="4" t="inlineStr">
        <is>
          <t>alex</t>
        </is>
      </c>
      <c r="C142" s="4" t="inlineStr">
        <is>
          <t>2024-08-10 23:55</t>
        </is>
      </c>
      <c r="D142" s="4" t="n">
        <v>11828.8</v>
      </c>
      <c r="E142" s="4" t="inlineStr">
        <is>
          <t>ev</t>
        </is>
      </c>
      <c r="F142" s="4" t="n">
        <v>16.074</v>
      </c>
      <c r="G142" s="4" t="n">
        <v>0.245</v>
      </c>
      <c r="H142" s="4" t="n">
        <v>3.94</v>
      </c>
      <c r="I142" s="4" t="inlineStr">
        <is>
          <t>no</t>
        </is>
      </c>
      <c r="J142" s="4" t="inlineStr">
        <is>
          <t>Home</t>
        </is>
      </c>
      <c r="K142" s="2">
        <f>IF(A142&lt;&gt;A141,"",IF(I141="no",D141,K141))</f>
        <v/>
      </c>
      <c r="L142" s="2">
        <f>IF(OR(A142&lt;&gt;A141,K142=""),"",IF(I141="no",F142,L141+F142))</f>
        <v/>
      </c>
      <c r="M142" s="2">
        <f>IF(AND(I142="no",K142&lt;&gt;""),D142-K142,"")</f>
        <v/>
      </c>
      <c r="N142" s="19">
        <f>IF(M142="","",L142/M142*100)</f>
        <v/>
      </c>
      <c r="O142" s="2">
        <f>A142&amp;"|"&amp;C142</f>
        <v/>
      </c>
    </row>
    <row r="143">
      <c r="A143" s="4" t="inlineStr">
        <is>
          <t>ev</t>
        </is>
      </c>
      <c r="B143" s="4" t="inlineStr">
        <is>
          <t>alex</t>
        </is>
      </c>
      <c r="C143" s="4" t="inlineStr">
        <is>
          <t>2024-08-13 16:46</t>
        </is>
      </c>
      <c r="D143" s="4" t="n">
        <v>11891.9</v>
      </c>
      <c r="E143" s="4" t="inlineStr">
        <is>
          <t>ev</t>
        </is>
      </c>
      <c r="F143" s="4" t="n">
        <v>6.39</v>
      </c>
      <c r="G143" s="4" t="n">
        <v>0.52</v>
      </c>
      <c r="H143" s="4" t="n">
        <v>3.32</v>
      </c>
      <c r="I143" s="4" t="inlineStr">
        <is>
          <t>yes</t>
        </is>
      </c>
      <c r="J143" s="4" t="inlineStr">
        <is>
          <t>Leeds Council car park (AC)</t>
        </is>
      </c>
      <c r="K143" s="2">
        <f>IF(A143&lt;&gt;A142,"",IF(I142="no",D142,K142))</f>
        <v/>
      </c>
      <c r="L143" s="2">
        <f>IF(OR(A143&lt;&gt;A142,K143=""),"",IF(I142="no",F143,L142+F143))</f>
        <v/>
      </c>
      <c r="M143" s="2">
        <f>IF(AND(I143="no",K143&lt;&gt;""),D143-K143,"")</f>
        <v/>
      </c>
      <c r="N143" s="19">
        <f>IF(M143="","",L143/M143*100)</f>
        <v/>
      </c>
      <c r="O143" s="2">
        <f>A143&amp;"|"&amp;C143</f>
        <v/>
      </c>
    </row>
    <row r="144">
      <c r="A144" s="4" t="inlineStr">
        <is>
          <t>ev</t>
        </is>
      </c>
      <c r="B144" s="4" t="inlineStr">
        <is>
          <t>alex</t>
        </is>
      </c>
      <c r="C144" s="4" t="inlineStr">
        <is>
          <t>2024-08-14 23:55</t>
        </is>
      </c>
      <c r="D144" s="4" t="n">
        <v>11923.4</v>
      </c>
      <c r="E144" s="4" t="inlineStr">
        <is>
          <t>ev</t>
        </is>
      </c>
      <c r="F144" s="4" t="n">
        <v>9.669</v>
      </c>
      <c r="G144" s="4" t="n">
        <v>0.245</v>
      </c>
      <c r="H144" s="4" t="n">
        <v>2.37</v>
      </c>
      <c r="I144" s="4" t="inlineStr">
        <is>
          <t>no</t>
        </is>
      </c>
      <c r="J144" s="4" t="inlineStr">
        <is>
          <t>Home</t>
        </is>
      </c>
      <c r="K144" s="2">
        <f>IF(A144&lt;&gt;A143,"",IF(I143="no",D143,K143))</f>
        <v/>
      </c>
      <c r="L144" s="2">
        <f>IF(OR(A144&lt;&gt;A143,K144=""),"",IF(I143="no",F144,L143+F144))</f>
        <v/>
      </c>
      <c r="M144" s="2">
        <f>IF(AND(I144="no",K144&lt;&gt;""),D144-K144,"")</f>
        <v/>
      </c>
      <c r="N144" s="19">
        <f>IF(M144="","",L144/M144*100)</f>
        <v/>
      </c>
      <c r="O144" s="2">
        <f>A144&amp;"|"&amp;C144</f>
        <v/>
      </c>
    </row>
    <row r="145">
      <c r="A145" s="4" t="inlineStr">
        <is>
          <t>ev</t>
        </is>
      </c>
      <c r="B145" s="4" t="inlineStr">
        <is>
          <t>alex</t>
        </is>
      </c>
      <c r="C145" s="4" t="inlineStr">
        <is>
          <t>2024-08-17 23:56</t>
        </is>
      </c>
      <c r="D145" s="4" t="n">
        <v>12032.2</v>
      </c>
      <c r="E145" s="4" t="inlineStr">
        <is>
          <t>ev</t>
        </is>
      </c>
      <c r="F145" s="4" t="n">
        <v>19.056</v>
      </c>
      <c r="G145" s="4" t="n">
        <v>0.245</v>
      </c>
      <c r="H145" s="4" t="n">
        <v>4.67</v>
      </c>
      <c r="I145" s="4" t="inlineStr">
        <is>
          <t>no</t>
        </is>
      </c>
      <c r="J145" s="4" t="inlineStr">
        <is>
          <t>Home</t>
        </is>
      </c>
      <c r="K145" s="2">
        <f>IF(A145&lt;&gt;A144,"",IF(I144="no",D144,K144))</f>
        <v/>
      </c>
      <c r="L145" s="2">
        <f>IF(OR(A145&lt;&gt;A144,K145=""),"",IF(I144="no",F145,L144+F145))</f>
        <v/>
      </c>
      <c r="M145" s="2">
        <f>IF(AND(I145="no",K145&lt;&gt;""),D145-K145,"")</f>
        <v/>
      </c>
      <c r="N145" s="19">
        <f>IF(M145="","",L145/M145*100)</f>
        <v/>
      </c>
      <c r="O145" s="2">
        <f>A145&amp;"|"&amp;C145</f>
        <v/>
      </c>
    </row>
    <row r="146">
      <c r="A146" s="4" t="inlineStr">
        <is>
          <t>ev</t>
        </is>
      </c>
      <c r="B146" s="4" t="inlineStr">
        <is>
          <t>alex</t>
        </is>
      </c>
      <c r="C146" s="4" t="inlineStr">
        <is>
          <t>2024-08-20 23:43</t>
        </is>
      </c>
      <c r="D146" s="4" t="n">
        <v>12102</v>
      </c>
      <c r="E146" s="4" t="inlineStr">
        <is>
          <t>ev</t>
        </is>
      </c>
      <c r="F146" s="4" t="n">
        <v>12.226</v>
      </c>
      <c r="G146" s="4" t="n">
        <v>0.245</v>
      </c>
      <c r="H146" s="4" t="n">
        <v>3</v>
      </c>
      <c r="I146" s="4" t="inlineStr">
        <is>
          <t>no</t>
        </is>
      </c>
      <c r="J146" s="4" t="inlineStr">
        <is>
          <t>Home</t>
        </is>
      </c>
      <c r="K146" s="2">
        <f>IF(A146&lt;&gt;A145,"",IF(I145="no",D145,K145))</f>
        <v/>
      </c>
      <c r="L146" s="2">
        <f>IF(OR(A146&lt;&gt;A145,K146=""),"",IF(I145="no",F146,L145+F146))</f>
        <v/>
      </c>
      <c r="M146" s="2">
        <f>IF(AND(I146="no",K146&lt;&gt;""),D146-K146,"")</f>
        <v/>
      </c>
      <c r="N146" s="19">
        <f>IF(M146="","",L146/M146*100)</f>
        <v/>
      </c>
      <c r="O146" s="2">
        <f>A146&amp;"|"&amp;C146</f>
        <v/>
      </c>
    </row>
    <row r="147">
      <c r="A147" s="4" t="inlineStr">
        <is>
          <t>ev</t>
        </is>
      </c>
      <c r="B147" s="4" t="inlineStr">
        <is>
          <t>alex</t>
        </is>
      </c>
      <c r="C147" s="4" t="inlineStr">
        <is>
          <t>2024-08-22 23:39</t>
        </is>
      </c>
      <c r="D147" s="4" t="n">
        <v>12142.7</v>
      </c>
      <c r="E147" s="4" t="inlineStr">
        <is>
          <t>ev</t>
        </is>
      </c>
      <c r="F147" s="4" t="n">
        <v>7.142</v>
      </c>
      <c r="G147" s="4" t="n">
        <v>0.245</v>
      </c>
      <c r="H147" s="4" t="n">
        <v>1.75</v>
      </c>
      <c r="I147" s="4" t="inlineStr">
        <is>
          <t>no</t>
        </is>
      </c>
      <c r="J147" s="4" t="inlineStr">
        <is>
          <t>Home</t>
        </is>
      </c>
      <c r="K147" s="2">
        <f>IF(A147&lt;&gt;A146,"",IF(I146="no",D146,K146))</f>
        <v/>
      </c>
      <c r="L147" s="2">
        <f>IF(OR(A147&lt;&gt;A146,K147=""),"",IF(I146="no",F147,L146+F147))</f>
        <v/>
      </c>
      <c r="M147" s="2">
        <f>IF(AND(I147="no",K147&lt;&gt;""),D147-K147,"")</f>
        <v/>
      </c>
      <c r="N147" s="19">
        <f>IF(M147="","",L147/M147*100)</f>
        <v/>
      </c>
      <c r="O147" s="2">
        <f>A147&amp;"|"&amp;C147</f>
        <v/>
      </c>
    </row>
    <row r="148">
      <c r="A148" s="4" t="inlineStr">
        <is>
          <t>ev</t>
        </is>
      </c>
      <c r="B148" s="4" t="inlineStr">
        <is>
          <t>alex</t>
        </is>
      </c>
      <c r="C148" s="4" t="inlineStr">
        <is>
          <t>2024-08-25 23:53</t>
        </is>
      </c>
      <c r="D148" s="4" t="n">
        <v>12251.4</v>
      </c>
      <c r="E148" s="4" t="inlineStr">
        <is>
          <t>ev</t>
        </is>
      </c>
      <c r="F148" s="4" t="n">
        <v>18.553</v>
      </c>
      <c r="G148" s="4" t="n">
        <v>0.245</v>
      </c>
      <c r="H148" s="4" t="n">
        <v>4.55</v>
      </c>
      <c r="I148" s="4" t="inlineStr">
        <is>
          <t>no</t>
        </is>
      </c>
      <c r="J148" s="4" t="inlineStr">
        <is>
          <t>Home</t>
        </is>
      </c>
      <c r="K148" s="2">
        <f>IF(A148&lt;&gt;A147,"",IF(I147="no",D147,K147))</f>
        <v/>
      </c>
      <c r="L148" s="2">
        <f>IF(OR(A148&lt;&gt;A147,K148=""),"",IF(I147="no",F148,L147+F148))</f>
        <v/>
      </c>
      <c r="M148" s="2">
        <f>IF(AND(I148="no",K148&lt;&gt;""),D148-K148,"")</f>
        <v/>
      </c>
      <c r="N148" s="19">
        <f>IF(M148="","",L148/M148*100)</f>
        <v/>
      </c>
      <c r="O148" s="2">
        <f>A148&amp;"|"&amp;C148</f>
        <v/>
      </c>
    </row>
    <row r="149">
      <c r="A149" s="4" t="inlineStr">
        <is>
          <t>ev</t>
        </is>
      </c>
      <c r="B149" s="4" t="inlineStr">
        <is>
          <t>alex</t>
        </is>
      </c>
      <c r="C149" s="4" t="inlineStr">
        <is>
          <t>2024-08-29 23:36</t>
        </is>
      </c>
      <c r="D149" s="4" t="n">
        <v>12348.1</v>
      </c>
      <c r="E149" s="4" t="inlineStr">
        <is>
          <t>ev</t>
        </is>
      </c>
      <c r="F149" s="4" t="n">
        <v>17.216</v>
      </c>
      <c r="G149" s="4" t="n">
        <v>0.245</v>
      </c>
      <c r="H149" s="4" t="n">
        <v>4.22</v>
      </c>
      <c r="I149" s="4" t="inlineStr">
        <is>
          <t>no</t>
        </is>
      </c>
      <c r="J149" s="4" t="inlineStr">
        <is>
          <t>Home</t>
        </is>
      </c>
      <c r="K149" s="2">
        <f>IF(A149&lt;&gt;A148,"",IF(I148="no",D148,K148))</f>
        <v/>
      </c>
      <c r="L149" s="2">
        <f>IF(OR(A149&lt;&gt;A148,K149=""),"",IF(I148="no",F149,L148+F149))</f>
        <v/>
      </c>
      <c r="M149" s="2">
        <f>IF(AND(I149="no",K149&lt;&gt;""),D149-K149,"")</f>
        <v/>
      </c>
      <c r="N149" s="19">
        <f>IF(M149="","",L149/M149*100)</f>
        <v/>
      </c>
      <c r="O149" s="2">
        <f>A149&amp;"|"&amp;C149</f>
        <v/>
      </c>
    </row>
    <row r="150">
      <c r="A150" s="4" t="inlineStr">
        <is>
          <t>ev</t>
        </is>
      </c>
      <c r="B150" s="4" t="inlineStr">
        <is>
          <t>alex</t>
        </is>
      </c>
      <c r="C150" s="4" t="inlineStr">
        <is>
          <t>2024-09-02 23:56</t>
        </is>
      </c>
      <c r="D150" s="4" t="n">
        <v>12437.6</v>
      </c>
      <c r="E150" s="4" t="inlineStr">
        <is>
          <t>ev</t>
        </is>
      </c>
      <c r="F150" s="4" t="n">
        <v>16.641</v>
      </c>
      <c r="G150" s="4" t="n">
        <v>0.245</v>
      </c>
      <c r="H150" s="4" t="n">
        <v>4.08</v>
      </c>
      <c r="I150" s="4" t="inlineStr">
        <is>
          <t>no</t>
        </is>
      </c>
      <c r="J150" s="4" t="inlineStr">
        <is>
          <t>Home</t>
        </is>
      </c>
      <c r="K150" s="2">
        <f>IF(A150&lt;&gt;A149,"",IF(I149="no",D149,K149))</f>
        <v/>
      </c>
      <c r="L150" s="2">
        <f>IF(OR(A150&lt;&gt;A149,K150=""),"",IF(I149="no",F150,L149+F150))</f>
        <v/>
      </c>
      <c r="M150" s="2">
        <f>IF(AND(I150="no",K150&lt;&gt;""),D150-K150,"")</f>
        <v/>
      </c>
      <c r="N150" s="19">
        <f>IF(M150="","",L150/M150*100)</f>
        <v/>
      </c>
      <c r="O150" s="2">
        <f>A150&amp;"|"&amp;C150</f>
        <v/>
      </c>
    </row>
    <row r="151">
      <c r="A151" s="4" t="inlineStr">
        <is>
          <t>ev</t>
        </is>
      </c>
      <c r="B151" s="4" t="inlineStr">
        <is>
          <t>alex</t>
        </is>
      </c>
      <c r="C151" s="4" t="inlineStr">
        <is>
          <t>2024-09-04 23:59</t>
        </is>
      </c>
      <c r="D151" s="4" t="n">
        <v>12519.5</v>
      </c>
      <c r="E151" s="4" t="inlineStr">
        <is>
          <t>ev</t>
        </is>
      </c>
      <c r="F151" s="4" t="n">
        <v>15.229</v>
      </c>
      <c r="G151" s="4" t="n">
        <v>0.245</v>
      </c>
      <c r="H151" s="4" t="n">
        <v>3.73</v>
      </c>
      <c r="I151" s="4" t="inlineStr">
        <is>
          <t>no</t>
        </is>
      </c>
      <c r="J151" s="4" t="inlineStr">
        <is>
          <t>Home</t>
        </is>
      </c>
      <c r="K151" s="2">
        <f>IF(A151&lt;&gt;A150,"",IF(I150="no",D150,K150))</f>
        <v/>
      </c>
      <c r="L151" s="2">
        <f>IF(OR(A151&lt;&gt;A150,K151=""),"",IF(I150="no",F151,L150+F151))</f>
        <v/>
      </c>
      <c r="M151" s="2">
        <f>IF(AND(I151="no",K151&lt;&gt;""),D151-K151,"")</f>
        <v/>
      </c>
      <c r="N151" s="19">
        <f>IF(M151="","",L151/M151*100)</f>
        <v/>
      </c>
      <c r="O151" s="2">
        <f>A151&amp;"|"&amp;C151</f>
        <v/>
      </c>
    </row>
    <row r="152">
      <c r="A152" s="4" t="inlineStr">
        <is>
          <t>ev</t>
        </is>
      </c>
      <c r="B152" s="4" t="inlineStr">
        <is>
          <t>alex</t>
        </is>
      </c>
      <c r="C152" s="4" t="inlineStr">
        <is>
          <t>2024-09-05 23:31</t>
        </is>
      </c>
      <c r="D152" s="4" t="n">
        <v>12564.8</v>
      </c>
      <c r="E152" s="4" t="inlineStr">
        <is>
          <t>ev</t>
        </is>
      </c>
      <c r="F152" s="4" t="n">
        <v>8.115</v>
      </c>
      <c r="G152" s="4" t="n">
        <v>0.245</v>
      </c>
      <c r="H152" s="4" t="n">
        <v>1.99</v>
      </c>
      <c r="I152" s="4" t="inlineStr">
        <is>
          <t>no</t>
        </is>
      </c>
      <c r="J152" s="4" t="inlineStr">
        <is>
          <t>Home</t>
        </is>
      </c>
      <c r="K152" s="2">
        <f>IF(A152&lt;&gt;A151,"",IF(I151="no",D151,K151))</f>
        <v/>
      </c>
      <c r="L152" s="2">
        <f>IF(OR(A152&lt;&gt;A151,K152=""),"",IF(I151="no",F152,L151+F152))</f>
        <v/>
      </c>
      <c r="M152" s="2">
        <f>IF(AND(I152="no",K152&lt;&gt;""),D152-K152,"")</f>
        <v/>
      </c>
      <c r="N152" s="19">
        <f>IF(M152="","",L152/M152*100)</f>
        <v/>
      </c>
      <c r="O152" s="2">
        <f>A152&amp;"|"&amp;C152</f>
        <v/>
      </c>
    </row>
    <row r="153">
      <c r="A153" s="4" t="inlineStr">
        <is>
          <t>ev</t>
        </is>
      </c>
      <c r="B153" s="4" t="inlineStr">
        <is>
          <t>alex</t>
        </is>
      </c>
      <c r="C153" s="4" t="inlineStr">
        <is>
          <t>2024-09-08 13:27</t>
        </is>
      </c>
      <c r="D153" s="4" t="n">
        <v>12648</v>
      </c>
      <c r="E153" s="4" t="inlineStr">
        <is>
          <t>ev</t>
        </is>
      </c>
      <c r="F153" s="4" t="n">
        <v>26.062</v>
      </c>
      <c r="G153" s="4" t="n">
        <v>0.79</v>
      </c>
      <c r="H153" s="4" t="n">
        <v>20.59</v>
      </c>
      <c r="I153" s="4" t="inlineStr">
        <is>
          <t>yes</t>
        </is>
      </c>
      <c r="J153" s="4" t="inlineStr">
        <is>
          <t>Ionity Woodall (DC)</t>
        </is>
      </c>
      <c r="K153" s="2">
        <f>IF(A153&lt;&gt;A152,"",IF(I152="no",D152,K152))</f>
        <v/>
      </c>
      <c r="L153" s="2">
        <f>IF(OR(A153&lt;&gt;A152,K153=""),"",IF(I152="no",F153,L152+F153))</f>
        <v/>
      </c>
      <c r="M153" s="2">
        <f>IF(AND(I153="no",K153&lt;&gt;""),D153-K153,"")</f>
        <v/>
      </c>
      <c r="N153" s="19">
        <f>IF(M153="","",L153/M153*100)</f>
        <v/>
      </c>
      <c r="O153" s="2">
        <f>A153&amp;"|"&amp;C153</f>
        <v/>
      </c>
    </row>
    <row r="154">
      <c r="A154" s="4" t="inlineStr">
        <is>
          <t>ev</t>
        </is>
      </c>
      <c r="B154" s="4" t="inlineStr">
        <is>
          <t>alex</t>
        </is>
      </c>
      <c r="C154" s="4" t="inlineStr">
        <is>
          <t>2024-09-10 15:42</t>
        </is>
      </c>
      <c r="D154" s="4" t="n">
        <v>12706.2</v>
      </c>
      <c r="E154" s="4" t="inlineStr">
        <is>
          <t>ev</t>
        </is>
      </c>
      <c r="F154" s="4" t="n">
        <v>6.739</v>
      </c>
      <c r="G154" s="4" t="n">
        <v>0.52</v>
      </c>
      <c r="H154" s="4" t="n">
        <v>3.5</v>
      </c>
      <c r="I154" s="4" t="inlineStr">
        <is>
          <t>yes</t>
        </is>
      </c>
      <c r="J154" s="4" t="inlineStr">
        <is>
          <t>Leeds Council car park (AC)</t>
        </is>
      </c>
      <c r="K154" s="2">
        <f>IF(A154&lt;&gt;A153,"",IF(I153="no",D153,K153))</f>
        <v/>
      </c>
      <c r="L154" s="2">
        <f>IF(OR(A154&lt;&gt;A153,K154=""),"",IF(I153="no",F154,L153+F154))</f>
        <v/>
      </c>
      <c r="M154" s="2">
        <f>IF(AND(I154="no",K154&lt;&gt;""),D154-K154,"")</f>
        <v/>
      </c>
      <c r="N154" s="19">
        <f>IF(M154="","",L154/M154*100)</f>
        <v/>
      </c>
      <c r="O154" s="2">
        <f>A154&amp;"|"&amp;C154</f>
        <v/>
      </c>
    </row>
    <row r="155">
      <c r="A155" s="4" t="inlineStr">
        <is>
          <t>ev</t>
        </is>
      </c>
      <c r="B155" s="4" t="inlineStr">
        <is>
          <t>alex</t>
        </is>
      </c>
      <c r="C155" s="4" t="inlineStr">
        <is>
          <t>2024-09-11 23:37</t>
        </is>
      </c>
      <c r="D155" s="4" t="n">
        <v>12753.3</v>
      </c>
      <c r="E155" s="4" t="inlineStr">
        <is>
          <t>ev</t>
        </is>
      </c>
      <c r="F155" s="4" t="n">
        <v>9.004</v>
      </c>
      <c r="G155" s="4" t="n">
        <v>0.245</v>
      </c>
      <c r="H155" s="4" t="n">
        <v>2.21</v>
      </c>
      <c r="I155" s="4" t="inlineStr">
        <is>
          <t>no</t>
        </is>
      </c>
      <c r="J155" s="4" t="inlineStr">
        <is>
          <t>Home</t>
        </is>
      </c>
      <c r="K155" s="2">
        <f>IF(A155&lt;&gt;A154,"",IF(I154="no",D154,K154))</f>
        <v/>
      </c>
      <c r="L155" s="2">
        <f>IF(OR(A155&lt;&gt;A154,K155=""),"",IF(I154="no",F155,L154+F155))</f>
        <v/>
      </c>
      <c r="M155" s="2">
        <f>IF(AND(I155="no",K155&lt;&gt;""),D155-K155,"")</f>
        <v/>
      </c>
      <c r="N155" s="19">
        <f>IF(M155="","",L155/M155*100)</f>
        <v/>
      </c>
      <c r="O155" s="2">
        <f>A155&amp;"|"&amp;C155</f>
        <v/>
      </c>
    </row>
    <row r="156">
      <c r="A156" s="4" t="inlineStr">
        <is>
          <t>ev</t>
        </is>
      </c>
      <c r="B156" s="4" t="inlineStr">
        <is>
          <t>alex</t>
        </is>
      </c>
      <c r="C156" s="4" t="inlineStr">
        <is>
          <t>2024-09-13 23:41</t>
        </is>
      </c>
      <c r="D156" s="4" t="n">
        <v>12822.8</v>
      </c>
      <c r="E156" s="4" t="inlineStr">
        <is>
          <t>ev</t>
        </is>
      </c>
      <c r="F156" s="4" t="n">
        <v>12.895</v>
      </c>
      <c r="G156" s="4" t="n">
        <v>0.245</v>
      </c>
      <c r="H156" s="4" t="n">
        <v>3.16</v>
      </c>
      <c r="I156" s="4" t="inlineStr">
        <is>
          <t>no</t>
        </is>
      </c>
      <c r="J156" s="4" t="inlineStr">
        <is>
          <t>Home</t>
        </is>
      </c>
      <c r="K156" s="2">
        <f>IF(A156&lt;&gt;A155,"",IF(I155="no",D155,K155))</f>
        <v/>
      </c>
      <c r="L156" s="2">
        <f>IF(OR(A156&lt;&gt;A155,K156=""),"",IF(I155="no",F156,L155+F156))</f>
        <v/>
      </c>
      <c r="M156" s="2">
        <f>IF(AND(I156="no",K156&lt;&gt;""),D156-K156,"")</f>
        <v/>
      </c>
      <c r="N156" s="19">
        <f>IF(M156="","",L156/M156*100)</f>
        <v/>
      </c>
      <c r="O156" s="2">
        <f>A156&amp;"|"&amp;C156</f>
        <v/>
      </c>
    </row>
    <row r="157">
      <c r="A157" s="4" t="inlineStr">
        <is>
          <t>ev</t>
        </is>
      </c>
      <c r="B157" s="4" t="inlineStr">
        <is>
          <t>alex</t>
        </is>
      </c>
      <c r="C157" s="4" t="inlineStr">
        <is>
          <t>2024-09-14 23:51</t>
        </is>
      </c>
      <c r="D157" s="4" t="n">
        <v>12867</v>
      </c>
      <c r="E157" s="4" t="inlineStr">
        <is>
          <t>ev</t>
        </is>
      </c>
      <c r="F157" s="4" t="n">
        <v>7.134</v>
      </c>
      <c r="G157" s="4" t="n">
        <v>0.245</v>
      </c>
      <c r="H157" s="4" t="n">
        <v>1.75</v>
      </c>
      <c r="I157" s="4" t="inlineStr">
        <is>
          <t>no</t>
        </is>
      </c>
      <c r="J157" s="4" t="inlineStr">
        <is>
          <t>Home</t>
        </is>
      </c>
      <c r="K157" s="2">
        <f>IF(A157&lt;&gt;A156,"",IF(I156="no",D156,K156))</f>
        <v/>
      </c>
      <c r="L157" s="2">
        <f>IF(OR(A157&lt;&gt;A156,K157=""),"",IF(I156="no",F157,L156+F157))</f>
        <v/>
      </c>
      <c r="M157" s="2">
        <f>IF(AND(I157="no",K157&lt;&gt;""),D157-K157,"")</f>
        <v/>
      </c>
      <c r="N157" s="19">
        <f>IF(M157="","",L157/M157*100)</f>
        <v/>
      </c>
      <c r="O157" s="2">
        <f>A157&amp;"|"&amp;C157</f>
        <v/>
      </c>
    </row>
    <row r="158">
      <c r="A158" s="4" t="inlineStr">
        <is>
          <t>ev</t>
        </is>
      </c>
      <c r="B158" s="4" t="inlineStr">
        <is>
          <t>alex</t>
        </is>
      </c>
      <c r="C158" s="4" t="inlineStr">
        <is>
          <t>2024-09-16 23:35</t>
        </is>
      </c>
      <c r="D158" s="4" t="n">
        <v>12954.9</v>
      </c>
      <c r="E158" s="4" t="inlineStr">
        <is>
          <t>ev</t>
        </is>
      </c>
      <c r="F158" s="4" t="n">
        <v>15.157</v>
      </c>
      <c r="G158" s="4" t="n">
        <v>0.245</v>
      </c>
      <c r="H158" s="4" t="n">
        <v>3.71</v>
      </c>
      <c r="I158" s="4" t="inlineStr">
        <is>
          <t>no</t>
        </is>
      </c>
      <c r="J158" s="4" t="inlineStr">
        <is>
          <t>Home</t>
        </is>
      </c>
      <c r="K158" s="2">
        <f>IF(A158&lt;&gt;A157,"",IF(I157="no",D157,K157))</f>
        <v/>
      </c>
      <c r="L158" s="2">
        <f>IF(OR(A158&lt;&gt;A157,K158=""),"",IF(I157="no",F158,L157+F158))</f>
        <v/>
      </c>
      <c r="M158" s="2">
        <f>IF(AND(I158="no",K158&lt;&gt;""),D158-K158,"")</f>
        <v/>
      </c>
      <c r="N158" s="19">
        <f>IF(M158="","",L158/M158*100)</f>
        <v/>
      </c>
      <c r="O158" s="2">
        <f>A158&amp;"|"&amp;C158</f>
        <v/>
      </c>
    </row>
    <row r="159">
      <c r="A159" s="4" t="inlineStr">
        <is>
          <t>ev</t>
        </is>
      </c>
      <c r="B159" s="4" t="inlineStr">
        <is>
          <t>alex</t>
        </is>
      </c>
      <c r="C159" s="4" t="inlineStr">
        <is>
          <t>2024-09-20 23:55</t>
        </is>
      </c>
      <c r="D159" s="4" t="n">
        <v>13049.9</v>
      </c>
      <c r="E159" s="4" t="inlineStr">
        <is>
          <t>ev</t>
        </is>
      </c>
      <c r="F159" s="4" t="n">
        <v>16.723</v>
      </c>
      <c r="G159" s="4" t="n">
        <v>0.245</v>
      </c>
      <c r="H159" s="4" t="n">
        <v>4.1</v>
      </c>
      <c r="I159" s="4" t="inlineStr">
        <is>
          <t>no</t>
        </is>
      </c>
      <c r="J159" s="4" t="inlineStr">
        <is>
          <t>Home</t>
        </is>
      </c>
      <c r="K159" s="2">
        <f>IF(A159&lt;&gt;A158,"",IF(I158="no",D158,K158))</f>
        <v/>
      </c>
      <c r="L159" s="2">
        <f>IF(OR(A159&lt;&gt;A158,K159=""),"",IF(I158="no",F159,L158+F159))</f>
        <v/>
      </c>
      <c r="M159" s="2">
        <f>IF(AND(I159="no",K159&lt;&gt;""),D159-K159,"")</f>
        <v/>
      </c>
      <c r="N159" s="19">
        <f>IF(M159="","",L159/M159*100)</f>
        <v/>
      </c>
      <c r="O159" s="2">
        <f>A159&amp;"|"&amp;C159</f>
        <v/>
      </c>
    </row>
    <row r="160">
      <c r="A160" s="4" t="inlineStr">
        <is>
          <t>ev</t>
        </is>
      </c>
      <c r="B160" s="4" t="inlineStr">
        <is>
          <t>alex</t>
        </is>
      </c>
      <c r="C160" s="4" t="inlineStr">
        <is>
          <t>2024-09-24 23:45</t>
        </is>
      </c>
      <c r="D160" s="4" t="n">
        <v>13168.1</v>
      </c>
      <c r="E160" s="4" t="inlineStr">
        <is>
          <t>ev</t>
        </is>
      </c>
      <c r="F160" s="4" t="n">
        <v>20.826</v>
      </c>
      <c r="G160" s="4" t="n">
        <v>0.245</v>
      </c>
      <c r="H160" s="4" t="n">
        <v>5.1</v>
      </c>
      <c r="I160" s="4" t="inlineStr">
        <is>
          <t>no</t>
        </is>
      </c>
      <c r="J160" s="4" t="inlineStr">
        <is>
          <t>Home</t>
        </is>
      </c>
      <c r="K160" s="2">
        <f>IF(A160&lt;&gt;A159,"",IF(I159="no",D159,K159))</f>
        <v/>
      </c>
      <c r="L160" s="2">
        <f>IF(OR(A160&lt;&gt;A159,K160=""),"",IF(I159="no",F160,L159+F160))</f>
        <v/>
      </c>
      <c r="M160" s="2">
        <f>IF(AND(I160="no",K160&lt;&gt;""),D160-K160,"")</f>
        <v/>
      </c>
      <c r="N160" s="19">
        <f>IF(M160="","",L160/M160*100)</f>
        <v/>
      </c>
      <c r="O160" s="2">
        <f>A160&amp;"|"&amp;C160</f>
        <v/>
      </c>
    </row>
    <row r="161">
      <c r="A161" s="4" t="inlineStr">
        <is>
          <t>ev</t>
        </is>
      </c>
      <c r="B161" s="4" t="inlineStr">
        <is>
          <t>alex</t>
        </is>
      </c>
      <c r="C161" s="4" t="inlineStr">
        <is>
          <t>2024-09-27 23:30</t>
        </is>
      </c>
      <c r="D161" s="4" t="n">
        <v>13258.2</v>
      </c>
      <c r="E161" s="4" t="inlineStr">
        <is>
          <t>ev</t>
        </is>
      </c>
      <c r="F161" s="4" t="n">
        <v>16.49</v>
      </c>
      <c r="G161" s="4" t="n">
        <v>0.245</v>
      </c>
      <c r="H161" s="4" t="n">
        <v>4.04</v>
      </c>
      <c r="I161" s="4" t="inlineStr">
        <is>
          <t>no</t>
        </is>
      </c>
      <c r="J161" s="4" t="inlineStr">
        <is>
          <t>Home</t>
        </is>
      </c>
      <c r="K161" s="2">
        <f>IF(A161&lt;&gt;A160,"",IF(I160="no",D160,K160))</f>
        <v/>
      </c>
      <c r="L161" s="2">
        <f>IF(OR(A161&lt;&gt;A160,K161=""),"",IF(I160="no",F161,L160+F161))</f>
        <v/>
      </c>
      <c r="M161" s="2">
        <f>IF(AND(I161="no",K161&lt;&gt;""),D161-K161,"")</f>
        <v/>
      </c>
      <c r="N161" s="19">
        <f>IF(M161="","",L161/M161*100)</f>
        <v/>
      </c>
      <c r="O161" s="2">
        <f>A161&amp;"|"&amp;C161</f>
        <v/>
      </c>
    </row>
    <row r="162">
      <c r="A162" s="4" t="inlineStr">
        <is>
          <t>ev</t>
        </is>
      </c>
      <c r="B162" s="4" t="inlineStr">
        <is>
          <t>alex</t>
        </is>
      </c>
      <c r="C162" s="4" t="inlineStr">
        <is>
          <t>2024-09-29 23:49</t>
        </is>
      </c>
      <c r="D162" s="4" t="n">
        <v>13312.4</v>
      </c>
      <c r="E162" s="4" t="inlineStr">
        <is>
          <t>ev</t>
        </is>
      </c>
      <c r="F162" s="4" t="n">
        <v>9.26</v>
      </c>
      <c r="G162" s="4" t="n">
        <v>0.245</v>
      </c>
      <c r="H162" s="4" t="n">
        <v>2.27</v>
      </c>
      <c r="I162" s="4" t="inlineStr">
        <is>
          <t>no</t>
        </is>
      </c>
      <c r="J162" s="4" t="inlineStr">
        <is>
          <t>Home</t>
        </is>
      </c>
      <c r="K162" s="2">
        <f>IF(A162&lt;&gt;A161,"",IF(I161="no",D161,K161))</f>
        <v/>
      </c>
      <c r="L162" s="2">
        <f>IF(OR(A162&lt;&gt;A161,K162=""),"",IF(I161="no",F162,L161+F162))</f>
        <v/>
      </c>
      <c r="M162" s="2">
        <f>IF(AND(I162="no",K162&lt;&gt;""),D162-K162,"")</f>
        <v/>
      </c>
      <c r="N162" s="19">
        <f>IF(M162="","",L162/M162*100)</f>
        <v/>
      </c>
      <c r="O162" s="2">
        <f>A162&amp;"|"&amp;C162</f>
        <v/>
      </c>
    </row>
    <row r="163">
      <c r="A163" s="4" t="inlineStr">
        <is>
          <t>ev</t>
        </is>
      </c>
      <c r="B163" s="4" t="inlineStr">
        <is>
          <t>alex</t>
        </is>
      </c>
      <c r="C163" s="4" t="inlineStr">
        <is>
          <t>2024-10-01 23:55</t>
        </is>
      </c>
      <c r="D163" s="4" t="n">
        <v>13380.7</v>
      </c>
      <c r="E163" s="4" t="inlineStr">
        <is>
          <t>ev</t>
        </is>
      </c>
      <c r="F163" s="4" t="n">
        <v>11.963</v>
      </c>
      <c r="G163" s="4" t="n">
        <v>0.245</v>
      </c>
      <c r="H163" s="4" t="n">
        <v>2.93</v>
      </c>
      <c r="I163" s="4" t="inlineStr">
        <is>
          <t>no</t>
        </is>
      </c>
      <c r="J163" s="4" t="inlineStr">
        <is>
          <t>Home</t>
        </is>
      </c>
      <c r="K163" s="2">
        <f>IF(A163&lt;&gt;A162,"",IF(I162="no",D162,K162))</f>
        <v/>
      </c>
      <c r="L163" s="2">
        <f>IF(OR(A163&lt;&gt;A162,K163=""),"",IF(I162="no",F163,L162+F163))</f>
        <v/>
      </c>
      <c r="M163" s="2">
        <f>IF(AND(I163="no",K163&lt;&gt;""),D163-K163,"")</f>
        <v/>
      </c>
      <c r="N163" s="19">
        <f>IF(M163="","",L163/M163*100)</f>
        <v/>
      </c>
      <c r="O163" s="2">
        <f>A163&amp;"|"&amp;C163</f>
        <v/>
      </c>
    </row>
    <row r="164">
      <c r="A164" s="4" t="inlineStr">
        <is>
          <t>ev</t>
        </is>
      </c>
      <c r="B164" s="4" t="inlineStr">
        <is>
          <t>alex</t>
        </is>
      </c>
      <c r="C164" s="4" t="inlineStr">
        <is>
          <t>2024-10-04 23:39</t>
        </is>
      </c>
      <c r="D164" s="4" t="n">
        <v>13491.2</v>
      </c>
      <c r="E164" s="4" t="inlineStr">
        <is>
          <t>ev</t>
        </is>
      </c>
      <c r="F164" s="4" t="n">
        <v>20.022</v>
      </c>
      <c r="G164" s="4" t="n">
        <v>0.245</v>
      </c>
      <c r="H164" s="4" t="n">
        <v>4.91</v>
      </c>
      <c r="I164" s="4" t="inlineStr">
        <is>
          <t>no</t>
        </is>
      </c>
      <c r="J164" s="4" t="inlineStr">
        <is>
          <t>Home</t>
        </is>
      </c>
      <c r="K164" s="2">
        <f>IF(A164&lt;&gt;A163,"",IF(I163="no",D163,K163))</f>
        <v/>
      </c>
      <c r="L164" s="2">
        <f>IF(OR(A164&lt;&gt;A163,K164=""),"",IF(I163="no",F164,L163+F164))</f>
        <v/>
      </c>
      <c r="M164" s="2">
        <f>IF(AND(I164="no",K164&lt;&gt;""),D164-K164,"")</f>
        <v/>
      </c>
      <c r="N164" s="19">
        <f>IF(M164="","",L164/M164*100)</f>
        <v/>
      </c>
      <c r="O164" s="2">
        <f>A164&amp;"|"&amp;C164</f>
        <v/>
      </c>
    </row>
    <row r="165">
      <c r="A165" s="4" t="inlineStr">
        <is>
          <t>ev</t>
        </is>
      </c>
      <c r="B165" s="4" t="inlineStr">
        <is>
          <t>alex</t>
        </is>
      </c>
      <c r="C165" s="4" t="inlineStr">
        <is>
          <t>2024-10-07 23:41</t>
        </is>
      </c>
      <c r="D165" s="4" t="n">
        <v>13608.5</v>
      </c>
      <c r="E165" s="4" t="inlineStr">
        <is>
          <t>ev</t>
        </is>
      </c>
      <c r="F165" s="4" t="n">
        <v>19.377</v>
      </c>
      <c r="G165" s="4" t="n">
        <v>0.245</v>
      </c>
      <c r="H165" s="4" t="n">
        <v>4.75</v>
      </c>
      <c r="I165" s="4" t="inlineStr">
        <is>
          <t>no</t>
        </is>
      </c>
      <c r="J165" s="4" t="inlineStr">
        <is>
          <t>Home</t>
        </is>
      </c>
      <c r="K165" s="2">
        <f>IF(A165&lt;&gt;A164,"",IF(I164="no",D164,K164))</f>
        <v/>
      </c>
      <c r="L165" s="2">
        <f>IF(OR(A165&lt;&gt;A164,K165=""),"",IF(I164="no",F165,L164+F165))</f>
        <v/>
      </c>
      <c r="M165" s="2">
        <f>IF(AND(I165="no",K165&lt;&gt;""),D165-K165,"")</f>
        <v/>
      </c>
      <c r="N165" s="19">
        <f>IF(M165="","",L165/M165*100)</f>
        <v/>
      </c>
      <c r="O165" s="2">
        <f>A165&amp;"|"&amp;C165</f>
        <v/>
      </c>
    </row>
    <row r="166">
      <c r="A166" s="4" t="inlineStr">
        <is>
          <t>ev</t>
        </is>
      </c>
      <c r="B166" s="4" t="inlineStr">
        <is>
          <t>alex</t>
        </is>
      </c>
      <c r="C166" s="4" t="inlineStr">
        <is>
          <t>2024-10-09 23:45</t>
        </is>
      </c>
      <c r="D166" s="4" t="n">
        <v>13671.2</v>
      </c>
      <c r="E166" s="4" t="inlineStr">
        <is>
          <t>ev</t>
        </is>
      </c>
      <c r="F166" s="4" t="n">
        <v>10.688</v>
      </c>
      <c r="G166" s="4" t="n">
        <v>0.245</v>
      </c>
      <c r="H166" s="4" t="n">
        <v>2.62</v>
      </c>
      <c r="I166" s="4" t="inlineStr">
        <is>
          <t>no</t>
        </is>
      </c>
      <c r="J166" s="4" t="inlineStr">
        <is>
          <t>Home</t>
        </is>
      </c>
      <c r="K166" s="2">
        <f>IF(A166&lt;&gt;A165,"",IF(I165="no",D165,K165))</f>
        <v/>
      </c>
      <c r="L166" s="2">
        <f>IF(OR(A166&lt;&gt;A165,K166=""),"",IF(I165="no",F166,L165+F166))</f>
        <v/>
      </c>
      <c r="M166" s="2">
        <f>IF(AND(I166="no",K166&lt;&gt;""),D166-K166,"")</f>
        <v/>
      </c>
      <c r="N166" s="19">
        <f>IF(M166="","",L166/M166*100)</f>
        <v/>
      </c>
      <c r="O166" s="2">
        <f>A166&amp;"|"&amp;C166</f>
        <v/>
      </c>
    </row>
    <row r="167">
      <c r="A167" s="4" t="inlineStr">
        <is>
          <t>ev</t>
        </is>
      </c>
      <c r="B167" s="4" t="inlineStr">
        <is>
          <t>alex</t>
        </is>
      </c>
      <c r="C167" s="4" t="inlineStr">
        <is>
          <t>2024-10-11 23:52</t>
        </is>
      </c>
      <c r="D167" s="4" t="n">
        <v>13741.6</v>
      </c>
      <c r="E167" s="4" t="inlineStr">
        <is>
          <t>ev</t>
        </is>
      </c>
      <c r="F167" s="4" t="n">
        <v>12.295</v>
      </c>
      <c r="G167" s="4" t="n">
        <v>0.245</v>
      </c>
      <c r="H167" s="4" t="n">
        <v>3.01</v>
      </c>
      <c r="I167" s="4" t="inlineStr">
        <is>
          <t>no</t>
        </is>
      </c>
      <c r="J167" s="4" t="inlineStr">
        <is>
          <t>Home</t>
        </is>
      </c>
      <c r="K167" s="2">
        <f>IF(A167&lt;&gt;A166,"",IF(I166="no",D166,K166))</f>
        <v/>
      </c>
      <c r="L167" s="2">
        <f>IF(OR(A167&lt;&gt;A166,K167=""),"",IF(I166="no",F167,L166+F167))</f>
        <v/>
      </c>
      <c r="M167" s="2">
        <f>IF(AND(I167="no",K167&lt;&gt;""),D167-K167,"")</f>
        <v/>
      </c>
      <c r="N167" s="19">
        <f>IF(M167="","",L167/M167*100)</f>
        <v/>
      </c>
      <c r="O167" s="2">
        <f>A167&amp;"|"&amp;C167</f>
        <v/>
      </c>
    </row>
    <row r="168">
      <c r="A168" s="4" t="inlineStr">
        <is>
          <t>ev</t>
        </is>
      </c>
      <c r="B168" s="4" t="inlineStr">
        <is>
          <t>alex</t>
        </is>
      </c>
      <c r="C168" s="4" t="inlineStr">
        <is>
          <t>2024-10-15 23:48</t>
        </is>
      </c>
      <c r="D168" s="4" t="n">
        <v>13836.6</v>
      </c>
      <c r="E168" s="4" t="inlineStr">
        <is>
          <t>ev</t>
        </is>
      </c>
      <c r="F168" s="4" t="n">
        <v>16.406</v>
      </c>
      <c r="G168" s="4" t="n">
        <v>0.245</v>
      </c>
      <c r="H168" s="4" t="n">
        <v>4.02</v>
      </c>
      <c r="I168" s="4" t="inlineStr">
        <is>
          <t>no</t>
        </is>
      </c>
      <c r="J168" s="4" t="inlineStr">
        <is>
          <t>Home</t>
        </is>
      </c>
      <c r="K168" s="2">
        <f>IF(A168&lt;&gt;A167,"",IF(I167="no",D167,K167))</f>
        <v/>
      </c>
      <c r="L168" s="2">
        <f>IF(OR(A168&lt;&gt;A167,K168=""),"",IF(I167="no",F168,L167+F168))</f>
        <v/>
      </c>
      <c r="M168" s="2">
        <f>IF(AND(I168="no",K168&lt;&gt;""),D168-K168,"")</f>
        <v/>
      </c>
      <c r="N168" s="19">
        <f>IF(M168="","",L168/M168*100)</f>
        <v/>
      </c>
      <c r="O168" s="2">
        <f>A168&amp;"|"&amp;C168</f>
        <v/>
      </c>
    </row>
    <row r="169">
      <c r="A169" s="4" t="inlineStr">
        <is>
          <t>ev</t>
        </is>
      </c>
      <c r="B169" s="4" t="inlineStr">
        <is>
          <t>alex</t>
        </is>
      </c>
      <c r="C169" s="4" t="inlineStr">
        <is>
          <t>2024-10-17 10:45</t>
        </is>
      </c>
      <c r="D169" s="4" t="n">
        <v>13878.8</v>
      </c>
      <c r="E169" s="4" t="inlineStr">
        <is>
          <t>ev</t>
        </is>
      </c>
      <c r="F169" s="4" t="n">
        <v>6.178</v>
      </c>
      <c r="G169" s="4" t="n">
        <v>0.52</v>
      </c>
      <c r="H169" s="4" t="n">
        <v>3.21</v>
      </c>
      <c r="I169" s="4" t="inlineStr">
        <is>
          <t>yes</t>
        </is>
      </c>
      <c r="J169" s="4" t="inlineStr">
        <is>
          <t>Leeds Council car park (AC)</t>
        </is>
      </c>
      <c r="K169" s="2">
        <f>IF(A169&lt;&gt;A168,"",IF(I168="no",D168,K168))</f>
        <v/>
      </c>
      <c r="L169" s="2">
        <f>IF(OR(A169&lt;&gt;A168,K169=""),"",IF(I168="no",F169,L168+F169))</f>
        <v/>
      </c>
      <c r="M169" s="2">
        <f>IF(AND(I169="no",K169&lt;&gt;""),D169-K169,"")</f>
        <v/>
      </c>
      <c r="N169" s="19">
        <f>IF(M169="","",L169/M169*100)</f>
        <v/>
      </c>
      <c r="O169" s="2">
        <f>A169&amp;"|"&amp;C169</f>
        <v/>
      </c>
    </row>
    <row r="170">
      <c r="A170" s="4" t="inlineStr">
        <is>
          <t>ev</t>
        </is>
      </c>
      <c r="B170" s="4" t="inlineStr">
        <is>
          <t>alex</t>
        </is>
      </c>
      <c r="C170" s="4" t="inlineStr">
        <is>
          <t>2024-10-19 23:32</t>
        </is>
      </c>
      <c r="D170" s="4" t="n">
        <v>13971.5</v>
      </c>
      <c r="E170" s="4" t="inlineStr">
        <is>
          <t>ev</t>
        </is>
      </c>
      <c r="F170" s="4" t="n">
        <v>17.339</v>
      </c>
      <c r="G170" s="4" t="n">
        <v>0.245</v>
      </c>
      <c r="H170" s="4" t="n">
        <v>4.25</v>
      </c>
      <c r="I170" s="4" t="inlineStr">
        <is>
          <t>no</t>
        </is>
      </c>
      <c r="J170" s="4" t="inlineStr">
        <is>
          <t>Home</t>
        </is>
      </c>
      <c r="K170" s="2">
        <f>IF(A170&lt;&gt;A169,"",IF(I169="no",D169,K169))</f>
        <v/>
      </c>
      <c r="L170" s="2">
        <f>IF(OR(A170&lt;&gt;A169,K170=""),"",IF(I169="no",F170,L169+F170))</f>
        <v/>
      </c>
      <c r="M170" s="2">
        <f>IF(AND(I170="no",K170&lt;&gt;""),D170-K170,"")</f>
        <v/>
      </c>
      <c r="N170" s="19">
        <f>IF(M170="","",L170/M170*100)</f>
        <v/>
      </c>
      <c r="O170" s="2">
        <f>A170&amp;"|"&amp;C170</f>
        <v/>
      </c>
    </row>
    <row r="171">
      <c r="A171" s="4" t="inlineStr">
        <is>
          <t>ev</t>
        </is>
      </c>
      <c r="B171" s="4" t="inlineStr">
        <is>
          <t>alex</t>
        </is>
      </c>
      <c r="C171" s="4" t="inlineStr">
        <is>
          <t>2024-10-23 23:59</t>
        </is>
      </c>
      <c r="D171" s="4" t="n">
        <v>14084</v>
      </c>
      <c r="E171" s="4" t="inlineStr">
        <is>
          <t>ev</t>
        </is>
      </c>
      <c r="F171" s="4" t="n">
        <v>20.279</v>
      </c>
      <c r="G171" s="4" t="n">
        <v>0.245</v>
      </c>
      <c r="H171" s="4" t="n">
        <v>4.97</v>
      </c>
      <c r="I171" s="4" t="inlineStr">
        <is>
          <t>no</t>
        </is>
      </c>
      <c r="J171" s="4" t="inlineStr">
        <is>
          <t>Home</t>
        </is>
      </c>
      <c r="K171" s="2">
        <f>IF(A171&lt;&gt;A170,"",IF(I170="no",D170,K170))</f>
        <v/>
      </c>
      <c r="L171" s="2">
        <f>IF(OR(A171&lt;&gt;A170,K171=""),"",IF(I170="no",F171,L170+F171))</f>
        <v/>
      </c>
      <c r="M171" s="2">
        <f>IF(AND(I171="no",K171&lt;&gt;""),D171-K171,"")</f>
        <v/>
      </c>
      <c r="N171" s="19">
        <f>IF(M171="","",L171/M171*100)</f>
        <v/>
      </c>
      <c r="O171" s="2">
        <f>A171&amp;"|"&amp;C171</f>
        <v/>
      </c>
    </row>
    <row r="172">
      <c r="A172" s="4" t="inlineStr">
        <is>
          <t>ev</t>
        </is>
      </c>
      <c r="B172" s="4" t="inlineStr">
        <is>
          <t>alex</t>
        </is>
      </c>
      <c r="C172" s="4" t="inlineStr">
        <is>
          <t>2024-10-27 23:43</t>
        </is>
      </c>
      <c r="D172" s="4" t="n">
        <v>14194.2</v>
      </c>
      <c r="E172" s="4" t="inlineStr">
        <is>
          <t>ev</t>
        </is>
      </c>
      <c r="F172" s="4" t="n">
        <v>20.647</v>
      </c>
      <c r="G172" s="4" t="n">
        <v>0.245</v>
      </c>
      <c r="H172" s="4" t="n">
        <v>5.06</v>
      </c>
      <c r="I172" s="4" t="inlineStr">
        <is>
          <t>no</t>
        </is>
      </c>
      <c r="J172" s="4" t="inlineStr">
        <is>
          <t>Home</t>
        </is>
      </c>
      <c r="K172" s="2">
        <f>IF(A172&lt;&gt;A171,"",IF(I171="no",D171,K171))</f>
        <v/>
      </c>
      <c r="L172" s="2">
        <f>IF(OR(A172&lt;&gt;A171,K172=""),"",IF(I171="no",F172,L171+F172))</f>
        <v/>
      </c>
      <c r="M172" s="2">
        <f>IF(AND(I172="no",K172&lt;&gt;""),D172-K172,"")</f>
        <v/>
      </c>
      <c r="N172" s="19">
        <f>IF(M172="","",L172/M172*100)</f>
        <v/>
      </c>
      <c r="O172" s="2">
        <f>A172&amp;"|"&amp;C172</f>
        <v/>
      </c>
    </row>
    <row r="173">
      <c r="A173" s="4" t="inlineStr">
        <is>
          <t>ev</t>
        </is>
      </c>
      <c r="B173" s="4" t="inlineStr">
        <is>
          <t>alex</t>
        </is>
      </c>
      <c r="C173" s="4" t="inlineStr">
        <is>
          <t>2024-10-29 23:57</t>
        </is>
      </c>
      <c r="D173" s="4" t="n">
        <v>14274.2</v>
      </c>
      <c r="E173" s="4" t="inlineStr">
        <is>
          <t>ev</t>
        </is>
      </c>
      <c r="F173" s="4" t="n">
        <v>13.825</v>
      </c>
      <c r="G173" s="4" t="n">
        <v>0.245</v>
      </c>
      <c r="H173" s="4" t="n">
        <v>3.39</v>
      </c>
      <c r="I173" s="4" t="inlineStr">
        <is>
          <t>no</t>
        </is>
      </c>
      <c r="J173" s="4" t="inlineStr">
        <is>
          <t>Home</t>
        </is>
      </c>
      <c r="K173" s="2">
        <f>IF(A173&lt;&gt;A172,"",IF(I172="no",D172,K172))</f>
        <v/>
      </c>
      <c r="L173" s="2">
        <f>IF(OR(A173&lt;&gt;A172,K173=""),"",IF(I172="no",F173,L172+F173))</f>
        <v/>
      </c>
      <c r="M173" s="2">
        <f>IF(AND(I173="no",K173&lt;&gt;""),D173-K173,"")</f>
        <v/>
      </c>
      <c r="N173" s="19">
        <f>IF(M173="","",L173/M173*100)</f>
        <v/>
      </c>
      <c r="O173" s="2">
        <f>A173&amp;"|"&amp;C173</f>
        <v/>
      </c>
    </row>
    <row r="174">
      <c r="A174" s="4" t="inlineStr">
        <is>
          <t>ev</t>
        </is>
      </c>
      <c r="B174" s="4" t="inlineStr">
        <is>
          <t>alex</t>
        </is>
      </c>
      <c r="C174" s="4" t="inlineStr">
        <is>
          <t>2024-10-31 23:30</t>
        </is>
      </c>
      <c r="D174" s="4" t="n">
        <v>14358.5</v>
      </c>
      <c r="E174" s="4" t="inlineStr">
        <is>
          <t>ev</t>
        </is>
      </c>
      <c r="F174" s="4" t="n">
        <v>15.256</v>
      </c>
      <c r="G174" s="4" t="n">
        <v>0.245</v>
      </c>
      <c r="H174" s="4" t="n">
        <v>3.74</v>
      </c>
      <c r="I174" s="4" t="inlineStr">
        <is>
          <t>no</t>
        </is>
      </c>
      <c r="J174" s="4" t="inlineStr">
        <is>
          <t>Home</t>
        </is>
      </c>
      <c r="K174" s="2">
        <f>IF(A174&lt;&gt;A173,"",IF(I173="no",D173,K173))</f>
        <v/>
      </c>
      <c r="L174" s="2">
        <f>IF(OR(A174&lt;&gt;A173,K174=""),"",IF(I173="no",F174,L173+F174))</f>
        <v/>
      </c>
      <c r="M174" s="2">
        <f>IF(AND(I174="no",K174&lt;&gt;""),D174-K174,"")</f>
        <v/>
      </c>
      <c r="N174" s="19">
        <f>IF(M174="","",L174/M174*100)</f>
        <v/>
      </c>
      <c r="O174" s="2">
        <f>A174&amp;"|"&amp;C174</f>
        <v/>
      </c>
    </row>
    <row r="175">
      <c r="A175" s="4" t="inlineStr">
        <is>
          <t>ev</t>
        </is>
      </c>
      <c r="B175" s="4" t="inlineStr">
        <is>
          <t>alex</t>
        </is>
      </c>
      <c r="C175" s="4" t="inlineStr">
        <is>
          <t>2024-11-03 23:38</t>
        </is>
      </c>
      <c r="D175" s="4" t="n">
        <v>14463</v>
      </c>
      <c r="E175" s="4" t="inlineStr">
        <is>
          <t>ev</t>
        </is>
      </c>
      <c r="F175" s="4" t="n">
        <v>18.065</v>
      </c>
      <c r="G175" s="4" t="n">
        <v>0.245</v>
      </c>
      <c r="H175" s="4" t="n">
        <v>4.43</v>
      </c>
      <c r="I175" s="4" t="inlineStr">
        <is>
          <t>no</t>
        </is>
      </c>
      <c r="J175" s="4" t="inlineStr">
        <is>
          <t>Home</t>
        </is>
      </c>
      <c r="K175" s="2">
        <f>IF(A175&lt;&gt;A174,"",IF(I174="no",D174,K174))</f>
        <v/>
      </c>
      <c r="L175" s="2">
        <f>IF(OR(A175&lt;&gt;A174,K175=""),"",IF(I174="no",F175,L174+F175))</f>
        <v/>
      </c>
      <c r="M175" s="2">
        <f>IF(AND(I175="no",K175&lt;&gt;""),D175-K175,"")</f>
        <v/>
      </c>
      <c r="N175" s="19">
        <f>IF(M175="","",L175/M175*100)</f>
        <v/>
      </c>
      <c r="O175" s="2">
        <f>A175&amp;"|"&amp;C175</f>
        <v/>
      </c>
    </row>
    <row r="176">
      <c r="A176" s="4" t="inlineStr">
        <is>
          <t>ev</t>
        </is>
      </c>
      <c r="B176" s="4" t="inlineStr">
        <is>
          <t>alex</t>
        </is>
      </c>
      <c r="C176" s="4" t="inlineStr">
        <is>
          <t>2024-11-06 23:46</t>
        </is>
      </c>
      <c r="D176" s="4" t="n">
        <v>14557.3</v>
      </c>
      <c r="E176" s="4" t="inlineStr">
        <is>
          <t>ev</t>
        </is>
      </c>
      <c r="F176" s="4" t="n">
        <v>17.665</v>
      </c>
      <c r="G176" s="4" t="n">
        <v>0.245</v>
      </c>
      <c r="H176" s="4" t="n">
        <v>4.33</v>
      </c>
      <c r="I176" s="4" t="inlineStr">
        <is>
          <t>no</t>
        </is>
      </c>
      <c r="J176" s="4" t="inlineStr">
        <is>
          <t>Home</t>
        </is>
      </c>
      <c r="K176" s="2">
        <f>IF(A176&lt;&gt;A175,"",IF(I175="no",D175,K175))</f>
        <v/>
      </c>
      <c r="L176" s="2">
        <f>IF(OR(A176&lt;&gt;A175,K176=""),"",IF(I175="no",F176,L175+F176))</f>
        <v/>
      </c>
      <c r="M176" s="2">
        <f>IF(AND(I176="no",K176&lt;&gt;""),D176-K176,"")</f>
        <v/>
      </c>
      <c r="N176" s="19">
        <f>IF(M176="","",L176/M176*100)</f>
        <v/>
      </c>
      <c r="O176" s="2">
        <f>A176&amp;"|"&amp;C176</f>
        <v/>
      </c>
    </row>
    <row r="177">
      <c r="A177" s="4" t="inlineStr">
        <is>
          <t>ev</t>
        </is>
      </c>
      <c r="B177" s="4" t="inlineStr">
        <is>
          <t>alex</t>
        </is>
      </c>
      <c r="C177" s="4" t="inlineStr">
        <is>
          <t>2024-11-09 23:51</t>
        </is>
      </c>
      <c r="D177" s="4" t="n">
        <v>14645.7</v>
      </c>
      <c r="E177" s="4" t="inlineStr">
        <is>
          <t>ev</t>
        </is>
      </c>
      <c r="F177" s="4" t="n">
        <v>16.272</v>
      </c>
      <c r="G177" s="4" t="n">
        <v>0.245</v>
      </c>
      <c r="H177" s="4" t="n">
        <v>3.99</v>
      </c>
      <c r="I177" s="4" t="inlineStr">
        <is>
          <t>no</t>
        </is>
      </c>
      <c r="J177" s="4" t="inlineStr">
        <is>
          <t>Home</t>
        </is>
      </c>
      <c r="K177" s="2">
        <f>IF(A177&lt;&gt;A176,"",IF(I176="no",D176,K176))</f>
        <v/>
      </c>
      <c r="L177" s="2">
        <f>IF(OR(A177&lt;&gt;A176,K177=""),"",IF(I176="no",F177,L176+F177))</f>
        <v/>
      </c>
      <c r="M177" s="2">
        <f>IF(AND(I177="no",K177&lt;&gt;""),D177-K177,"")</f>
        <v/>
      </c>
      <c r="N177" s="19">
        <f>IF(M177="","",L177/M177*100)</f>
        <v/>
      </c>
      <c r="O177" s="2">
        <f>A177&amp;"|"&amp;C177</f>
        <v/>
      </c>
    </row>
    <row r="178">
      <c r="A178" s="4" t="inlineStr">
        <is>
          <t>ev</t>
        </is>
      </c>
      <c r="B178" s="4" t="inlineStr">
        <is>
          <t>alex</t>
        </is>
      </c>
      <c r="C178" s="4" t="inlineStr">
        <is>
          <t>2024-11-12 23:57</t>
        </is>
      </c>
      <c r="D178" s="4" t="n">
        <v>14737.7</v>
      </c>
      <c r="E178" s="4" t="inlineStr">
        <is>
          <t>ev</t>
        </is>
      </c>
      <c r="F178" s="4" t="n">
        <v>16.12</v>
      </c>
      <c r="G178" s="4" t="n">
        <v>0.245</v>
      </c>
      <c r="H178" s="4" t="n">
        <v>3.95</v>
      </c>
      <c r="I178" s="4" t="inlineStr">
        <is>
          <t>no</t>
        </is>
      </c>
      <c r="J178" s="4" t="inlineStr">
        <is>
          <t>Home</t>
        </is>
      </c>
      <c r="K178" s="2">
        <f>IF(A178&lt;&gt;A177,"",IF(I177="no",D177,K177))</f>
        <v/>
      </c>
      <c r="L178" s="2">
        <f>IF(OR(A178&lt;&gt;A177,K178=""),"",IF(I177="no",F178,L177+F178))</f>
        <v/>
      </c>
      <c r="M178" s="2">
        <f>IF(AND(I178="no",K178&lt;&gt;""),D178-K178,"")</f>
        <v/>
      </c>
      <c r="N178" s="19">
        <f>IF(M178="","",L178/M178*100)</f>
        <v/>
      </c>
      <c r="O178" s="2">
        <f>A178&amp;"|"&amp;C178</f>
        <v/>
      </c>
    </row>
    <row r="179">
      <c r="A179" s="4" t="inlineStr">
        <is>
          <t>ev</t>
        </is>
      </c>
      <c r="B179" s="4" t="inlineStr">
        <is>
          <t>alex</t>
        </is>
      </c>
      <c r="C179" s="4" t="inlineStr">
        <is>
          <t>2024-11-14 23:48</t>
        </is>
      </c>
      <c r="D179" s="4" t="n">
        <v>14822.9</v>
      </c>
      <c r="E179" s="4" t="inlineStr">
        <is>
          <t>ev</t>
        </is>
      </c>
      <c r="F179" s="4" t="n">
        <v>15.416</v>
      </c>
      <c r="G179" s="4" t="n">
        <v>0.245</v>
      </c>
      <c r="H179" s="4" t="n">
        <v>3.78</v>
      </c>
      <c r="I179" s="4" t="inlineStr">
        <is>
          <t>no</t>
        </is>
      </c>
      <c r="J179" s="4" t="inlineStr">
        <is>
          <t>Home</t>
        </is>
      </c>
      <c r="K179" s="2">
        <f>IF(A179&lt;&gt;A178,"",IF(I178="no",D178,K178))</f>
        <v/>
      </c>
      <c r="L179" s="2">
        <f>IF(OR(A179&lt;&gt;A178,K179=""),"",IF(I178="no",F179,L178+F179))</f>
        <v/>
      </c>
      <c r="M179" s="2">
        <f>IF(AND(I179="no",K179&lt;&gt;""),D179-K179,"")</f>
        <v/>
      </c>
      <c r="N179" s="19">
        <f>IF(M179="","",L179/M179*100)</f>
        <v/>
      </c>
      <c r="O179" s="2">
        <f>A179&amp;"|"&amp;C179</f>
        <v/>
      </c>
    </row>
    <row r="180">
      <c r="A180" s="4" t="inlineStr">
        <is>
          <t>ev</t>
        </is>
      </c>
      <c r="B180" s="4" t="inlineStr">
        <is>
          <t>alex</t>
        </is>
      </c>
      <c r="C180" s="4" t="inlineStr">
        <is>
          <t>2024-11-17 14:26</t>
        </is>
      </c>
      <c r="D180" s="4" t="n">
        <v>14912.2</v>
      </c>
      <c r="E180" s="4" t="inlineStr">
        <is>
          <t>ev</t>
        </is>
      </c>
      <c r="F180" s="4" t="n">
        <v>19.526</v>
      </c>
      <c r="G180" s="4" t="n">
        <v>0.79</v>
      </c>
      <c r="H180" s="4" t="n">
        <v>15.43</v>
      </c>
      <c r="I180" s="4" t="inlineStr">
        <is>
          <t>yes</t>
        </is>
      </c>
      <c r="J180" s="4" t="inlineStr">
        <is>
          <t>Ionity Woodall (DC)</t>
        </is>
      </c>
      <c r="K180" s="2">
        <f>IF(A180&lt;&gt;A179,"",IF(I179="no",D179,K179))</f>
        <v/>
      </c>
      <c r="L180" s="2">
        <f>IF(OR(A180&lt;&gt;A179,K180=""),"",IF(I179="no",F180,L179+F180))</f>
        <v/>
      </c>
      <c r="M180" s="2">
        <f>IF(AND(I180="no",K180&lt;&gt;""),D180-K180,"")</f>
        <v/>
      </c>
      <c r="N180" s="19">
        <f>IF(M180="","",L180/M180*100)</f>
        <v/>
      </c>
      <c r="O180" s="2">
        <f>A180&amp;"|"&amp;C180</f>
        <v/>
      </c>
    </row>
    <row r="181">
      <c r="A181" s="4" t="inlineStr">
        <is>
          <t>ev</t>
        </is>
      </c>
      <c r="B181" s="4" t="inlineStr">
        <is>
          <t>alex</t>
        </is>
      </c>
      <c r="C181" s="4" t="inlineStr">
        <is>
          <t>2024-11-20 23:58</t>
        </is>
      </c>
      <c r="D181" s="4" t="n">
        <v>15028.1</v>
      </c>
      <c r="E181" s="4" t="inlineStr">
        <is>
          <t>ev</t>
        </is>
      </c>
      <c r="F181" s="4" t="n">
        <v>19.1</v>
      </c>
      <c r="G181" s="4" t="n">
        <v>0.245</v>
      </c>
      <c r="H181" s="4" t="n">
        <v>4.68</v>
      </c>
      <c r="I181" s="4" t="inlineStr">
        <is>
          <t>no</t>
        </is>
      </c>
      <c r="J181" s="4" t="inlineStr">
        <is>
          <t>Home</t>
        </is>
      </c>
      <c r="K181" s="2">
        <f>IF(A181&lt;&gt;A180,"",IF(I180="no",D180,K180))</f>
        <v/>
      </c>
      <c r="L181" s="2">
        <f>IF(OR(A181&lt;&gt;A180,K181=""),"",IF(I180="no",F181,L180+F181))</f>
        <v/>
      </c>
      <c r="M181" s="2">
        <f>IF(AND(I181="no",K181&lt;&gt;""),D181-K181,"")</f>
        <v/>
      </c>
      <c r="N181" s="19">
        <f>IF(M181="","",L181/M181*100)</f>
        <v/>
      </c>
      <c r="O181" s="2">
        <f>A181&amp;"|"&amp;C181</f>
        <v/>
      </c>
    </row>
    <row r="182">
      <c r="A182" s="4" t="inlineStr">
        <is>
          <t>ev</t>
        </is>
      </c>
      <c r="B182" s="4" t="inlineStr">
        <is>
          <t>alex</t>
        </is>
      </c>
      <c r="C182" s="4" t="inlineStr">
        <is>
          <t>2024-11-21 23:40</t>
        </is>
      </c>
      <c r="D182" s="4" t="n">
        <v>15075.5</v>
      </c>
      <c r="E182" s="4" t="inlineStr">
        <is>
          <t>ev</t>
        </is>
      </c>
      <c r="F182" s="4" t="n">
        <v>9.305</v>
      </c>
      <c r="G182" s="4" t="n">
        <v>0.245</v>
      </c>
      <c r="H182" s="4" t="n">
        <v>2.28</v>
      </c>
      <c r="I182" s="4" t="inlineStr">
        <is>
          <t>no</t>
        </is>
      </c>
      <c r="J182" s="4" t="inlineStr">
        <is>
          <t>Home</t>
        </is>
      </c>
      <c r="K182" s="2">
        <f>IF(A182&lt;&gt;A181,"",IF(I181="no",D181,K181))</f>
        <v/>
      </c>
      <c r="L182" s="2">
        <f>IF(OR(A182&lt;&gt;A181,K182=""),"",IF(I181="no",F182,L181+F182))</f>
        <v/>
      </c>
      <c r="M182" s="2">
        <f>IF(AND(I182="no",K182&lt;&gt;""),D182-K182,"")</f>
        <v/>
      </c>
      <c r="N182" s="19">
        <f>IF(M182="","",L182/M182*100)</f>
        <v/>
      </c>
      <c r="O182" s="2">
        <f>A182&amp;"|"&amp;C182</f>
        <v/>
      </c>
    </row>
    <row r="183">
      <c r="A183" s="4" t="inlineStr">
        <is>
          <t>ev</t>
        </is>
      </c>
      <c r="B183" s="4" t="inlineStr">
        <is>
          <t>alex</t>
        </is>
      </c>
      <c r="C183" s="4" t="inlineStr">
        <is>
          <t>2024-11-24 23:33</t>
        </is>
      </c>
      <c r="D183" s="4" t="n">
        <v>15157.8</v>
      </c>
      <c r="E183" s="4" t="inlineStr">
        <is>
          <t>ev</t>
        </is>
      </c>
      <c r="F183" s="4" t="n">
        <v>15.428</v>
      </c>
      <c r="G183" s="4" t="n">
        <v>0.245</v>
      </c>
      <c r="H183" s="4" t="n">
        <v>3.78</v>
      </c>
      <c r="I183" s="4" t="inlineStr">
        <is>
          <t>no</t>
        </is>
      </c>
      <c r="J183" s="4" t="inlineStr">
        <is>
          <t>Home</t>
        </is>
      </c>
      <c r="K183" s="2">
        <f>IF(A183&lt;&gt;A182,"",IF(I182="no",D182,K182))</f>
        <v/>
      </c>
      <c r="L183" s="2">
        <f>IF(OR(A183&lt;&gt;A182,K183=""),"",IF(I182="no",F183,L182+F183))</f>
        <v/>
      </c>
      <c r="M183" s="2">
        <f>IF(AND(I183="no",K183&lt;&gt;""),D183-K183,"")</f>
        <v/>
      </c>
      <c r="N183" s="19">
        <f>IF(M183="","",L183/M183*100)</f>
        <v/>
      </c>
      <c r="O183" s="2">
        <f>A183&amp;"|"&amp;C183</f>
        <v/>
      </c>
    </row>
    <row r="184">
      <c r="A184" s="4" t="inlineStr">
        <is>
          <t>ev</t>
        </is>
      </c>
      <c r="B184" s="4" t="inlineStr">
        <is>
          <t>alex</t>
        </is>
      </c>
      <c r="C184" s="4" t="inlineStr">
        <is>
          <t>2024-11-28 23:42</t>
        </is>
      </c>
      <c r="D184" s="4" t="n">
        <v>15265.6</v>
      </c>
      <c r="E184" s="4" t="inlineStr">
        <is>
          <t>ev</t>
        </is>
      </c>
      <c r="F184" s="4" t="n">
        <v>19.337</v>
      </c>
      <c r="G184" s="4" t="n">
        <v>0.245</v>
      </c>
      <c r="H184" s="4" t="n">
        <v>4.74</v>
      </c>
      <c r="I184" s="4" t="inlineStr">
        <is>
          <t>no</t>
        </is>
      </c>
      <c r="J184" s="4" t="inlineStr">
        <is>
          <t>Home</t>
        </is>
      </c>
      <c r="K184" s="2">
        <f>IF(A184&lt;&gt;A183,"",IF(I183="no",D183,K183))</f>
        <v/>
      </c>
      <c r="L184" s="2">
        <f>IF(OR(A184&lt;&gt;A183,K184=""),"",IF(I183="no",F184,L183+F184))</f>
        <v/>
      </c>
      <c r="M184" s="2">
        <f>IF(AND(I184="no",K184&lt;&gt;""),D184-K184,"")</f>
        <v/>
      </c>
      <c r="N184" s="19">
        <f>IF(M184="","",L184/M184*100)</f>
        <v/>
      </c>
      <c r="O184" s="2">
        <f>A184&amp;"|"&amp;C184</f>
        <v/>
      </c>
    </row>
    <row r="185">
      <c r="A185" s="4" t="inlineStr">
        <is>
          <t>ev</t>
        </is>
      </c>
      <c r="B185" s="4" t="inlineStr">
        <is>
          <t>alex</t>
        </is>
      </c>
      <c r="C185" s="4" t="inlineStr">
        <is>
          <t>2024-12-01 23:57</t>
        </is>
      </c>
      <c r="D185" s="4" t="n">
        <v>15319.7</v>
      </c>
      <c r="E185" s="4" t="inlineStr">
        <is>
          <t>ev</t>
        </is>
      </c>
      <c r="F185" s="4" t="n">
        <v>9.468</v>
      </c>
      <c r="G185" s="4" t="n">
        <v>0.245</v>
      </c>
      <c r="H185" s="4" t="n">
        <v>2.32</v>
      </c>
      <c r="I185" s="4" t="inlineStr">
        <is>
          <t>no</t>
        </is>
      </c>
      <c r="J185" s="4" t="inlineStr">
        <is>
          <t>Home</t>
        </is>
      </c>
      <c r="K185" s="2">
        <f>IF(A185&lt;&gt;A184,"",IF(I184="no",D184,K184))</f>
        <v/>
      </c>
      <c r="L185" s="2">
        <f>IF(OR(A185&lt;&gt;A184,K185=""),"",IF(I184="no",F185,L184+F185))</f>
        <v/>
      </c>
      <c r="M185" s="2">
        <f>IF(AND(I185="no",K185&lt;&gt;""),D185-K185,"")</f>
        <v/>
      </c>
      <c r="N185" s="19">
        <f>IF(M185="","",L185/M185*100)</f>
        <v/>
      </c>
      <c r="O185" s="2">
        <f>A185&amp;"|"&amp;C185</f>
        <v/>
      </c>
    </row>
    <row r="186">
      <c r="A186" s="4" t="inlineStr">
        <is>
          <t>ev</t>
        </is>
      </c>
      <c r="B186" s="4" t="inlineStr">
        <is>
          <t>alex</t>
        </is>
      </c>
      <c r="C186" s="4" t="inlineStr">
        <is>
          <t>2024-12-04 23:43</t>
        </is>
      </c>
      <c r="D186" s="4" t="n">
        <v>15396.5</v>
      </c>
      <c r="E186" s="4" t="inlineStr">
        <is>
          <t>ev</t>
        </is>
      </c>
      <c r="F186" s="4" t="n">
        <v>13.208</v>
      </c>
      <c r="G186" s="4" t="n">
        <v>0.245</v>
      </c>
      <c r="H186" s="4" t="n">
        <v>3.24</v>
      </c>
      <c r="I186" s="4" t="inlineStr">
        <is>
          <t>no</t>
        </is>
      </c>
      <c r="J186" s="4" t="inlineStr">
        <is>
          <t>Home</t>
        </is>
      </c>
      <c r="K186" s="2">
        <f>IF(A186&lt;&gt;A185,"",IF(I185="no",D185,K185))</f>
        <v/>
      </c>
      <c r="L186" s="2">
        <f>IF(OR(A186&lt;&gt;A185,K186=""),"",IF(I185="no",F186,L185+F186))</f>
        <v/>
      </c>
      <c r="M186" s="2">
        <f>IF(AND(I186="no",K186&lt;&gt;""),D186-K186,"")</f>
        <v/>
      </c>
      <c r="N186" s="19">
        <f>IF(M186="","",L186/M186*100)</f>
        <v/>
      </c>
      <c r="O186" s="2">
        <f>A186&amp;"|"&amp;C186</f>
        <v/>
      </c>
    </row>
    <row r="187">
      <c r="A187" s="4" t="inlineStr">
        <is>
          <t>ev</t>
        </is>
      </c>
      <c r="B187" s="4" t="inlineStr">
        <is>
          <t>alex</t>
        </is>
      </c>
      <c r="C187" s="4" t="inlineStr">
        <is>
          <t>2024-12-08 23:33</t>
        </is>
      </c>
      <c r="D187" s="4" t="n">
        <v>15485.3</v>
      </c>
      <c r="E187" s="4" t="inlineStr">
        <is>
          <t>ev</t>
        </is>
      </c>
      <c r="F187" s="4" t="n">
        <v>16.329</v>
      </c>
      <c r="G187" s="4" t="n">
        <v>0.245</v>
      </c>
      <c r="H187" s="4" t="n">
        <v>4</v>
      </c>
      <c r="I187" s="4" t="inlineStr">
        <is>
          <t>no</t>
        </is>
      </c>
      <c r="J187" s="4" t="inlineStr">
        <is>
          <t>Home</t>
        </is>
      </c>
      <c r="K187" s="2">
        <f>IF(A187&lt;&gt;A186,"",IF(I186="no",D186,K186))</f>
        <v/>
      </c>
      <c r="L187" s="2">
        <f>IF(OR(A187&lt;&gt;A186,K187=""),"",IF(I186="no",F187,L186+F187))</f>
        <v/>
      </c>
      <c r="M187" s="2">
        <f>IF(AND(I187="no",K187&lt;&gt;""),D187-K187,"")</f>
        <v/>
      </c>
      <c r="N187" s="19">
        <f>IF(M187="","",L187/M187*100)</f>
        <v/>
      </c>
      <c r="O187" s="2">
        <f>A187&amp;"|"&amp;C187</f>
        <v/>
      </c>
    </row>
    <row r="188">
      <c r="A188" s="4" t="inlineStr">
        <is>
          <t>ev</t>
        </is>
      </c>
      <c r="B188" s="4" t="inlineStr">
        <is>
          <t>alex</t>
        </is>
      </c>
      <c r="C188" s="4" t="inlineStr">
        <is>
          <t>2024-12-11 16:27</t>
        </is>
      </c>
      <c r="D188" s="4" t="n">
        <v>15551.6</v>
      </c>
      <c r="E188" s="4" t="inlineStr">
        <is>
          <t>ev</t>
        </is>
      </c>
      <c r="F188" s="4" t="n">
        <v>25.037</v>
      </c>
      <c r="G188" s="4" t="n">
        <v>0.79</v>
      </c>
      <c r="H188" s="4" t="n">
        <v>19.78</v>
      </c>
      <c r="I188" s="4" t="inlineStr">
        <is>
          <t>yes</t>
        </is>
      </c>
      <c r="J188" s="4" t="inlineStr">
        <is>
          <t>Ionity Woodall (DC)</t>
        </is>
      </c>
      <c r="K188" s="2">
        <f>IF(A188&lt;&gt;A187,"",IF(I187="no",D187,K187))</f>
        <v/>
      </c>
      <c r="L188" s="2">
        <f>IF(OR(A188&lt;&gt;A187,K188=""),"",IF(I187="no",F188,L187+F188))</f>
        <v/>
      </c>
      <c r="M188" s="2">
        <f>IF(AND(I188="no",K188&lt;&gt;""),D188-K188,"")</f>
        <v/>
      </c>
      <c r="N188" s="19">
        <f>IF(M188="","",L188/M188*100)</f>
        <v/>
      </c>
      <c r="O188" s="2">
        <f>A188&amp;"|"&amp;C188</f>
        <v/>
      </c>
    </row>
    <row r="189">
      <c r="A189" s="4" t="inlineStr">
        <is>
          <t>ev</t>
        </is>
      </c>
      <c r="B189" s="4" t="inlineStr">
        <is>
          <t>alex</t>
        </is>
      </c>
      <c r="C189" s="4" t="inlineStr">
        <is>
          <t>2024-12-13 23:53</t>
        </is>
      </c>
      <c r="D189" s="4" t="n">
        <v>15656.4</v>
      </c>
      <c r="E189" s="4" t="inlineStr">
        <is>
          <t>ev</t>
        </is>
      </c>
      <c r="F189" s="4" t="n">
        <v>17.156</v>
      </c>
      <c r="G189" s="4" t="n">
        <v>0.245</v>
      </c>
      <c r="H189" s="4" t="n">
        <v>4.2</v>
      </c>
      <c r="I189" s="4" t="inlineStr">
        <is>
          <t>no</t>
        </is>
      </c>
      <c r="J189" s="4" t="inlineStr">
        <is>
          <t>Home</t>
        </is>
      </c>
      <c r="K189" s="2">
        <f>IF(A189&lt;&gt;A188,"",IF(I188="no",D188,K188))</f>
        <v/>
      </c>
      <c r="L189" s="2">
        <f>IF(OR(A189&lt;&gt;A188,K189=""),"",IF(I188="no",F189,L188+F189))</f>
        <v/>
      </c>
      <c r="M189" s="2">
        <f>IF(AND(I189="no",K189&lt;&gt;""),D189-K189,"")</f>
        <v/>
      </c>
      <c r="N189" s="19">
        <f>IF(M189="","",L189/M189*100)</f>
        <v/>
      </c>
      <c r="O189" s="2">
        <f>A189&amp;"|"&amp;C189</f>
        <v/>
      </c>
    </row>
    <row r="190">
      <c r="A190" s="4" t="inlineStr">
        <is>
          <t>ev</t>
        </is>
      </c>
      <c r="B190" s="4" t="inlineStr">
        <is>
          <t>alex</t>
        </is>
      </c>
      <c r="C190" s="4" t="inlineStr">
        <is>
          <t>2024-12-14 14:32</t>
        </is>
      </c>
      <c r="D190" s="4" t="n">
        <v>15681.2</v>
      </c>
      <c r="E190" s="4" t="inlineStr">
        <is>
          <t>ev</t>
        </is>
      </c>
      <c r="F190" s="4" t="n">
        <v>6.564</v>
      </c>
      <c r="G190" s="4" t="n">
        <v>0.52</v>
      </c>
      <c r="H190" s="4" t="n">
        <v>3.41</v>
      </c>
      <c r="I190" s="4" t="inlineStr">
        <is>
          <t>yes</t>
        </is>
      </c>
      <c r="J190" s="4" t="inlineStr">
        <is>
          <t>Leeds Council car park (AC)</t>
        </is>
      </c>
      <c r="K190" s="2">
        <f>IF(A190&lt;&gt;A189,"",IF(I189="no",D189,K189))</f>
        <v/>
      </c>
      <c r="L190" s="2">
        <f>IF(OR(A190&lt;&gt;A189,K190=""),"",IF(I189="no",F190,L189+F190))</f>
        <v/>
      </c>
      <c r="M190" s="2">
        <f>IF(AND(I190="no",K190&lt;&gt;""),D190-K190,"")</f>
        <v/>
      </c>
      <c r="N190" s="19">
        <f>IF(M190="","",L190/M190*100)</f>
        <v/>
      </c>
      <c r="O190" s="2">
        <f>A190&amp;"|"&amp;C190</f>
        <v/>
      </c>
    </row>
    <row r="191">
      <c r="A191" s="4" t="inlineStr">
        <is>
          <t>ev</t>
        </is>
      </c>
      <c r="B191" s="4" t="inlineStr">
        <is>
          <t>alex</t>
        </is>
      </c>
      <c r="C191" s="4" t="inlineStr">
        <is>
          <t>2024-12-18 23:58</t>
        </is>
      </c>
      <c r="D191" s="4" t="n">
        <v>15796.1</v>
      </c>
      <c r="E191" s="4" t="inlineStr">
        <is>
          <t>ev</t>
        </is>
      </c>
      <c r="F191" s="4" t="n">
        <v>16.554</v>
      </c>
      <c r="G191" s="4" t="n">
        <v>0.245</v>
      </c>
      <c r="H191" s="4" t="n">
        <v>4.06</v>
      </c>
      <c r="I191" s="4" t="inlineStr">
        <is>
          <t>no</t>
        </is>
      </c>
      <c r="J191" s="4" t="inlineStr">
        <is>
          <t>Home</t>
        </is>
      </c>
      <c r="K191" s="2">
        <f>IF(A191&lt;&gt;A190,"",IF(I190="no",D190,K190))</f>
        <v/>
      </c>
      <c r="L191" s="2">
        <f>IF(OR(A191&lt;&gt;A190,K191=""),"",IF(I190="no",F191,L190+F191))</f>
        <v/>
      </c>
      <c r="M191" s="2">
        <f>IF(AND(I191="no",K191&lt;&gt;""),D191-K191,"")</f>
        <v/>
      </c>
      <c r="N191" s="19">
        <f>IF(M191="","",L191/M191*100)</f>
        <v/>
      </c>
      <c r="O191" s="2">
        <f>A191&amp;"|"&amp;C191</f>
        <v/>
      </c>
    </row>
    <row r="192">
      <c r="A192" s="4" t="inlineStr">
        <is>
          <t>ev</t>
        </is>
      </c>
      <c r="B192" s="4" t="inlineStr">
        <is>
          <t>alex</t>
        </is>
      </c>
      <c r="C192" s="4" t="inlineStr">
        <is>
          <t>2024-12-21 23:53</t>
        </is>
      </c>
      <c r="D192" s="4" t="n">
        <v>15883.4</v>
      </c>
      <c r="E192" s="4" t="inlineStr">
        <is>
          <t>ev</t>
        </is>
      </c>
      <c r="F192" s="4" t="n">
        <v>15.895</v>
      </c>
      <c r="G192" s="4" t="n">
        <v>0.245</v>
      </c>
      <c r="H192" s="4" t="n">
        <v>3.89</v>
      </c>
      <c r="I192" s="4" t="inlineStr">
        <is>
          <t>no</t>
        </is>
      </c>
      <c r="J192" s="4" t="inlineStr">
        <is>
          <t>Home</t>
        </is>
      </c>
      <c r="K192" s="2">
        <f>IF(A192&lt;&gt;A191,"",IF(I191="no",D191,K191))</f>
        <v/>
      </c>
      <c r="L192" s="2">
        <f>IF(OR(A192&lt;&gt;A191,K192=""),"",IF(I191="no",F192,L191+F192))</f>
        <v/>
      </c>
      <c r="M192" s="2">
        <f>IF(AND(I192="no",K192&lt;&gt;""),D192-K192,"")</f>
        <v/>
      </c>
      <c r="N192" s="19">
        <f>IF(M192="","",L192/M192*100)</f>
        <v/>
      </c>
      <c r="O192" s="2">
        <f>A192&amp;"|"&amp;C192</f>
        <v/>
      </c>
    </row>
    <row r="193">
      <c r="A193" s="4" t="inlineStr">
        <is>
          <t>ev</t>
        </is>
      </c>
      <c r="B193" s="4" t="inlineStr">
        <is>
          <t>alex</t>
        </is>
      </c>
      <c r="C193" s="4" t="inlineStr">
        <is>
          <t>2024-12-24 23:42</t>
        </is>
      </c>
      <c r="D193" s="4" t="n">
        <v>15991.8</v>
      </c>
      <c r="E193" s="4" t="inlineStr">
        <is>
          <t>ev</t>
        </is>
      </c>
      <c r="F193" s="4" t="n">
        <v>19.968</v>
      </c>
      <c r="G193" s="4" t="n">
        <v>0.245</v>
      </c>
      <c r="H193" s="4" t="n">
        <v>4.89</v>
      </c>
      <c r="I193" s="4" t="inlineStr">
        <is>
          <t>no</t>
        </is>
      </c>
      <c r="J193" s="4" t="inlineStr">
        <is>
          <t>Home</t>
        </is>
      </c>
      <c r="K193" s="2">
        <f>IF(A193&lt;&gt;A192,"",IF(I192="no",D192,K192))</f>
        <v/>
      </c>
      <c r="L193" s="2">
        <f>IF(OR(A193&lt;&gt;A192,K193=""),"",IF(I192="no",F193,L192+F193))</f>
        <v/>
      </c>
      <c r="M193" s="2">
        <f>IF(AND(I193="no",K193&lt;&gt;""),D193-K193,"")</f>
        <v/>
      </c>
      <c r="N193" s="19">
        <f>IF(M193="","",L193/M193*100)</f>
        <v/>
      </c>
      <c r="O193" s="2">
        <f>A193&amp;"|"&amp;C193</f>
        <v/>
      </c>
    </row>
    <row r="194">
      <c r="A194" s="4" t="inlineStr">
        <is>
          <t>ev</t>
        </is>
      </c>
      <c r="B194" s="4" t="inlineStr">
        <is>
          <t>alex</t>
        </is>
      </c>
      <c r="C194" s="4" t="inlineStr">
        <is>
          <t>2024-12-28 14:46</t>
        </is>
      </c>
      <c r="D194" s="4" t="n">
        <v>16083.6</v>
      </c>
      <c r="E194" s="4" t="inlineStr">
        <is>
          <t>ev</t>
        </is>
      </c>
      <c r="F194" s="4" t="n">
        <v>22.769</v>
      </c>
      <c r="G194" s="4" t="n">
        <v>0.79</v>
      </c>
      <c r="H194" s="4" t="n">
        <v>17.99</v>
      </c>
      <c r="I194" s="4" t="inlineStr">
        <is>
          <t>yes</t>
        </is>
      </c>
      <c r="J194" s="4" t="inlineStr">
        <is>
          <t>Ionity Woodall (DC)</t>
        </is>
      </c>
      <c r="K194" s="2">
        <f>IF(A194&lt;&gt;A193,"",IF(I193="no",D193,K193))</f>
        <v/>
      </c>
      <c r="L194" s="2">
        <f>IF(OR(A194&lt;&gt;A193,K194=""),"",IF(I193="no",F194,L193+F194))</f>
        <v/>
      </c>
      <c r="M194" s="2">
        <f>IF(AND(I194="no",K194&lt;&gt;""),D194-K194,"")</f>
        <v/>
      </c>
      <c r="N194" s="19">
        <f>IF(M194="","",L194/M194*100)</f>
        <v/>
      </c>
      <c r="O194" s="2">
        <f>A194&amp;"|"&amp;C194</f>
        <v/>
      </c>
    </row>
    <row r="195">
      <c r="A195" s="4" t="inlineStr">
        <is>
          <t>ev</t>
        </is>
      </c>
      <c r="B195" s="4" t="inlineStr">
        <is>
          <t>alex</t>
        </is>
      </c>
      <c r="C195" s="4" t="inlineStr">
        <is>
          <t>2024-12-31 12:02</t>
        </is>
      </c>
      <c r="D195" s="4" t="n">
        <v>16132.2</v>
      </c>
      <c r="E195" s="4" t="inlineStr">
        <is>
          <t>ev</t>
        </is>
      </c>
      <c r="F195" s="4" t="n">
        <v>8.586</v>
      </c>
      <c r="G195" s="4" t="n">
        <v>0.52</v>
      </c>
      <c r="H195" s="4" t="n">
        <v>4.46</v>
      </c>
      <c r="I195" s="4" t="inlineStr">
        <is>
          <t>yes</t>
        </is>
      </c>
      <c r="J195" s="4" t="inlineStr">
        <is>
          <t>Leeds Council car park (AC)</t>
        </is>
      </c>
      <c r="K195" s="2">
        <f>IF(A195&lt;&gt;A194,"",IF(I194="no",D194,K194))</f>
        <v/>
      </c>
      <c r="L195" s="2">
        <f>IF(OR(A195&lt;&gt;A194,K195=""),"",IF(I194="no",F195,L194+F195))</f>
        <v/>
      </c>
      <c r="M195" s="2">
        <f>IF(AND(I195="no",K195&lt;&gt;""),D195-K195,"")</f>
        <v/>
      </c>
      <c r="N195" s="19">
        <f>IF(M195="","",L195/M195*100)</f>
        <v/>
      </c>
      <c r="O195" s="2">
        <f>A195&amp;"|"&amp;C195</f>
        <v/>
      </c>
    </row>
    <row r="196">
      <c r="A196" s="4" t="inlineStr">
        <is>
          <t>ev</t>
        </is>
      </c>
      <c r="B196" s="4" t="inlineStr">
        <is>
          <t>alex</t>
        </is>
      </c>
      <c r="C196" s="4" t="inlineStr">
        <is>
          <t>2025-01-05 23:33</t>
        </is>
      </c>
      <c r="D196" s="4" t="n">
        <v>16244.3</v>
      </c>
      <c r="E196" s="4" t="inlineStr">
        <is>
          <t>ev</t>
        </is>
      </c>
      <c r="F196" s="4" t="n">
        <v>17.795</v>
      </c>
      <c r="G196" s="4" t="n">
        <v>0.245</v>
      </c>
      <c r="H196" s="4" t="n">
        <v>4.36</v>
      </c>
      <c r="I196" s="4" t="inlineStr">
        <is>
          <t>no</t>
        </is>
      </c>
      <c r="J196" s="4" t="inlineStr">
        <is>
          <t>Home</t>
        </is>
      </c>
      <c r="K196" s="2">
        <f>IF(A196&lt;&gt;A195,"",IF(I195="no",D195,K195))</f>
        <v/>
      </c>
      <c r="L196" s="2">
        <f>IF(OR(A196&lt;&gt;A195,K196=""),"",IF(I195="no",F196,L195+F196))</f>
        <v/>
      </c>
      <c r="M196" s="2">
        <f>IF(AND(I196="no",K196&lt;&gt;""),D196-K196,"")</f>
        <v/>
      </c>
      <c r="N196" s="19">
        <f>IF(M196="","",L196/M196*100)</f>
        <v/>
      </c>
      <c r="O196" s="2">
        <f>A196&amp;"|"&amp;C196</f>
        <v/>
      </c>
    </row>
    <row r="197">
      <c r="A197" s="4" t="inlineStr">
        <is>
          <t>ev</t>
        </is>
      </c>
      <c r="B197" s="4" t="inlineStr">
        <is>
          <t>alex</t>
        </is>
      </c>
      <c r="C197" s="4" t="inlineStr">
        <is>
          <t>2025-01-09 23:35</t>
        </is>
      </c>
      <c r="D197" s="4" t="n">
        <v>16345.1</v>
      </c>
      <c r="E197" s="4" t="inlineStr">
        <is>
          <t>ev</t>
        </is>
      </c>
      <c r="F197" s="4" t="n">
        <v>17.946</v>
      </c>
      <c r="G197" s="4" t="n">
        <v>0.245</v>
      </c>
      <c r="H197" s="4" t="n">
        <v>4.4</v>
      </c>
      <c r="I197" s="4" t="inlineStr">
        <is>
          <t>no</t>
        </is>
      </c>
      <c r="J197" s="4" t="inlineStr">
        <is>
          <t>Home</t>
        </is>
      </c>
      <c r="K197" s="2">
        <f>IF(A197&lt;&gt;A196,"",IF(I196="no",D196,K196))</f>
        <v/>
      </c>
      <c r="L197" s="2">
        <f>IF(OR(A197&lt;&gt;A196,K197=""),"",IF(I196="no",F197,L196+F197))</f>
        <v/>
      </c>
      <c r="M197" s="2">
        <f>IF(AND(I197="no",K197&lt;&gt;""),D197-K197,"")</f>
        <v/>
      </c>
      <c r="N197" s="19">
        <f>IF(M197="","",L197/M197*100)</f>
        <v/>
      </c>
      <c r="O197" s="2">
        <f>A197&amp;"|"&amp;C197</f>
        <v/>
      </c>
    </row>
    <row r="198">
      <c r="A198" s="4" t="inlineStr">
        <is>
          <t>ev</t>
        </is>
      </c>
      <c r="B198" s="4" t="inlineStr">
        <is>
          <t>alex</t>
        </is>
      </c>
      <c r="C198" s="4" t="inlineStr">
        <is>
          <t>2025-01-10 23:42</t>
        </is>
      </c>
      <c r="D198" s="4" t="n">
        <v>16390.8</v>
      </c>
      <c r="E198" s="4" t="inlineStr">
        <is>
          <t>ev</t>
        </is>
      </c>
      <c r="F198" s="4" t="n">
        <v>8.096</v>
      </c>
      <c r="G198" s="4" t="n">
        <v>0.245</v>
      </c>
      <c r="H198" s="4" t="n">
        <v>1.98</v>
      </c>
      <c r="I198" s="4" t="inlineStr">
        <is>
          <t>no</t>
        </is>
      </c>
      <c r="J198" s="4" t="inlineStr">
        <is>
          <t>Home</t>
        </is>
      </c>
      <c r="K198" s="2">
        <f>IF(A198&lt;&gt;A197,"",IF(I197="no",D197,K197))</f>
        <v/>
      </c>
      <c r="L198" s="2">
        <f>IF(OR(A198&lt;&gt;A197,K198=""),"",IF(I197="no",F198,L197+F198))</f>
        <v/>
      </c>
      <c r="M198" s="2">
        <f>IF(AND(I198="no",K198&lt;&gt;""),D198-K198,"")</f>
        <v/>
      </c>
      <c r="N198" s="19">
        <f>IF(M198="","",L198/M198*100)</f>
        <v/>
      </c>
      <c r="O198" s="2">
        <f>A198&amp;"|"&amp;C198</f>
        <v/>
      </c>
    </row>
    <row r="199">
      <c r="A199" s="4" t="inlineStr">
        <is>
          <t>ev</t>
        </is>
      </c>
      <c r="B199" s="4" t="inlineStr">
        <is>
          <t>alex</t>
        </is>
      </c>
      <c r="C199" s="4" t="inlineStr">
        <is>
          <t>2025-01-13 23:56</t>
        </is>
      </c>
      <c r="D199" s="4" t="n">
        <v>16504.6</v>
      </c>
      <c r="E199" s="4" t="inlineStr">
        <is>
          <t>ev</t>
        </is>
      </c>
      <c r="F199" s="4" t="n">
        <v>18.792</v>
      </c>
      <c r="G199" s="4" t="n">
        <v>0.245</v>
      </c>
      <c r="H199" s="4" t="n">
        <v>4.6</v>
      </c>
      <c r="I199" s="4" t="inlineStr">
        <is>
          <t>no</t>
        </is>
      </c>
      <c r="J199" s="4" t="inlineStr">
        <is>
          <t>Home</t>
        </is>
      </c>
      <c r="K199" s="2">
        <f>IF(A199&lt;&gt;A198,"",IF(I198="no",D198,K198))</f>
        <v/>
      </c>
      <c r="L199" s="2">
        <f>IF(OR(A199&lt;&gt;A198,K199=""),"",IF(I198="no",F199,L198+F199))</f>
        <v/>
      </c>
      <c r="M199" s="2">
        <f>IF(AND(I199="no",K199&lt;&gt;""),D199-K199,"")</f>
        <v/>
      </c>
      <c r="N199" s="19">
        <f>IF(M199="","",L199/M199*100)</f>
        <v/>
      </c>
      <c r="O199" s="2">
        <f>A199&amp;"|"&amp;C199</f>
        <v/>
      </c>
    </row>
    <row r="200">
      <c r="A200" s="4" t="inlineStr">
        <is>
          <t>ev</t>
        </is>
      </c>
      <c r="B200" s="4" t="inlineStr">
        <is>
          <t>alex</t>
        </is>
      </c>
      <c r="C200" s="4" t="inlineStr">
        <is>
          <t>2025-01-15 23:57</t>
        </is>
      </c>
      <c r="D200" s="4" t="n">
        <v>16550.3</v>
      </c>
      <c r="E200" s="4" t="inlineStr">
        <is>
          <t>ev</t>
        </is>
      </c>
      <c r="F200" s="4" t="n">
        <v>8.516</v>
      </c>
      <c r="G200" s="4" t="n">
        <v>0.245</v>
      </c>
      <c r="H200" s="4" t="n">
        <v>2.09</v>
      </c>
      <c r="I200" s="4" t="inlineStr">
        <is>
          <t>no</t>
        </is>
      </c>
      <c r="J200" s="4" t="inlineStr">
        <is>
          <t>Home</t>
        </is>
      </c>
      <c r="K200" s="2">
        <f>IF(A200&lt;&gt;A199,"",IF(I199="no",D199,K199))</f>
        <v/>
      </c>
      <c r="L200" s="2">
        <f>IF(OR(A200&lt;&gt;A199,K200=""),"",IF(I199="no",F200,L199+F200))</f>
        <v/>
      </c>
      <c r="M200" s="2">
        <f>IF(AND(I200="no",K200&lt;&gt;""),D200-K200,"")</f>
        <v/>
      </c>
      <c r="N200" s="19">
        <f>IF(M200="","",L200/M200*100)</f>
        <v/>
      </c>
      <c r="O200" s="2">
        <f>A200&amp;"|"&amp;C200</f>
        <v/>
      </c>
    </row>
    <row r="201">
      <c r="A201" s="4" t="inlineStr">
        <is>
          <t>ev</t>
        </is>
      </c>
      <c r="B201" s="4" t="inlineStr">
        <is>
          <t>alex</t>
        </is>
      </c>
      <c r="C201" s="4" t="inlineStr">
        <is>
          <t>2025-01-18 23:54</t>
        </is>
      </c>
      <c r="D201" s="4" t="n">
        <v>16651.3</v>
      </c>
      <c r="E201" s="4" t="inlineStr">
        <is>
          <t>ev</t>
        </is>
      </c>
      <c r="F201" s="4" t="n">
        <v>18.312</v>
      </c>
      <c r="G201" s="4" t="n">
        <v>0.245</v>
      </c>
      <c r="H201" s="4" t="n">
        <v>4.49</v>
      </c>
      <c r="I201" s="4" t="inlineStr">
        <is>
          <t>no</t>
        </is>
      </c>
      <c r="J201" s="4" t="inlineStr">
        <is>
          <t>Home</t>
        </is>
      </c>
      <c r="K201" s="2">
        <f>IF(A201&lt;&gt;A200,"",IF(I200="no",D200,K200))</f>
        <v/>
      </c>
      <c r="L201" s="2">
        <f>IF(OR(A201&lt;&gt;A200,K201=""),"",IF(I200="no",F201,L200+F201))</f>
        <v/>
      </c>
      <c r="M201" s="2">
        <f>IF(AND(I201="no",K201&lt;&gt;""),D201-K201,"")</f>
        <v/>
      </c>
      <c r="N201" s="19">
        <f>IF(M201="","",L201/M201*100)</f>
        <v/>
      </c>
      <c r="O201" s="2">
        <f>A201&amp;"|"&amp;C201</f>
        <v/>
      </c>
    </row>
    <row r="202">
      <c r="A202" s="4" t="inlineStr">
        <is>
          <t>ev</t>
        </is>
      </c>
      <c r="B202" s="4" t="inlineStr">
        <is>
          <t>alex</t>
        </is>
      </c>
      <c r="C202" s="4" t="inlineStr">
        <is>
          <t>2025-01-21 23:57</t>
        </is>
      </c>
      <c r="D202" s="4" t="n">
        <v>16759.4</v>
      </c>
      <c r="E202" s="4" t="inlineStr">
        <is>
          <t>ev</t>
        </is>
      </c>
      <c r="F202" s="4" t="n">
        <v>19.24</v>
      </c>
      <c r="G202" s="4" t="n">
        <v>0.245</v>
      </c>
      <c r="H202" s="4" t="n">
        <v>4.71</v>
      </c>
      <c r="I202" s="4" t="inlineStr">
        <is>
          <t>no</t>
        </is>
      </c>
      <c r="J202" s="4" t="inlineStr">
        <is>
          <t>Home</t>
        </is>
      </c>
      <c r="K202" s="2">
        <f>IF(A202&lt;&gt;A201,"",IF(I201="no",D201,K201))</f>
        <v/>
      </c>
      <c r="L202" s="2">
        <f>IF(OR(A202&lt;&gt;A201,K202=""),"",IF(I201="no",F202,L201+F202))</f>
        <v/>
      </c>
      <c r="M202" s="2">
        <f>IF(AND(I202="no",K202&lt;&gt;""),D202-K202,"")</f>
        <v/>
      </c>
      <c r="N202" s="19">
        <f>IF(M202="","",L202/M202*100)</f>
        <v/>
      </c>
      <c r="O202" s="2">
        <f>A202&amp;"|"&amp;C202</f>
        <v/>
      </c>
    </row>
    <row r="203">
      <c r="A203" s="4" t="inlineStr">
        <is>
          <t>ev</t>
        </is>
      </c>
      <c r="B203" s="4" t="inlineStr">
        <is>
          <t>alex</t>
        </is>
      </c>
      <c r="C203" s="4" t="inlineStr">
        <is>
          <t>2025-01-24 23:42</t>
        </is>
      </c>
      <c r="D203" s="4" t="n">
        <v>16844.9</v>
      </c>
      <c r="E203" s="4" t="inlineStr">
        <is>
          <t>ev</t>
        </is>
      </c>
      <c r="F203" s="4" t="n">
        <v>15.293</v>
      </c>
      <c r="G203" s="4" t="n">
        <v>0.245</v>
      </c>
      <c r="H203" s="4" t="n">
        <v>3.75</v>
      </c>
      <c r="I203" s="4" t="inlineStr">
        <is>
          <t>no</t>
        </is>
      </c>
      <c r="J203" s="4" t="inlineStr">
        <is>
          <t>Home</t>
        </is>
      </c>
      <c r="K203" s="2">
        <f>IF(A203&lt;&gt;A202,"",IF(I202="no",D202,K202))</f>
        <v/>
      </c>
      <c r="L203" s="2">
        <f>IF(OR(A203&lt;&gt;A202,K203=""),"",IF(I202="no",F203,L202+F203))</f>
        <v/>
      </c>
      <c r="M203" s="2">
        <f>IF(AND(I203="no",K203&lt;&gt;""),D203-K203,"")</f>
        <v/>
      </c>
      <c r="N203" s="19">
        <f>IF(M203="","",L203/M203*100)</f>
        <v/>
      </c>
      <c r="O203" s="2">
        <f>A203&amp;"|"&amp;C203</f>
        <v/>
      </c>
    </row>
    <row r="204">
      <c r="A204" s="4" t="inlineStr">
        <is>
          <t>ev</t>
        </is>
      </c>
      <c r="B204" s="4" t="inlineStr">
        <is>
          <t>alex</t>
        </is>
      </c>
      <c r="C204" s="4" t="inlineStr">
        <is>
          <t>2025-01-26 23:59</t>
        </is>
      </c>
      <c r="D204" s="4" t="n">
        <v>16904</v>
      </c>
      <c r="E204" s="4" t="inlineStr">
        <is>
          <t>ev</t>
        </is>
      </c>
      <c r="F204" s="4" t="n">
        <v>10.637</v>
      </c>
      <c r="G204" s="4" t="n">
        <v>0.245</v>
      </c>
      <c r="H204" s="4" t="n">
        <v>2.61</v>
      </c>
      <c r="I204" s="4" t="inlineStr">
        <is>
          <t>no</t>
        </is>
      </c>
      <c r="J204" s="4" t="inlineStr">
        <is>
          <t>Home</t>
        </is>
      </c>
      <c r="K204" s="2">
        <f>IF(A204&lt;&gt;A203,"",IF(I203="no",D203,K203))</f>
        <v/>
      </c>
      <c r="L204" s="2">
        <f>IF(OR(A204&lt;&gt;A203,K204=""),"",IF(I203="no",F204,L203+F204))</f>
        <v/>
      </c>
      <c r="M204" s="2">
        <f>IF(AND(I204="no",K204&lt;&gt;""),D204-K204,"")</f>
        <v/>
      </c>
      <c r="N204" s="19">
        <f>IF(M204="","",L204/M204*100)</f>
        <v/>
      </c>
      <c r="O204" s="2">
        <f>A204&amp;"|"&amp;C204</f>
        <v/>
      </c>
    </row>
    <row r="205">
      <c r="A205" s="4" t="inlineStr">
        <is>
          <t>ev</t>
        </is>
      </c>
      <c r="B205" s="4" t="inlineStr">
        <is>
          <t>alex</t>
        </is>
      </c>
      <c r="C205" s="4" t="inlineStr">
        <is>
          <t>2025-01-30 18:59</t>
        </is>
      </c>
      <c r="D205" s="4" t="n">
        <v>16994.3</v>
      </c>
      <c r="E205" s="4" t="inlineStr">
        <is>
          <t>ev</t>
        </is>
      </c>
      <c r="F205" s="4" t="n">
        <v>21.527</v>
      </c>
      <c r="G205" s="4" t="n">
        <v>0.79</v>
      </c>
      <c r="H205" s="4" t="n">
        <v>17.01</v>
      </c>
      <c r="I205" s="4" t="inlineStr">
        <is>
          <t>yes</t>
        </is>
      </c>
      <c r="J205" s="4" t="inlineStr">
        <is>
          <t>Ionity Woodall (DC)</t>
        </is>
      </c>
      <c r="K205" s="2">
        <f>IF(A205&lt;&gt;A204,"",IF(I204="no",D204,K204))</f>
        <v/>
      </c>
      <c r="L205" s="2">
        <f>IF(OR(A205&lt;&gt;A204,K205=""),"",IF(I204="no",F205,L204+F205))</f>
        <v/>
      </c>
      <c r="M205" s="2">
        <f>IF(AND(I205="no",K205&lt;&gt;""),D205-K205,"")</f>
        <v/>
      </c>
      <c r="N205" s="19">
        <f>IF(M205="","",L205/M205*100)</f>
        <v/>
      </c>
      <c r="O205" s="2">
        <f>A205&amp;"|"&amp;C205</f>
        <v/>
      </c>
    </row>
    <row r="206">
      <c r="A206" s="4" t="inlineStr">
        <is>
          <t>ev</t>
        </is>
      </c>
      <c r="B206" s="4" t="inlineStr">
        <is>
          <t>alex</t>
        </is>
      </c>
      <c r="C206" s="4" t="inlineStr">
        <is>
          <t>2025-02-02 23:58</t>
        </is>
      </c>
      <c r="D206" s="4" t="n">
        <v>17092.1</v>
      </c>
      <c r="E206" s="4" t="inlineStr">
        <is>
          <t>ev</t>
        </is>
      </c>
      <c r="F206" s="4" t="n">
        <v>17.684</v>
      </c>
      <c r="G206" s="4" t="n">
        <v>0.245</v>
      </c>
      <c r="H206" s="4" t="n">
        <v>4.33</v>
      </c>
      <c r="I206" s="4" t="inlineStr">
        <is>
          <t>no</t>
        </is>
      </c>
      <c r="J206" s="4" t="inlineStr">
        <is>
          <t>Home</t>
        </is>
      </c>
      <c r="K206" s="2">
        <f>IF(A206&lt;&gt;A205,"",IF(I205="no",D205,K205))</f>
        <v/>
      </c>
      <c r="L206" s="2">
        <f>IF(OR(A206&lt;&gt;A205,K206=""),"",IF(I205="no",F206,L205+F206))</f>
        <v/>
      </c>
      <c r="M206" s="2">
        <f>IF(AND(I206="no",K206&lt;&gt;""),D206-K206,"")</f>
        <v/>
      </c>
      <c r="N206" s="19">
        <f>IF(M206="","",L206/M206*100)</f>
        <v/>
      </c>
      <c r="O206" s="2">
        <f>A206&amp;"|"&amp;C206</f>
        <v/>
      </c>
    </row>
    <row r="207">
      <c r="A207" s="4" t="inlineStr">
        <is>
          <t>ev</t>
        </is>
      </c>
      <c r="B207" s="4" t="inlineStr">
        <is>
          <t>alex</t>
        </is>
      </c>
      <c r="C207" s="4" t="inlineStr">
        <is>
          <t>2025-02-05 23:54</t>
        </is>
      </c>
      <c r="D207" s="4" t="n">
        <v>17182.6</v>
      </c>
      <c r="E207" s="4" t="inlineStr">
        <is>
          <t>ev</t>
        </is>
      </c>
      <c r="F207" s="4" t="n">
        <v>16.605</v>
      </c>
      <c r="G207" s="4" t="n">
        <v>0.245</v>
      </c>
      <c r="H207" s="4" t="n">
        <v>4.07</v>
      </c>
      <c r="I207" s="4" t="inlineStr">
        <is>
          <t>no</t>
        </is>
      </c>
      <c r="J207" s="4" t="inlineStr">
        <is>
          <t>Home</t>
        </is>
      </c>
      <c r="K207" s="2">
        <f>IF(A207&lt;&gt;A206,"",IF(I206="no",D206,K206))</f>
        <v/>
      </c>
      <c r="L207" s="2">
        <f>IF(OR(A207&lt;&gt;A206,K207=""),"",IF(I206="no",F207,L206+F207))</f>
        <v/>
      </c>
      <c r="M207" s="2">
        <f>IF(AND(I207="no",K207&lt;&gt;""),D207-K207,"")</f>
        <v/>
      </c>
      <c r="N207" s="19">
        <f>IF(M207="","",L207/M207*100)</f>
        <v/>
      </c>
      <c r="O207" s="2">
        <f>A207&amp;"|"&amp;C207</f>
        <v/>
      </c>
    </row>
    <row r="208">
      <c r="A208" s="4" t="inlineStr">
        <is>
          <t>ev</t>
        </is>
      </c>
      <c r="B208" s="4" t="inlineStr">
        <is>
          <t>alex</t>
        </is>
      </c>
      <c r="C208" s="4" t="inlineStr">
        <is>
          <t>2025-02-09 23:56</t>
        </is>
      </c>
      <c r="D208" s="4" t="n">
        <v>17275.4</v>
      </c>
      <c r="E208" s="4" t="inlineStr">
        <is>
          <t>ev</t>
        </is>
      </c>
      <c r="F208" s="4" t="n">
        <v>15.981</v>
      </c>
      <c r="G208" s="4" t="n">
        <v>0.245</v>
      </c>
      <c r="H208" s="4" t="n">
        <v>3.92</v>
      </c>
      <c r="I208" s="4" t="inlineStr">
        <is>
          <t>no</t>
        </is>
      </c>
      <c r="J208" s="4" t="inlineStr">
        <is>
          <t>Home</t>
        </is>
      </c>
      <c r="K208" s="2">
        <f>IF(A208&lt;&gt;A207,"",IF(I207="no",D207,K207))</f>
        <v/>
      </c>
      <c r="L208" s="2">
        <f>IF(OR(A208&lt;&gt;A207,K208=""),"",IF(I207="no",F208,L207+F208))</f>
        <v/>
      </c>
      <c r="M208" s="2">
        <f>IF(AND(I208="no",K208&lt;&gt;""),D208-K208,"")</f>
        <v/>
      </c>
      <c r="N208" s="19">
        <f>IF(M208="","",L208/M208*100)</f>
        <v/>
      </c>
      <c r="O208" s="2">
        <f>A208&amp;"|"&amp;C208</f>
        <v/>
      </c>
    </row>
    <row r="209">
      <c r="A209" s="4" t="inlineStr">
        <is>
          <t>ev</t>
        </is>
      </c>
      <c r="B209" s="4" t="inlineStr">
        <is>
          <t>alex</t>
        </is>
      </c>
      <c r="C209" s="4" t="inlineStr">
        <is>
          <t>2025-02-11 23:49</t>
        </is>
      </c>
      <c r="D209" s="4" t="n">
        <v>17328.3</v>
      </c>
      <c r="E209" s="4" t="inlineStr">
        <is>
          <t>ev</t>
        </is>
      </c>
      <c r="F209" s="4" t="n">
        <v>8.843999999999999</v>
      </c>
      <c r="G209" s="4" t="n">
        <v>0.245</v>
      </c>
      <c r="H209" s="4" t="n">
        <v>2.17</v>
      </c>
      <c r="I209" s="4" t="inlineStr">
        <is>
          <t>no</t>
        </is>
      </c>
      <c r="J209" s="4" t="inlineStr">
        <is>
          <t>Home</t>
        </is>
      </c>
      <c r="K209" s="2">
        <f>IF(A209&lt;&gt;A208,"",IF(I208="no",D208,K208))</f>
        <v/>
      </c>
      <c r="L209" s="2">
        <f>IF(OR(A209&lt;&gt;A208,K209=""),"",IF(I208="no",F209,L208+F209))</f>
        <v/>
      </c>
      <c r="M209" s="2">
        <f>IF(AND(I209="no",K209&lt;&gt;""),D209-K209,"")</f>
        <v/>
      </c>
      <c r="N209" s="19">
        <f>IF(M209="","",L209/M209*100)</f>
        <v/>
      </c>
      <c r="O209" s="2">
        <f>A209&amp;"|"&amp;C209</f>
        <v/>
      </c>
    </row>
    <row r="210">
      <c r="A210" s="4" t="inlineStr">
        <is>
          <t>ev</t>
        </is>
      </c>
      <c r="B210" s="4" t="inlineStr">
        <is>
          <t>alex</t>
        </is>
      </c>
      <c r="C210" s="4" t="inlineStr">
        <is>
          <t>2025-02-14 11:32</t>
        </is>
      </c>
      <c r="D210" s="4" t="n">
        <v>17386.3</v>
      </c>
      <c r="E210" s="4" t="inlineStr">
        <is>
          <t>ev</t>
        </is>
      </c>
      <c r="F210" s="4" t="n">
        <v>10.728</v>
      </c>
      <c r="G210" s="4" t="n">
        <v>0.52</v>
      </c>
      <c r="H210" s="4" t="n">
        <v>5.58</v>
      </c>
      <c r="I210" s="4" t="inlineStr">
        <is>
          <t>yes</t>
        </is>
      </c>
      <c r="J210" s="4" t="inlineStr">
        <is>
          <t>Leeds Council car park (AC)</t>
        </is>
      </c>
      <c r="K210" s="2">
        <f>IF(A210&lt;&gt;A209,"",IF(I209="no",D209,K209))</f>
        <v/>
      </c>
      <c r="L210" s="2">
        <f>IF(OR(A210&lt;&gt;A209,K210=""),"",IF(I209="no",F210,L209+F210))</f>
        <v/>
      </c>
      <c r="M210" s="2">
        <f>IF(AND(I210="no",K210&lt;&gt;""),D210-K210,"")</f>
        <v/>
      </c>
      <c r="N210" s="19">
        <f>IF(M210="","",L210/M210*100)</f>
        <v/>
      </c>
      <c r="O210" s="2">
        <f>A210&amp;"|"&amp;C210</f>
        <v/>
      </c>
    </row>
    <row r="211">
      <c r="A211" s="4" t="inlineStr">
        <is>
          <t>ev</t>
        </is>
      </c>
      <c r="B211" s="4" t="inlineStr">
        <is>
          <t>alex</t>
        </is>
      </c>
      <c r="C211" s="4" t="inlineStr">
        <is>
          <t>2025-02-16 23:49</t>
        </is>
      </c>
      <c r="D211" s="4" t="n">
        <v>17476.5</v>
      </c>
      <c r="E211" s="4" t="inlineStr">
        <is>
          <t>ev</t>
        </is>
      </c>
      <c r="F211" s="4" t="n">
        <v>15.919</v>
      </c>
      <c r="G211" s="4" t="n">
        <v>0.245</v>
      </c>
      <c r="H211" s="4" t="n">
        <v>3.9</v>
      </c>
      <c r="I211" s="4" t="inlineStr">
        <is>
          <t>no</t>
        </is>
      </c>
      <c r="J211" s="4" t="inlineStr">
        <is>
          <t>Home</t>
        </is>
      </c>
      <c r="K211" s="2">
        <f>IF(A211&lt;&gt;A210,"",IF(I210="no",D210,K210))</f>
        <v/>
      </c>
      <c r="L211" s="2">
        <f>IF(OR(A211&lt;&gt;A210,K211=""),"",IF(I210="no",F211,L210+F211))</f>
        <v/>
      </c>
      <c r="M211" s="2">
        <f>IF(AND(I211="no",K211&lt;&gt;""),D211-K211,"")</f>
        <v/>
      </c>
      <c r="N211" s="19">
        <f>IF(M211="","",L211/M211*100)</f>
        <v/>
      </c>
      <c r="O211" s="2">
        <f>A211&amp;"|"&amp;C211</f>
        <v/>
      </c>
    </row>
    <row r="212">
      <c r="A212" s="4" t="inlineStr">
        <is>
          <t>ev</t>
        </is>
      </c>
      <c r="B212" s="4" t="inlineStr">
        <is>
          <t>alex</t>
        </is>
      </c>
      <c r="C212" s="4" t="inlineStr">
        <is>
          <t>2025-02-18 23:52</t>
        </is>
      </c>
      <c r="D212" s="4" t="n">
        <v>17562</v>
      </c>
      <c r="E212" s="4" t="inlineStr">
        <is>
          <t>ev</t>
        </is>
      </c>
      <c r="F212" s="4" t="n">
        <v>16.169</v>
      </c>
      <c r="G212" s="4" t="n">
        <v>0.245</v>
      </c>
      <c r="H212" s="4" t="n">
        <v>3.96</v>
      </c>
      <c r="I212" s="4" t="inlineStr">
        <is>
          <t>no</t>
        </is>
      </c>
      <c r="J212" s="4" t="inlineStr">
        <is>
          <t>Home</t>
        </is>
      </c>
      <c r="K212" s="2">
        <f>IF(A212&lt;&gt;A211,"",IF(I211="no",D211,K211))</f>
        <v/>
      </c>
      <c r="L212" s="2">
        <f>IF(OR(A212&lt;&gt;A211,K212=""),"",IF(I211="no",F212,L211+F212))</f>
        <v/>
      </c>
      <c r="M212" s="2">
        <f>IF(AND(I212="no",K212&lt;&gt;""),D212-K212,"")</f>
        <v/>
      </c>
      <c r="N212" s="19">
        <f>IF(M212="","",L212/M212*100)</f>
        <v/>
      </c>
      <c r="O212" s="2">
        <f>A212&amp;"|"&amp;C212</f>
        <v/>
      </c>
    </row>
    <row r="213">
      <c r="A213" s="4" t="inlineStr">
        <is>
          <t>ev</t>
        </is>
      </c>
      <c r="B213" s="4" t="inlineStr">
        <is>
          <t>alex</t>
        </is>
      </c>
      <c r="C213" s="4" t="inlineStr">
        <is>
          <t>2025-02-19 23:38</t>
        </is>
      </c>
      <c r="D213" s="4" t="n">
        <v>17604.8</v>
      </c>
      <c r="E213" s="4" t="inlineStr">
        <is>
          <t>ev</t>
        </is>
      </c>
      <c r="F213" s="4" t="n">
        <v>7.734</v>
      </c>
      <c r="G213" s="4" t="n">
        <v>0.245</v>
      </c>
      <c r="H213" s="4" t="n">
        <v>1.89</v>
      </c>
      <c r="I213" s="4" t="inlineStr">
        <is>
          <t>no</t>
        </is>
      </c>
      <c r="J213" s="4" t="inlineStr">
        <is>
          <t>Home</t>
        </is>
      </c>
      <c r="K213" s="2">
        <f>IF(A213&lt;&gt;A212,"",IF(I212="no",D212,K212))</f>
        <v/>
      </c>
      <c r="L213" s="2">
        <f>IF(OR(A213&lt;&gt;A212,K213=""),"",IF(I212="no",F213,L212+F213))</f>
        <v/>
      </c>
      <c r="M213" s="2">
        <f>IF(AND(I213="no",K213&lt;&gt;""),D213-K213,"")</f>
        <v/>
      </c>
      <c r="N213" s="19">
        <f>IF(M213="","",L213/M213*100)</f>
        <v/>
      </c>
      <c r="O213" s="2">
        <f>A213&amp;"|"&amp;C213</f>
        <v/>
      </c>
    </row>
    <row r="214">
      <c r="A214" s="4" t="inlineStr">
        <is>
          <t>ev</t>
        </is>
      </c>
      <c r="B214" s="4" t="inlineStr">
        <is>
          <t>alex</t>
        </is>
      </c>
      <c r="C214" s="4" t="inlineStr">
        <is>
          <t>2025-02-22 23:42</t>
        </is>
      </c>
      <c r="D214" s="4" t="n">
        <v>17698</v>
      </c>
      <c r="E214" s="4" t="inlineStr">
        <is>
          <t>ev</t>
        </is>
      </c>
      <c r="F214" s="4" t="n">
        <v>17.057</v>
      </c>
      <c r="G214" s="4" t="n">
        <v>0.245</v>
      </c>
      <c r="H214" s="4" t="n">
        <v>4.18</v>
      </c>
      <c r="I214" s="4" t="inlineStr">
        <is>
          <t>no</t>
        </is>
      </c>
      <c r="J214" s="4" t="inlineStr">
        <is>
          <t>Home</t>
        </is>
      </c>
      <c r="K214" s="2">
        <f>IF(A214&lt;&gt;A213,"",IF(I213="no",D213,K213))</f>
        <v/>
      </c>
      <c r="L214" s="2">
        <f>IF(OR(A214&lt;&gt;A213,K214=""),"",IF(I213="no",F214,L213+F214))</f>
        <v/>
      </c>
      <c r="M214" s="2">
        <f>IF(AND(I214="no",K214&lt;&gt;""),D214-K214,"")</f>
        <v/>
      </c>
      <c r="N214" s="19">
        <f>IF(M214="","",L214/M214*100)</f>
        <v/>
      </c>
      <c r="O214" s="2">
        <f>A214&amp;"|"&amp;C214</f>
        <v/>
      </c>
    </row>
    <row r="215">
      <c r="A215" s="4" t="inlineStr">
        <is>
          <t>ev</t>
        </is>
      </c>
      <c r="B215" s="4" t="inlineStr">
        <is>
          <t>alex</t>
        </is>
      </c>
      <c r="C215" s="4" t="inlineStr">
        <is>
          <t>2025-02-25 23:41</t>
        </is>
      </c>
      <c r="D215" s="4" t="n">
        <v>17802.8</v>
      </c>
      <c r="E215" s="4" t="inlineStr">
        <is>
          <t>ev</t>
        </is>
      </c>
      <c r="F215" s="4" t="n">
        <v>19.218</v>
      </c>
      <c r="G215" s="4" t="n">
        <v>0.245</v>
      </c>
      <c r="H215" s="4" t="n">
        <v>4.71</v>
      </c>
      <c r="I215" s="4" t="inlineStr">
        <is>
          <t>no</t>
        </is>
      </c>
      <c r="J215" s="4" t="inlineStr">
        <is>
          <t>Home</t>
        </is>
      </c>
      <c r="K215" s="2">
        <f>IF(A215&lt;&gt;A214,"",IF(I214="no",D214,K214))</f>
        <v/>
      </c>
      <c r="L215" s="2">
        <f>IF(OR(A215&lt;&gt;A214,K215=""),"",IF(I214="no",F215,L214+F215))</f>
        <v/>
      </c>
      <c r="M215" s="2">
        <f>IF(AND(I215="no",K215&lt;&gt;""),D215-K215,"")</f>
        <v/>
      </c>
      <c r="N215" s="19">
        <f>IF(M215="","",L215/M215*100)</f>
        <v/>
      </c>
      <c r="O215" s="2">
        <f>A215&amp;"|"&amp;C215</f>
        <v/>
      </c>
    </row>
    <row r="216">
      <c r="A216" s="4" t="inlineStr">
        <is>
          <t>ev</t>
        </is>
      </c>
      <c r="B216" s="4" t="inlineStr">
        <is>
          <t>alex</t>
        </is>
      </c>
      <c r="C216" s="4" t="inlineStr">
        <is>
          <t>2025-02-28 23:30</t>
        </is>
      </c>
      <c r="D216" s="4" t="n">
        <v>17896</v>
      </c>
      <c r="E216" s="4" t="inlineStr">
        <is>
          <t>ev</t>
        </is>
      </c>
      <c r="F216" s="4" t="n">
        <v>16.696</v>
      </c>
      <c r="G216" s="4" t="n">
        <v>0.245</v>
      </c>
      <c r="H216" s="4" t="n">
        <v>4.09</v>
      </c>
      <c r="I216" s="4" t="inlineStr">
        <is>
          <t>no</t>
        </is>
      </c>
      <c r="J216" s="4" t="inlineStr">
        <is>
          <t>Home</t>
        </is>
      </c>
      <c r="K216" s="2">
        <f>IF(A216&lt;&gt;A215,"",IF(I215="no",D215,K215))</f>
        <v/>
      </c>
      <c r="L216" s="2">
        <f>IF(OR(A216&lt;&gt;A215,K216=""),"",IF(I215="no",F216,L215+F216))</f>
        <v/>
      </c>
      <c r="M216" s="2">
        <f>IF(AND(I216="no",K216&lt;&gt;""),D216-K216,"")</f>
        <v/>
      </c>
      <c r="N216" s="19">
        <f>IF(M216="","",L216/M216*100)</f>
        <v/>
      </c>
      <c r="O216" s="2">
        <f>A216&amp;"|"&amp;C216</f>
        <v/>
      </c>
    </row>
    <row r="217">
      <c r="A217" s="4" t="inlineStr">
        <is>
          <t>ev</t>
        </is>
      </c>
      <c r="B217" s="4" t="inlineStr">
        <is>
          <t>alex</t>
        </is>
      </c>
      <c r="C217" s="4" t="inlineStr">
        <is>
          <t>2025-03-03 23:44</t>
        </is>
      </c>
      <c r="D217" s="4" t="n">
        <v>17974.9</v>
      </c>
      <c r="E217" s="4" t="inlineStr">
        <is>
          <t>ev</t>
        </is>
      </c>
      <c r="F217" s="4" t="n">
        <v>13.151</v>
      </c>
      <c r="G217" s="4" t="n">
        <v>0.245</v>
      </c>
      <c r="H217" s="4" t="n">
        <v>3.22</v>
      </c>
      <c r="I217" s="4" t="inlineStr">
        <is>
          <t>no</t>
        </is>
      </c>
      <c r="J217" s="4" t="inlineStr">
        <is>
          <t>Home</t>
        </is>
      </c>
      <c r="K217" s="2">
        <f>IF(A217&lt;&gt;A216,"",IF(I216="no",D216,K216))</f>
        <v/>
      </c>
      <c r="L217" s="2">
        <f>IF(OR(A217&lt;&gt;A216,K217=""),"",IF(I216="no",F217,L216+F217))</f>
        <v/>
      </c>
      <c r="M217" s="2">
        <f>IF(AND(I217="no",K217&lt;&gt;""),D217-K217,"")</f>
        <v/>
      </c>
      <c r="N217" s="19">
        <f>IF(M217="","",L217/M217*100)</f>
        <v/>
      </c>
      <c r="O217" s="2">
        <f>A217&amp;"|"&amp;C217</f>
        <v/>
      </c>
    </row>
    <row r="218">
      <c r="A218" s="4" t="inlineStr">
        <is>
          <t>ev</t>
        </is>
      </c>
      <c r="B218" s="4" t="inlineStr">
        <is>
          <t>alex</t>
        </is>
      </c>
      <c r="C218" s="4" t="inlineStr">
        <is>
          <t>2025-03-07 23:52</t>
        </is>
      </c>
      <c r="D218" s="4" t="n">
        <v>18089.8</v>
      </c>
      <c r="E218" s="4" t="inlineStr">
        <is>
          <t>ev</t>
        </is>
      </c>
      <c r="F218" s="4" t="n">
        <v>19.914</v>
      </c>
      <c r="G218" s="4" t="n">
        <v>0.245</v>
      </c>
      <c r="H218" s="4" t="n">
        <v>4.88</v>
      </c>
      <c r="I218" s="4" t="inlineStr">
        <is>
          <t>no</t>
        </is>
      </c>
      <c r="J218" s="4" t="inlineStr">
        <is>
          <t>Home</t>
        </is>
      </c>
      <c r="K218" s="2">
        <f>IF(A218&lt;&gt;A217,"",IF(I217="no",D217,K217))</f>
        <v/>
      </c>
      <c r="L218" s="2">
        <f>IF(OR(A218&lt;&gt;A217,K218=""),"",IF(I217="no",F218,L217+F218))</f>
        <v/>
      </c>
      <c r="M218" s="2">
        <f>IF(AND(I218="no",K218&lt;&gt;""),D218-K218,"")</f>
        <v/>
      </c>
      <c r="N218" s="19">
        <f>IF(M218="","",L218/M218*100)</f>
        <v/>
      </c>
      <c r="O218" s="2">
        <f>A218&amp;"|"&amp;C218</f>
        <v/>
      </c>
    </row>
    <row r="219">
      <c r="A219" s="4" t="inlineStr">
        <is>
          <t>ev</t>
        </is>
      </c>
      <c r="B219" s="4" t="inlineStr">
        <is>
          <t>alex</t>
        </is>
      </c>
      <c r="C219" s="4" t="inlineStr">
        <is>
          <t>2025-03-09 15:23</t>
        </is>
      </c>
      <c r="D219" s="4" t="n">
        <v>18166.9</v>
      </c>
      <c r="E219" s="4" t="inlineStr">
        <is>
          <t>ev</t>
        </is>
      </c>
      <c r="F219" s="4" t="n">
        <v>21.448</v>
      </c>
      <c r="G219" s="4" t="n">
        <v>0.79</v>
      </c>
      <c r="H219" s="4" t="n">
        <v>16.94</v>
      </c>
      <c r="I219" s="4" t="inlineStr">
        <is>
          <t>yes</t>
        </is>
      </c>
      <c r="J219" s="4" t="inlineStr">
        <is>
          <t>Ionity Woodall (DC)</t>
        </is>
      </c>
      <c r="K219" s="2">
        <f>IF(A219&lt;&gt;A218,"",IF(I218="no",D218,K218))</f>
        <v/>
      </c>
      <c r="L219" s="2">
        <f>IF(OR(A219&lt;&gt;A218,K219=""),"",IF(I218="no",F219,L218+F219))</f>
        <v/>
      </c>
      <c r="M219" s="2">
        <f>IF(AND(I219="no",K219&lt;&gt;""),D219-K219,"")</f>
        <v/>
      </c>
      <c r="N219" s="19">
        <f>IF(M219="","",L219/M219*100)</f>
        <v/>
      </c>
      <c r="O219" s="2">
        <f>A219&amp;"|"&amp;C219</f>
        <v/>
      </c>
    </row>
    <row r="220">
      <c r="A220" s="4" t="inlineStr">
        <is>
          <t>ev</t>
        </is>
      </c>
      <c r="B220" s="4" t="inlineStr">
        <is>
          <t>alex</t>
        </is>
      </c>
      <c r="C220" s="4" t="inlineStr">
        <is>
          <t>2025-03-10 11:02</t>
        </is>
      </c>
      <c r="D220" s="4" t="n">
        <v>18200.7</v>
      </c>
      <c r="E220" s="4" t="inlineStr">
        <is>
          <t>ev</t>
        </is>
      </c>
      <c r="F220" s="4" t="n">
        <v>10.943</v>
      </c>
      <c r="G220" s="4" t="n">
        <v>0.52</v>
      </c>
      <c r="H220" s="4" t="n">
        <v>5.69</v>
      </c>
      <c r="I220" s="4" t="inlineStr">
        <is>
          <t>yes</t>
        </is>
      </c>
      <c r="J220" s="4" t="inlineStr">
        <is>
          <t>Leeds Council car park (AC)</t>
        </is>
      </c>
      <c r="K220" s="2">
        <f>IF(A220&lt;&gt;A219,"",IF(I219="no",D219,K219))</f>
        <v/>
      </c>
      <c r="L220" s="2">
        <f>IF(OR(A220&lt;&gt;A219,K220=""),"",IF(I219="no",F220,L219+F220))</f>
        <v/>
      </c>
      <c r="M220" s="2">
        <f>IF(AND(I220="no",K220&lt;&gt;""),D220-K220,"")</f>
        <v/>
      </c>
      <c r="N220" s="19">
        <f>IF(M220="","",L220/M220*100)</f>
        <v/>
      </c>
      <c r="O220" s="2">
        <f>A220&amp;"|"&amp;C220</f>
        <v/>
      </c>
    </row>
    <row r="221">
      <c r="A221" s="4" t="inlineStr">
        <is>
          <t>ev</t>
        </is>
      </c>
      <c r="B221" s="4" t="inlineStr">
        <is>
          <t>alex</t>
        </is>
      </c>
      <c r="C221" s="4" t="inlineStr">
        <is>
          <t>2025-03-13 23:35</t>
        </is>
      </c>
      <c r="D221" s="4" t="n">
        <v>18295.9</v>
      </c>
      <c r="E221" s="4" t="inlineStr">
        <is>
          <t>ev</t>
        </is>
      </c>
      <c r="F221" s="4" t="n">
        <v>13.693</v>
      </c>
      <c r="G221" s="4" t="n">
        <v>0.245</v>
      </c>
      <c r="H221" s="4" t="n">
        <v>3.35</v>
      </c>
      <c r="I221" s="4" t="inlineStr">
        <is>
          <t>no</t>
        </is>
      </c>
      <c r="J221" s="4" t="inlineStr">
        <is>
          <t>Home</t>
        </is>
      </c>
      <c r="K221" s="2">
        <f>IF(A221&lt;&gt;A220,"",IF(I220="no",D220,K220))</f>
        <v/>
      </c>
      <c r="L221" s="2">
        <f>IF(OR(A221&lt;&gt;A220,K221=""),"",IF(I220="no",F221,L220+F221))</f>
        <v/>
      </c>
      <c r="M221" s="2">
        <f>IF(AND(I221="no",K221&lt;&gt;""),D221-K221,"")</f>
        <v/>
      </c>
      <c r="N221" s="19">
        <f>IF(M221="","",L221/M221*100)</f>
        <v/>
      </c>
      <c r="O221" s="2">
        <f>A221&amp;"|"&amp;C221</f>
        <v/>
      </c>
    </row>
    <row r="222">
      <c r="A222" s="4" t="inlineStr">
        <is>
          <t>ev</t>
        </is>
      </c>
      <c r="B222" s="4" t="inlineStr">
        <is>
          <t>alex</t>
        </is>
      </c>
      <c r="C222" s="4" t="inlineStr">
        <is>
          <t>2025-03-16 23:30</t>
        </is>
      </c>
      <c r="D222" s="4" t="n">
        <v>18394</v>
      </c>
      <c r="E222" s="4" t="inlineStr">
        <is>
          <t>ev</t>
        </is>
      </c>
      <c r="F222" s="4" t="n">
        <v>17.633</v>
      </c>
      <c r="G222" s="4" t="n">
        <v>0.245</v>
      </c>
      <c r="H222" s="4" t="n">
        <v>4.32</v>
      </c>
      <c r="I222" s="4" t="inlineStr">
        <is>
          <t>no</t>
        </is>
      </c>
      <c r="J222" s="4" t="inlineStr">
        <is>
          <t>Home</t>
        </is>
      </c>
      <c r="K222" s="2">
        <f>IF(A222&lt;&gt;A221,"",IF(I221="no",D221,K221))</f>
        <v/>
      </c>
      <c r="L222" s="2">
        <f>IF(OR(A222&lt;&gt;A221,K222=""),"",IF(I221="no",F222,L221+F222))</f>
        <v/>
      </c>
      <c r="M222" s="2">
        <f>IF(AND(I222="no",K222&lt;&gt;""),D222-K222,"")</f>
        <v/>
      </c>
      <c r="N222" s="19">
        <f>IF(M222="","",L222/M222*100)</f>
        <v/>
      </c>
      <c r="O222" s="2">
        <f>A222&amp;"|"&amp;C222</f>
        <v/>
      </c>
    </row>
    <row r="223">
      <c r="A223" s="4" t="inlineStr">
        <is>
          <t>ev</t>
        </is>
      </c>
      <c r="B223" s="4" t="inlineStr">
        <is>
          <t>alex</t>
        </is>
      </c>
      <c r="C223" s="4" t="inlineStr">
        <is>
          <t>2025-03-19 16:23</t>
        </is>
      </c>
      <c r="D223" s="4" t="n">
        <v>18466.3</v>
      </c>
      <c r="E223" s="4" t="inlineStr">
        <is>
          <t>ev</t>
        </is>
      </c>
      <c r="F223" s="4" t="n">
        <v>9.287000000000001</v>
      </c>
      <c r="G223" s="4" t="n">
        <v>0.52</v>
      </c>
      <c r="H223" s="4" t="n">
        <v>4.83</v>
      </c>
      <c r="I223" s="4" t="inlineStr">
        <is>
          <t>yes</t>
        </is>
      </c>
      <c r="J223" s="4" t="inlineStr">
        <is>
          <t>Leeds Council car park (AC)</t>
        </is>
      </c>
      <c r="K223" s="2">
        <f>IF(A223&lt;&gt;A222,"",IF(I222="no",D222,K222))</f>
        <v/>
      </c>
      <c r="L223" s="2">
        <f>IF(OR(A223&lt;&gt;A222,K223=""),"",IF(I222="no",F223,L222+F223))</f>
        <v/>
      </c>
      <c r="M223" s="2">
        <f>IF(AND(I223="no",K223&lt;&gt;""),D223-K223,"")</f>
        <v/>
      </c>
      <c r="N223" s="19">
        <f>IF(M223="","",L223/M223*100)</f>
        <v/>
      </c>
      <c r="O223" s="2">
        <f>A223&amp;"|"&amp;C223</f>
        <v/>
      </c>
    </row>
    <row r="224">
      <c r="A224" s="4" t="inlineStr">
        <is>
          <t>ev</t>
        </is>
      </c>
      <c r="B224" s="4" t="inlineStr">
        <is>
          <t>alex</t>
        </is>
      </c>
      <c r="C224" s="4" t="inlineStr">
        <is>
          <t>2025-03-20 23:55</t>
        </is>
      </c>
      <c r="D224" s="4" t="n">
        <v>18514</v>
      </c>
      <c r="E224" s="4" t="inlineStr">
        <is>
          <t>ev</t>
        </is>
      </c>
      <c r="F224" s="4" t="n">
        <v>11.366</v>
      </c>
      <c r="G224" s="4" t="n">
        <v>0.245</v>
      </c>
      <c r="H224" s="4" t="n">
        <v>2.78</v>
      </c>
      <c r="I224" s="4" t="inlineStr">
        <is>
          <t>no</t>
        </is>
      </c>
      <c r="J224" s="4" t="inlineStr">
        <is>
          <t>Home</t>
        </is>
      </c>
      <c r="K224" s="2">
        <f>IF(A224&lt;&gt;A223,"",IF(I223="no",D223,K223))</f>
        <v/>
      </c>
      <c r="L224" s="2">
        <f>IF(OR(A224&lt;&gt;A223,K224=""),"",IF(I223="no",F224,L223+F224))</f>
        <v/>
      </c>
      <c r="M224" s="2">
        <f>IF(AND(I224="no",K224&lt;&gt;""),D224-K224,"")</f>
        <v/>
      </c>
      <c r="N224" s="19">
        <f>IF(M224="","",L224/M224*100)</f>
        <v/>
      </c>
      <c r="O224" s="2">
        <f>A224&amp;"|"&amp;C224</f>
        <v/>
      </c>
    </row>
    <row r="225">
      <c r="A225" s="4" t="inlineStr">
        <is>
          <t>ev</t>
        </is>
      </c>
      <c r="B225" s="4" t="inlineStr">
        <is>
          <t>alex</t>
        </is>
      </c>
      <c r="C225" s="4" t="inlineStr">
        <is>
          <t>2025-03-22 23:46</t>
        </is>
      </c>
      <c r="D225" s="4" t="n">
        <v>18579.6</v>
      </c>
      <c r="E225" s="4" t="inlineStr">
        <is>
          <t>ev</t>
        </is>
      </c>
      <c r="F225" s="4" t="n">
        <v>11.197</v>
      </c>
      <c r="G225" s="4" t="n">
        <v>0.245</v>
      </c>
      <c r="H225" s="4" t="n">
        <v>2.74</v>
      </c>
      <c r="I225" s="4" t="inlineStr">
        <is>
          <t>no</t>
        </is>
      </c>
      <c r="J225" s="4" t="inlineStr">
        <is>
          <t>Home</t>
        </is>
      </c>
      <c r="K225" s="2">
        <f>IF(A225&lt;&gt;A224,"",IF(I224="no",D224,K224))</f>
        <v/>
      </c>
      <c r="L225" s="2">
        <f>IF(OR(A225&lt;&gt;A224,K225=""),"",IF(I224="no",F225,L224+F225))</f>
        <v/>
      </c>
      <c r="M225" s="2">
        <f>IF(AND(I225="no",K225&lt;&gt;""),D225-K225,"")</f>
        <v/>
      </c>
      <c r="N225" s="19">
        <f>IF(M225="","",L225/M225*100)</f>
        <v/>
      </c>
      <c r="O225" s="2">
        <f>A225&amp;"|"&amp;C225</f>
        <v/>
      </c>
    </row>
    <row r="226">
      <c r="A226" s="4" t="inlineStr">
        <is>
          <t>ev</t>
        </is>
      </c>
      <c r="B226" s="4" t="inlineStr">
        <is>
          <t>alex</t>
        </is>
      </c>
      <c r="C226" s="4" t="inlineStr">
        <is>
          <t>2025-03-26 23:40</t>
        </is>
      </c>
      <c r="D226" s="4" t="n">
        <v>18687.2</v>
      </c>
      <c r="E226" s="4" t="inlineStr">
        <is>
          <t>ev</t>
        </is>
      </c>
      <c r="F226" s="4" t="n">
        <v>19.216</v>
      </c>
      <c r="G226" s="4" t="n">
        <v>0.245</v>
      </c>
      <c r="H226" s="4" t="n">
        <v>4.71</v>
      </c>
      <c r="I226" s="4" t="inlineStr">
        <is>
          <t>no</t>
        </is>
      </c>
      <c r="J226" s="4" t="inlineStr">
        <is>
          <t>Home</t>
        </is>
      </c>
      <c r="K226" s="2">
        <f>IF(A226&lt;&gt;A225,"",IF(I225="no",D225,K225))</f>
        <v/>
      </c>
      <c r="L226" s="2">
        <f>IF(OR(A226&lt;&gt;A225,K226=""),"",IF(I225="no",F226,L225+F226))</f>
        <v/>
      </c>
      <c r="M226" s="2">
        <f>IF(AND(I226="no",K226&lt;&gt;""),D226-K226,"")</f>
        <v/>
      </c>
      <c r="N226" s="19">
        <f>IF(M226="","",L226/M226*100)</f>
        <v/>
      </c>
      <c r="O226" s="2">
        <f>A226&amp;"|"&amp;C226</f>
        <v/>
      </c>
    </row>
    <row r="227">
      <c r="A227" s="4" t="inlineStr">
        <is>
          <t>ev</t>
        </is>
      </c>
      <c r="B227" s="4" t="inlineStr">
        <is>
          <t>alex</t>
        </is>
      </c>
      <c r="C227" s="4" t="inlineStr">
        <is>
          <t>2025-03-29 23:48</t>
        </is>
      </c>
      <c r="D227" s="4" t="n">
        <v>18793.4</v>
      </c>
      <c r="E227" s="4" t="inlineStr">
        <is>
          <t>ev</t>
        </is>
      </c>
      <c r="F227" s="4" t="n">
        <v>18.536</v>
      </c>
      <c r="G227" s="4" t="n">
        <v>0.245</v>
      </c>
      <c r="H227" s="4" t="n">
        <v>4.54</v>
      </c>
      <c r="I227" s="4" t="inlineStr">
        <is>
          <t>no</t>
        </is>
      </c>
      <c r="J227" s="4" t="inlineStr">
        <is>
          <t>Home</t>
        </is>
      </c>
      <c r="K227" s="2">
        <f>IF(A227&lt;&gt;A226,"",IF(I226="no",D226,K226))</f>
        <v/>
      </c>
      <c r="L227" s="2">
        <f>IF(OR(A227&lt;&gt;A226,K227=""),"",IF(I226="no",F227,L226+F227))</f>
        <v/>
      </c>
      <c r="M227" s="2">
        <f>IF(AND(I227="no",K227&lt;&gt;""),D227-K227,"")</f>
        <v/>
      </c>
      <c r="N227" s="19">
        <f>IF(M227="","",L227/M227*100)</f>
        <v/>
      </c>
      <c r="O227" s="2">
        <f>A227&amp;"|"&amp;C227</f>
        <v/>
      </c>
    </row>
    <row r="228">
      <c r="A228" s="4" t="inlineStr">
        <is>
          <t>ev</t>
        </is>
      </c>
      <c r="B228" s="4" t="inlineStr">
        <is>
          <t>alex</t>
        </is>
      </c>
      <c r="C228" s="4" t="inlineStr">
        <is>
          <t>2025-03-31 23:35</t>
        </is>
      </c>
      <c r="D228" s="4" t="n">
        <v>18852.7</v>
      </c>
      <c r="E228" s="4" t="inlineStr">
        <is>
          <t>ev</t>
        </is>
      </c>
      <c r="F228" s="4" t="n">
        <v>10.852</v>
      </c>
      <c r="G228" s="4" t="n">
        <v>0.245</v>
      </c>
      <c r="H228" s="4" t="n">
        <v>2.66</v>
      </c>
      <c r="I228" s="4" t="inlineStr">
        <is>
          <t>no</t>
        </is>
      </c>
      <c r="J228" s="4" t="inlineStr">
        <is>
          <t>Home</t>
        </is>
      </c>
      <c r="K228" s="2">
        <f>IF(A228&lt;&gt;A227,"",IF(I227="no",D227,K227))</f>
        <v/>
      </c>
      <c r="L228" s="2">
        <f>IF(OR(A228&lt;&gt;A227,K228=""),"",IF(I227="no",F228,L227+F228))</f>
        <v/>
      </c>
      <c r="M228" s="2">
        <f>IF(AND(I228="no",K228&lt;&gt;""),D228-K228,"")</f>
        <v/>
      </c>
      <c r="N228" s="19">
        <f>IF(M228="","",L228/M228*100)</f>
        <v/>
      </c>
      <c r="O228" s="2">
        <f>A228&amp;"|"&amp;C228</f>
        <v/>
      </c>
    </row>
    <row r="229">
      <c r="A229" s="4" t="inlineStr">
        <is>
          <t>ev</t>
        </is>
      </c>
      <c r="B229" s="4" t="inlineStr">
        <is>
          <t>alex</t>
        </is>
      </c>
      <c r="C229" s="4" t="inlineStr">
        <is>
          <t>2025-04-04 23:50</t>
        </is>
      </c>
      <c r="D229" s="4" t="n">
        <v>18949</v>
      </c>
      <c r="E229" s="4" t="inlineStr">
        <is>
          <t>ev</t>
        </is>
      </c>
      <c r="F229" s="4" t="n">
        <v>16.665</v>
      </c>
      <c r="G229" s="4" t="n">
        <v>0.075</v>
      </c>
      <c r="H229" s="4" t="n">
        <v>1.25</v>
      </c>
      <c r="I229" s="4" t="inlineStr">
        <is>
          <t>no</t>
        </is>
      </c>
      <c r="J229" s="4" t="inlineStr">
        <is>
          <t>Home</t>
        </is>
      </c>
      <c r="K229" s="2">
        <f>IF(A229&lt;&gt;A228,"",IF(I228="no",D228,K228))</f>
        <v/>
      </c>
      <c r="L229" s="2">
        <f>IF(OR(A229&lt;&gt;A228,K229=""),"",IF(I228="no",F229,L228+F229))</f>
        <v/>
      </c>
      <c r="M229" s="2">
        <f>IF(AND(I229="no",K229&lt;&gt;""),D229-K229,"")</f>
        <v/>
      </c>
      <c r="N229" s="19">
        <f>IF(M229="","",L229/M229*100)</f>
        <v/>
      </c>
      <c r="O229" s="2">
        <f>A229&amp;"|"&amp;C229</f>
        <v/>
      </c>
    </row>
    <row r="230">
      <c r="A230" s="4" t="inlineStr">
        <is>
          <t>ev</t>
        </is>
      </c>
      <c r="B230" s="4" t="inlineStr">
        <is>
          <t>alex</t>
        </is>
      </c>
      <c r="C230" s="4" t="inlineStr">
        <is>
          <t>2025-04-07 23:43</t>
        </is>
      </c>
      <c r="D230" s="4" t="n">
        <v>19054.6</v>
      </c>
      <c r="E230" s="4" t="inlineStr">
        <is>
          <t>ev</t>
        </is>
      </c>
      <c r="F230" s="4" t="n">
        <v>18.838</v>
      </c>
      <c r="G230" s="4" t="n">
        <v>0.075</v>
      </c>
      <c r="H230" s="4" t="n">
        <v>1.41</v>
      </c>
      <c r="I230" s="4" t="inlineStr">
        <is>
          <t>no</t>
        </is>
      </c>
      <c r="J230" s="4" t="inlineStr">
        <is>
          <t>Home</t>
        </is>
      </c>
      <c r="K230" s="2">
        <f>IF(A230&lt;&gt;A229,"",IF(I229="no",D229,K229))</f>
        <v/>
      </c>
      <c r="L230" s="2">
        <f>IF(OR(A230&lt;&gt;A229,K230=""),"",IF(I229="no",F230,L229+F230))</f>
        <v/>
      </c>
      <c r="M230" s="2">
        <f>IF(AND(I230="no",K230&lt;&gt;""),D230-K230,"")</f>
        <v/>
      </c>
      <c r="N230" s="19">
        <f>IF(M230="","",L230/M230*100)</f>
        <v/>
      </c>
      <c r="O230" s="2">
        <f>A230&amp;"|"&amp;C230</f>
        <v/>
      </c>
    </row>
    <row r="231">
      <c r="A231" s="4" t="inlineStr">
        <is>
          <t>ev</t>
        </is>
      </c>
      <c r="B231" s="4" t="inlineStr">
        <is>
          <t>alex</t>
        </is>
      </c>
      <c r="C231" s="4" t="inlineStr">
        <is>
          <t>2025-04-10 23:56</t>
        </is>
      </c>
      <c r="D231" s="4" t="n">
        <v>19138.6</v>
      </c>
      <c r="E231" s="4" t="inlineStr">
        <is>
          <t>ev</t>
        </is>
      </c>
      <c r="F231" s="4" t="n">
        <v>14.508</v>
      </c>
      <c r="G231" s="4" t="n">
        <v>0.075</v>
      </c>
      <c r="H231" s="4" t="n">
        <v>1.09</v>
      </c>
      <c r="I231" s="4" t="inlineStr">
        <is>
          <t>no</t>
        </is>
      </c>
      <c r="J231" s="4" t="inlineStr">
        <is>
          <t>Home</t>
        </is>
      </c>
      <c r="K231" s="2">
        <f>IF(A231&lt;&gt;A230,"",IF(I230="no",D230,K230))</f>
        <v/>
      </c>
      <c r="L231" s="2">
        <f>IF(OR(A231&lt;&gt;A230,K231=""),"",IF(I230="no",F231,L230+F231))</f>
        <v/>
      </c>
      <c r="M231" s="2">
        <f>IF(AND(I231="no",K231&lt;&gt;""),D231-K231,"")</f>
        <v/>
      </c>
      <c r="N231" s="19">
        <f>IF(M231="","",L231/M231*100)</f>
        <v/>
      </c>
      <c r="O231" s="2">
        <f>A231&amp;"|"&amp;C231</f>
        <v/>
      </c>
    </row>
    <row r="232">
      <c r="A232" s="4" t="inlineStr">
        <is>
          <t>ev</t>
        </is>
      </c>
      <c r="B232" s="4" t="inlineStr">
        <is>
          <t>alex</t>
        </is>
      </c>
      <c r="C232" s="4" t="inlineStr">
        <is>
          <t>2025-04-12 23:55</t>
        </is>
      </c>
      <c r="D232" s="4" t="n">
        <v>19187</v>
      </c>
      <c r="E232" s="4" t="inlineStr">
        <is>
          <t>ev</t>
        </is>
      </c>
      <c r="F232" s="4" t="n">
        <v>8.077</v>
      </c>
      <c r="G232" s="4" t="n">
        <v>0.075</v>
      </c>
      <c r="H232" s="4" t="n">
        <v>0.61</v>
      </c>
      <c r="I232" s="4" t="inlineStr">
        <is>
          <t>no</t>
        </is>
      </c>
      <c r="J232" s="4" t="inlineStr">
        <is>
          <t>Home</t>
        </is>
      </c>
      <c r="K232" s="2">
        <f>IF(A232&lt;&gt;A231,"",IF(I231="no",D231,K231))</f>
        <v/>
      </c>
      <c r="L232" s="2">
        <f>IF(OR(A232&lt;&gt;A231,K232=""),"",IF(I231="no",F232,L231+F232))</f>
        <v/>
      </c>
      <c r="M232" s="2">
        <f>IF(AND(I232="no",K232&lt;&gt;""),D232-K232,"")</f>
        <v/>
      </c>
      <c r="N232" s="19">
        <f>IF(M232="","",L232/M232*100)</f>
        <v/>
      </c>
      <c r="O232" s="2">
        <f>A232&amp;"|"&amp;C232</f>
        <v/>
      </c>
    </row>
    <row r="233">
      <c r="A233" s="4" t="inlineStr">
        <is>
          <t>ev</t>
        </is>
      </c>
      <c r="B233" s="4" t="inlineStr">
        <is>
          <t>alex</t>
        </is>
      </c>
      <c r="C233" s="4" t="inlineStr">
        <is>
          <t>2025-04-15 23:34</t>
        </is>
      </c>
      <c r="D233" s="4" t="n">
        <v>19287</v>
      </c>
      <c r="E233" s="4" t="inlineStr">
        <is>
          <t>ev</t>
        </is>
      </c>
      <c r="F233" s="4" t="n">
        <v>18.269</v>
      </c>
      <c r="G233" s="4" t="n">
        <v>0.075</v>
      </c>
      <c r="H233" s="4" t="n">
        <v>1.37</v>
      </c>
      <c r="I233" s="4" t="inlineStr">
        <is>
          <t>no</t>
        </is>
      </c>
      <c r="J233" s="4" t="inlineStr">
        <is>
          <t>Home</t>
        </is>
      </c>
      <c r="K233" s="2">
        <f>IF(A233&lt;&gt;A232,"",IF(I232="no",D232,K232))</f>
        <v/>
      </c>
      <c r="L233" s="2">
        <f>IF(OR(A233&lt;&gt;A232,K233=""),"",IF(I232="no",F233,L232+F233))</f>
        <v/>
      </c>
      <c r="M233" s="2">
        <f>IF(AND(I233="no",K233&lt;&gt;""),D233-K233,"")</f>
        <v/>
      </c>
      <c r="N233" s="19">
        <f>IF(M233="","",L233/M233*100)</f>
        <v/>
      </c>
      <c r="O233" s="2">
        <f>A233&amp;"|"&amp;C233</f>
        <v/>
      </c>
    </row>
    <row r="234">
      <c r="A234" s="4" t="inlineStr">
        <is>
          <t>ev</t>
        </is>
      </c>
      <c r="B234" s="4" t="inlineStr">
        <is>
          <t>alex</t>
        </is>
      </c>
      <c r="C234" s="4" t="inlineStr">
        <is>
          <t>2025-04-18 23:50</t>
        </is>
      </c>
      <c r="D234" s="4" t="n">
        <v>19392.1</v>
      </c>
      <c r="E234" s="4" t="inlineStr">
        <is>
          <t>ev</t>
        </is>
      </c>
      <c r="F234" s="4" t="n">
        <v>17.835</v>
      </c>
      <c r="G234" s="4" t="n">
        <v>0.075</v>
      </c>
      <c r="H234" s="4" t="n">
        <v>1.34</v>
      </c>
      <c r="I234" s="4" t="inlineStr">
        <is>
          <t>no</t>
        </is>
      </c>
      <c r="J234" s="4" t="inlineStr">
        <is>
          <t>Home</t>
        </is>
      </c>
      <c r="K234" s="2">
        <f>IF(A234&lt;&gt;A233,"",IF(I233="no",D233,K233))</f>
        <v/>
      </c>
      <c r="L234" s="2">
        <f>IF(OR(A234&lt;&gt;A233,K234=""),"",IF(I233="no",F234,L233+F234))</f>
        <v/>
      </c>
      <c r="M234" s="2">
        <f>IF(AND(I234="no",K234&lt;&gt;""),D234-K234,"")</f>
        <v/>
      </c>
      <c r="N234" s="19">
        <f>IF(M234="","",L234/M234*100)</f>
        <v/>
      </c>
      <c r="O234" s="2">
        <f>A234&amp;"|"&amp;C234</f>
        <v/>
      </c>
    </row>
    <row r="235">
      <c r="A235" s="4" t="inlineStr">
        <is>
          <t>ev</t>
        </is>
      </c>
      <c r="B235" s="4" t="inlineStr">
        <is>
          <t>alex</t>
        </is>
      </c>
      <c r="C235" s="4" t="inlineStr">
        <is>
          <t>2025-04-22 23:53</t>
        </is>
      </c>
      <c r="D235" s="4" t="n">
        <v>19494.1</v>
      </c>
      <c r="E235" s="4" t="inlineStr">
        <is>
          <t>ev</t>
        </is>
      </c>
      <c r="F235" s="4" t="n">
        <v>18.332</v>
      </c>
      <c r="G235" s="4" t="n">
        <v>0.075</v>
      </c>
      <c r="H235" s="4" t="n">
        <v>1.37</v>
      </c>
      <c r="I235" s="4" t="inlineStr">
        <is>
          <t>no</t>
        </is>
      </c>
      <c r="J235" s="4" t="inlineStr">
        <is>
          <t>Home</t>
        </is>
      </c>
      <c r="K235" s="2">
        <f>IF(A235&lt;&gt;A234,"",IF(I234="no",D234,K234))</f>
        <v/>
      </c>
      <c r="L235" s="2">
        <f>IF(OR(A235&lt;&gt;A234,K235=""),"",IF(I234="no",F235,L234+F235))</f>
        <v/>
      </c>
      <c r="M235" s="2">
        <f>IF(AND(I235="no",K235&lt;&gt;""),D235-K235,"")</f>
        <v/>
      </c>
      <c r="N235" s="19">
        <f>IF(M235="","",L235/M235*100)</f>
        <v/>
      </c>
      <c r="O235" s="2">
        <f>A235&amp;"|"&amp;C235</f>
        <v/>
      </c>
    </row>
    <row r="236">
      <c r="A236" s="4" t="inlineStr">
        <is>
          <t>ev</t>
        </is>
      </c>
      <c r="B236" s="4" t="inlineStr">
        <is>
          <t>alex</t>
        </is>
      </c>
      <c r="C236" s="4" t="inlineStr">
        <is>
          <t>2025-04-26 10:45</t>
        </is>
      </c>
      <c r="D236" s="4" t="n">
        <v>19585.6</v>
      </c>
      <c r="E236" s="4" t="inlineStr">
        <is>
          <t>ev</t>
        </is>
      </c>
      <c r="F236" s="4" t="n">
        <v>38.165</v>
      </c>
      <c r="G236" s="4" t="n">
        <v>0.79</v>
      </c>
      <c r="H236" s="4" t="n">
        <v>30.15</v>
      </c>
      <c r="I236" s="4" t="inlineStr">
        <is>
          <t>yes</t>
        </is>
      </c>
      <c r="J236" s="4" t="inlineStr">
        <is>
          <t>Ionity Woodall (DC)</t>
        </is>
      </c>
      <c r="K236" s="2">
        <f>IF(A236&lt;&gt;A235,"",IF(I235="no",D235,K235))</f>
        <v/>
      </c>
      <c r="L236" s="2">
        <f>IF(OR(A236&lt;&gt;A235,K236=""),"",IF(I235="no",F236,L235+F236))</f>
        <v/>
      </c>
      <c r="M236" s="2">
        <f>IF(AND(I236="no",K236&lt;&gt;""),D236-K236,"")</f>
        <v/>
      </c>
      <c r="N236" s="19">
        <f>IF(M236="","",L236/M236*100)</f>
        <v/>
      </c>
      <c r="O236" s="2">
        <f>A236&amp;"|"&amp;C236</f>
        <v/>
      </c>
    </row>
    <row r="237">
      <c r="A237" s="4" t="inlineStr">
        <is>
          <t>ev</t>
        </is>
      </c>
      <c r="B237" s="4" t="inlineStr">
        <is>
          <t>alex</t>
        </is>
      </c>
      <c r="C237" s="4" t="inlineStr">
        <is>
          <t>2025-04-29 23:58</t>
        </is>
      </c>
      <c r="D237" s="4" t="n">
        <v>19685.9</v>
      </c>
      <c r="E237" s="4" t="inlineStr">
        <is>
          <t>ev</t>
        </is>
      </c>
      <c r="F237" s="4" t="n">
        <v>13.991</v>
      </c>
      <c r="G237" s="4" t="n">
        <v>0.075</v>
      </c>
      <c r="H237" s="4" t="n">
        <v>1.05</v>
      </c>
      <c r="I237" s="4" t="inlineStr">
        <is>
          <t>no</t>
        </is>
      </c>
      <c r="J237" s="4" t="inlineStr">
        <is>
          <t>Home</t>
        </is>
      </c>
      <c r="K237" s="2">
        <f>IF(A237&lt;&gt;A236,"",IF(I236="no",D236,K236))</f>
        <v/>
      </c>
      <c r="L237" s="2">
        <f>IF(OR(A237&lt;&gt;A236,K237=""),"",IF(I236="no",F237,L236+F237))</f>
        <v/>
      </c>
      <c r="M237" s="2">
        <f>IF(AND(I237="no",K237&lt;&gt;""),D237-K237,"")</f>
        <v/>
      </c>
      <c r="N237" s="19">
        <f>IF(M237="","",L237/M237*100)</f>
        <v/>
      </c>
      <c r="O237" s="2">
        <f>A237&amp;"|"&amp;C237</f>
        <v/>
      </c>
    </row>
    <row r="238">
      <c r="A238" s="4" t="inlineStr">
        <is>
          <t>ev</t>
        </is>
      </c>
      <c r="B238" s="4" t="inlineStr">
        <is>
          <t>alex</t>
        </is>
      </c>
      <c r="C238" s="4" t="inlineStr">
        <is>
          <t>2025-05-03 23:54</t>
        </is>
      </c>
      <c r="D238" s="4" t="n">
        <v>19807.3</v>
      </c>
      <c r="E238" s="4" t="inlineStr">
        <is>
          <t>ev</t>
        </is>
      </c>
      <c r="F238" s="4" t="n">
        <v>21.425</v>
      </c>
      <c r="G238" s="4" t="n">
        <v>0.075</v>
      </c>
      <c r="H238" s="4" t="n">
        <v>1.61</v>
      </c>
      <c r="I238" s="4" t="inlineStr">
        <is>
          <t>no</t>
        </is>
      </c>
      <c r="J238" s="4" t="inlineStr">
        <is>
          <t>Home</t>
        </is>
      </c>
      <c r="K238" s="2">
        <f>IF(A238&lt;&gt;A237,"",IF(I237="no",D237,K237))</f>
        <v/>
      </c>
      <c r="L238" s="2">
        <f>IF(OR(A238&lt;&gt;A237,K238=""),"",IF(I237="no",F238,L237+F238))</f>
        <v/>
      </c>
      <c r="M238" s="2">
        <f>IF(AND(I238="no",K238&lt;&gt;""),D238-K238,"")</f>
        <v/>
      </c>
      <c r="N238" s="19">
        <f>IF(M238="","",L238/M238*100)</f>
        <v/>
      </c>
      <c r="O238" s="2">
        <f>A238&amp;"|"&amp;C238</f>
        <v/>
      </c>
    </row>
    <row r="239">
      <c r="A239" s="4" t="inlineStr">
        <is>
          <t>ev</t>
        </is>
      </c>
      <c r="B239" s="4" t="inlineStr">
        <is>
          <t>alex</t>
        </is>
      </c>
      <c r="C239" s="4" t="inlineStr">
        <is>
          <t>2025-05-05 23:31</t>
        </is>
      </c>
      <c r="D239" s="4" t="n">
        <v>19892.7</v>
      </c>
      <c r="E239" s="4" t="inlineStr">
        <is>
          <t>ev</t>
        </is>
      </c>
      <c r="F239" s="4" t="n">
        <v>14.401</v>
      </c>
      <c r="G239" s="4" t="n">
        <v>0.075</v>
      </c>
      <c r="H239" s="4" t="n">
        <v>1.08</v>
      </c>
      <c r="I239" s="4" t="inlineStr">
        <is>
          <t>no</t>
        </is>
      </c>
      <c r="J239" s="4" t="inlineStr">
        <is>
          <t>Home</t>
        </is>
      </c>
      <c r="K239" s="2">
        <f>IF(A239&lt;&gt;A238,"",IF(I238="no",D238,K238))</f>
        <v/>
      </c>
      <c r="L239" s="2">
        <f>IF(OR(A239&lt;&gt;A238,K239=""),"",IF(I238="no",F239,L238+F239))</f>
        <v/>
      </c>
      <c r="M239" s="2">
        <f>IF(AND(I239="no",K239&lt;&gt;""),D239-K239,"")</f>
        <v/>
      </c>
      <c r="N239" s="19">
        <f>IF(M239="","",L239/M239*100)</f>
        <v/>
      </c>
      <c r="O239" s="2">
        <f>A239&amp;"|"&amp;C239</f>
        <v/>
      </c>
    </row>
    <row r="240">
      <c r="A240" s="4" t="inlineStr">
        <is>
          <t>ev</t>
        </is>
      </c>
      <c r="B240" s="4" t="inlineStr">
        <is>
          <t>alex</t>
        </is>
      </c>
      <c r="C240" s="4" t="inlineStr">
        <is>
          <t>2025-05-07 13:39</t>
        </is>
      </c>
      <c r="D240" s="4" t="n">
        <v>19949.4</v>
      </c>
      <c r="E240" s="4" t="inlineStr">
        <is>
          <t>ev</t>
        </is>
      </c>
      <c r="F240" s="4" t="n">
        <v>23.585</v>
      </c>
      <c r="G240" s="4" t="n">
        <v>0.79</v>
      </c>
      <c r="H240" s="4" t="n">
        <v>18.63</v>
      </c>
      <c r="I240" s="4" t="inlineStr">
        <is>
          <t>yes</t>
        </is>
      </c>
      <c r="J240" s="4" t="inlineStr">
        <is>
          <t>Ionity Woodall (DC)</t>
        </is>
      </c>
      <c r="K240" s="2">
        <f>IF(A240&lt;&gt;A239,"",IF(I239="no",D239,K239))</f>
        <v/>
      </c>
      <c r="L240" s="2">
        <f>IF(OR(A240&lt;&gt;A239,K240=""),"",IF(I239="no",F240,L239+F240))</f>
        <v/>
      </c>
      <c r="M240" s="2">
        <f>IF(AND(I240="no",K240&lt;&gt;""),D240-K240,"")</f>
        <v/>
      </c>
      <c r="N240" s="19">
        <f>IF(M240="","",L240/M240*100)</f>
        <v/>
      </c>
      <c r="O240" s="2">
        <f>A240&amp;"|"&amp;C240</f>
        <v/>
      </c>
    </row>
    <row r="241">
      <c r="A241" s="4" t="inlineStr">
        <is>
          <t>ev</t>
        </is>
      </c>
      <c r="B241" s="4" t="inlineStr">
        <is>
          <t>alex</t>
        </is>
      </c>
      <c r="C241" s="4" t="inlineStr">
        <is>
          <t>2025-05-10 17:34</t>
        </is>
      </c>
      <c r="D241" s="4" t="n">
        <v>20049.4</v>
      </c>
      <c r="E241" s="4" t="inlineStr">
        <is>
          <t>ev</t>
        </is>
      </c>
      <c r="F241" s="4" t="n">
        <v>6.326</v>
      </c>
      <c r="G241" s="4" t="n">
        <v>0.52</v>
      </c>
      <c r="H241" s="4" t="n">
        <v>3.29</v>
      </c>
      <c r="I241" s="4" t="inlineStr">
        <is>
          <t>yes</t>
        </is>
      </c>
      <c r="J241" s="4" t="inlineStr">
        <is>
          <t>Leeds Council car park (AC)</t>
        </is>
      </c>
      <c r="K241" s="2">
        <f>IF(A241&lt;&gt;A240,"",IF(I240="no",D240,K240))</f>
        <v/>
      </c>
      <c r="L241" s="2">
        <f>IF(OR(A241&lt;&gt;A240,K241=""),"",IF(I240="no",F241,L240+F241))</f>
        <v/>
      </c>
      <c r="M241" s="2">
        <f>IF(AND(I241="no",K241&lt;&gt;""),D241-K241,"")</f>
        <v/>
      </c>
      <c r="N241" s="19">
        <f>IF(M241="","",L241/M241*100)</f>
        <v/>
      </c>
      <c r="O241" s="2">
        <f>A241&amp;"|"&amp;C241</f>
        <v/>
      </c>
    </row>
    <row r="242">
      <c r="A242" s="4" t="inlineStr">
        <is>
          <t>ev</t>
        </is>
      </c>
      <c r="B242" s="4" t="inlineStr">
        <is>
          <t>alex</t>
        </is>
      </c>
      <c r="C242" s="4" t="inlineStr">
        <is>
          <t>2025-05-12 23:47</t>
        </is>
      </c>
      <c r="D242" s="4" t="n">
        <v>20095.6</v>
      </c>
      <c r="E242" s="4" t="inlineStr">
        <is>
          <t>ev</t>
        </is>
      </c>
      <c r="F242" s="4" t="n">
        <v>16.209</v>
      </c>
      <c r="G242" s="4" t="n">
        <v>0.075</v>
      </c>
      <c r="H242" s="4" t="n">
        <v>1.22</v>
      </c>
      <c r="I242" s="4" t="inlineStr">
        <is>
          <t>no</t>
        </is>
      </c>
      <c r="J242" s="4" t="inlineStr">
        <is>
          <t>Home</t>
        </is>
      </c>
      <c r="K242" s="2">
        <f>IF(A242&lt;&gt;A241,"",IF(I241="no",D241,K241))</f>
        <v/>
      </c>
      <c r="L242" s="2">
        <f>IF(OR(A242&lt;&gt;A241,K242=""),"",IF(I241="no",F242,L241+F242))</f>
        <v/>
      </c>
      <c r="M242" s="2">
        <f>IF(AND(I242="no",K242&lt;&gt;""),D242-K242,"")</f>
        <v/>
      </c>
      <c r="N242" s="19">
        <f>IF(M242="","",L242/M242*100)</f>
        <v/>
      </c>
      <c r="O242" s="2">
        <f>A242&amp;"|"&amp;C242</f>
        <v/>
      </c>
    </row>
    <row r="243">
      <c r="A243" s="4" t="inlineStr">
        <is>
          <t>ev</t>
        </is>
      </c>
      <c r="B243" s="4" t="inlineStr">
        <is>
          <t>alex</t>
        </is>
      </c>
      <c r="C243" s="4" t="inlineStr">
        <is>
          <t>2025-05-16 23:58</t>
        </is>
      </c>
      <c r="D243" s="4" t="n">
        <v>20216.3</v>
      </c>
      <c r="E243" s="4" t="inlineStr">
        <is>
          <t>ev</t>
        </is>
      </c>
      <c r="F243" s="4" t="n">
        <v>21.071</v>
      </c>
      <c r="G243" s="4" t="n">
        <v>0.075</v>
      </c>
      <c r="H243" s="4" t="n">
        <v>1.58</v>
      </c>
      <c r="I243" s="4" t="inlineStr">
        <is>
          <t>no</t>
        </is>
      </c>
      <c r="J243" s="4" t="inlineStr">
        <is>
          <t>Home</t>
        </is>
      </c>
      <c r="K243" s="2">
        <f>IF(A243&lt;&gt;A242,"",IF(I242="no",D242,K242))</f>
        <v/>
      </c>
      <c r="L243" s="2">
        <f>IF(OR(A243&lt;&gt;A242,K243=""),"",IF(I242="no",F243,L242+F243))</f>
        <v/>
      </c>
      <c r="M243" s="2">
        <f>IF(AND(I243="no",K243&lt;&gt;""),D243-K243,"")</f>
        <v/>
      </c>
      <c r="N243" s="19">
        <f>IF(M243="","",L243/M243*100)</f>
        <v/>
      </c>
      <c r="O243" s="2">
        <f>A243&amp;"|"&amp;C243</f>
        <v/>
      </c>
    </row>
    <row r="244">
      <c r="A244" s="4" t="inlineStr">
        <is>
          <t>ev</t>
        </is>
      </c>
      <c r="B244" s="4" t="inlineStr">
        <is>
          <t>alex</t>
        </is>
      </c>
      <c r="C244" s="4" t="inlineStr">
        <is>
          <t>2025-05-20 23:41</t>
        </is>
      </c>
      <c r="D244" s="4" t="n">
        <v>20310.6</v>
      </c>
      <c r="E244" s="4" t="inlineStr">
        <is>
          <t>ev</t>
        </is>
      </c>
      <c r="F244" s="4" t="n">
        <v>16.359</v>
      </c>
      <c r="G244" s="4" t="n">
        <v>0.075</v>
      </c>
      <c r="H244" s="4" t="n">
        <v>1.23</v>
      </c>
      <c r="I244" s="4" t="inlineStr">
        <is>
          <t>no</t>
        </is>
      </c>
      <c r="J244" s="4" t="inlineStr">
        <is>
          <t>Home</t>
        </is>
      </c>
      <c r="K244" s="2">
        <f>IF(A244&lt;&gt;A243,"",IF(I243="no",D243,K243))</f>
        <v/>
      </c>
      <c r="L244" s="2">
        <f>IF(OR(A244&lt;&gt;A243,K244=""),"",IF(I243="no",F244,L243+F244))</f>
        <v/>
      </c>
      <c r="M244" s="2">
        <f>IF(AND(I244="no",K244&lt;&gt;""),D244-K244,"")</f>
        <v/>
      </c>
      <c r="N244" s="19">
        <f>IF(M244="","",L244/M244*100)</f>
        <v/>
      </c>
      <c r="O244" s="2">
        <f>A244&amp;"|"&amp;C244</f>
        <v/>
      </c>
    </row>
    <row r="245">
      <c r="A245" s="4" t="inlineStr">
        <is>
          <t>ev</t>
        </is>
      </c>
      <c r="B245" s="4" t="inlineStr">
        <is>
          <t>alex</t>
        </is>
      </c>
      <c r="C245" s="4" t="inlineStr">
        <is>
          <t>2025-05-24 23:57</t>
        </is>
      </c>
      <c r="D245" s="4" t="n">
        <v>20407.1</v>
      </c>
      <c r="E245" s="4" t="inlineStr">
        <is>
          <t>ev</t>
        </is>
      </c>
      <c r="F245" s="4" t="n">
        <v>17.018</v>
      </c>
      <c r="G245" s="4" t="n">
        <v>0.075</v>
      </c>
      <c r="H245" s="4" t="n">
        <v>1.28</v>
      </c>
      <c r="I245" s="4" t="inlineStr">
        <is>
          <t>no</t>
        </is>
      </c>
      <c r="J245" s="4" t="inlineStr">
        <is>
          <t>Home</t>
        </is>
      </c>
      <c r="K245" s="2">
        <f>IF(A245&lt;&gt;A244,"",IF(I244="no",D244,K244))</f>
        <v/>
      </c>
      <c r="L245" s="2">
        <f>IF(OR(A245&lt;&gt;A244,K245=""),"",IF(I244="no",F245,L244+F245))</f>
        <v/>
      </c>
      <c r="M245" s="2">
        <f>IF(AND(I245="no",K245&lt;&gt;""),D245-K245,"")</f>
        <v/>
      </c>
      <c r="N245" s="19">
        <f>IF(M245="","",L245/M245*100)</f>
        <v/>
      </c>
      <c r="O245" s="2">
        <f>A245&amp;"|"&amp;C245</f>
        <v/>
      </c>
    </row>
    <row r="246">
      <c r="A246" s="4" t="inlineStr">
        <is>
          <t>ev</t>
        </is>
      </c>
      <c r="B246" s="4" t="inlineStr">
        <is>
          <t>alex</t>
        </is>
      </c>
      <c r="C246" s="4" t="inlineStr">
        <is>
          <t>2025-05-27 14:44</t>
        </is>
      </c>
      <c r="D246" s="4" t="n">
        <v>20444.5</v>
      </c>
      <c r="E246" s="4" t="inlineStr">
        <is>
          <t>ev</t>
        </is>
      </c>
      <c r="F246" s="4" t="n">
        <v>11.831</v>
      </c>
      <c r="G246" s="4" t="n">
        <v>0.52</v>
      </c>
      <c r="H246" s="4" t="n">
        <v>6.15</v>
      </c>
      <c r="I246" s="4" t="inlineStr">
        <is>
          <t>yes</t>
        </is>
      </c>
      <c r="J246" s="4" t="inlineStr">
        <is>
          <t>Leeds Council car park (AC)</t>
        </is>
      </c>
      <c r="K246" s="2">
        <f>IF(A246&lt;&gt;A245,"",IF(I245="no",D245,K245))</f>
        <v/>
      </c>
      <c r="L246" s="2">
        <f>IF(OR(A246&lt;&gt;A245,K246=""),"",IF(I245="no",F246,L245+F246))</f>
        <v/>
      </c>
      <c r="M246" s="2">
        <f>IF(AND(I246="no",K246&lt;&gt;""),D246-K246,"")</f>
        <v/>
      </c>
      <c r="N246" s="19">
        <f>IF(M246="","",L246/M246*100)</f>
        <v/>
      </c>
      <c r="O246" s="2">
        <f>A246&amp;"|"&amp;C246</f>
        <v/>
      </c>
    </row>
    <row r="247">
      <c r="A247" s="4" t="inlineStr">
        <is>
          <t>ev</t>
        </is>
      </c>
      <c r="B247" s="4" t="inlineStr">
        <is>
          <t>alex</t>
        </is>
      </c>
      <c r="C247" s="4" t="inlineStr">
        <is>
          <t>2025-05-30 23:39</t>
        </is>
      </c>
      <c r="D247" s="4" t="n">
        <v>20558.6</v>
      </c>
      <c r="E247" s="4" t="inlineStr">
        <is>
          <t>ev</t>
        </is>
      </c>
      <c r="F247" s="4" t="n">
        <v>19.457</v>
      </c>
      <c r="G247" s="4" t="n">
        <v>0.075</v>
      </c>
      <c r="H247" s="4" t="n">
        <v>1.46</v>
      </c>
      <c r="I247" s="4" t="inlineStr">
        <is>
          <t>no</t>
        </is>
      </c>
      <c r="J247" s="4" t="inlineStr">
        <is>
          <t>Home</t>
        </is>
      </c>
      <c r="K247" s="2">
        <f>IF(A247&lt;&gt;A246,"",IF(I246="no",D246,K246))</f>
        <v/>
      </c>
      <c r="L247" s="2">
        <f>IF(OR(A247&lt;&gt;A246,K247=""),"",IF(I246="no",F247,L246+F247))</f>
        <v/>
      </c>
      <c r="M247" s="2">
        <f>IF(AND(I247="no",K247&lt;&gt;""),D247-K247,"")</f>
        <v/>
      </c>
      <c r="N247" s="19">
        <f>IF(M247="","",L247/M247*100)</f>
        <v/>
      </c>
      <c r="O247" s="2">
        <f>A247&amp;"|"&amp;C247</f>
        <v/>
      </c>
    </row>
    <row r="248">
      <c r="A248" s="4" t="inlineStr">
        <is>
          <t>ev</t>
        </is>
      </c>
      <c r="B248" s="4" t="inlineStr">
        <is>
          <t>alex</t>
        </is>
      </c>
      <c r="C248" s="4" t="inlineStr">
        <is>
          <t>2025-06-01 13:08</t>
        </is>
      </c>
      <c r="D248" s="4" t="n">
        <v>20611.5</v>
      </c>
      <c r="E248" s="4" t="inlineStr">
        <is>
          <t>ev</t>
        </is>
      </c>
      <c r="F248" s="4" t="n">
        <v>22.414</v>
      </c>
      <c r="G248" s="4" t="n">
        <v>0.79</v>
      </c>
      <c r="H248" s="4" t="n">
        <v>17.71</v>
      </c>
      <c r="I248" s="4" t="inlineStr">
        <is>
          <t>yes</t>
        </is>
      </c>
      <c r="J248" s="4" t="inlineStr">
        <is>
          <t>Ionity Woodall (DC)</t>
        </is>
      </c>
      <c r="K248" s="2">
        <f>IF(A248&lt;&gt;A247,"",IF(I247="no",D247,K247))</f>
        <v/>
      </c>
      <c r="L248" s="2">
        <f>IF(OR(A248&lt;&gt;A247,K248=""),"",IF(I247="no",F248,L247+F248))</f>
        <v/>
      </c>
      <c r="M248" s="2">
        <f>IF(AND(I248="no",K248&lt;&gt;""),D248-K248,"")</f>
        <v/>
      </c>
      <c r="N248" s="19">
        <f>IF(M248="","",L248/M248*100)</f>
        <v/>
      </c>
      <c r="O248" s="2">
        <f>A248&amp;"|"&amp;C248</f>
        <v/>
      </c>
    </row>
    <row r="249">
      <c r="A249" s="4" t="inlineStr">
        <is>
          <t>ev</t>
        </is>
      </c>
      <c r="B249" s="4" t="inlineStr">
        <is>
          <t>alex</t>
        </is>
      </c>
      <c r="C249" s="4" t="inlineStr">
        <is>
          <t>2025-06-02 23:59</t>
        </is>
      </c>
      <c r="D249" s="4" t="n">
        <v>20666.3</v>
      </c>
      <c r="E249" s="4" t="inlineStr">
        <is>
          <t>ev</t>
        </is>
      </c>
      <c r="F249" s="4" t="n">
        <v>7.264</v>
      </c>
      <c r="G249" s="4" t="n">
        <v>0.075</v>
      </c>
      <c r="H249" s="4" t="n">
        <v>0.54</v>
      </c>
      <c r="I249" s="4" t="inlineStr">
        <is>
          <t>no</t>
        </is>
      </c>
      <c r="J249" s="4" t="inlineStr">
        <is>
          <t>Home</t>
        </is>
      </c>
      <c r="K249" s="2">
        <f>IF(A249&lt;&gt;A248,"",IF(I248="no",D248,K248))</f>
        <v/>
      </c>
      <c r="L249" s="2">
        <f>IF(OR(A249&lt;&gt;A248,K249=""),"",IF(I248="no",F249,L248+F249))</f>
        <v/>
      </c>
      <c r="M249" s="2">
        <f>IF(AND(I249="no",K249&lt;&gt;""),D249-K249,"")</f>
        <v/>
      </c>
      <c r="N249" s="19">
        <f>IF(M249="","",L249/M249*100)</f>
        <v/>
      </c>
      <c r="O249" s="2">
        <f>A249&amp;"|"&amp;C249</f>
        <v/>
      </c>
    </row>
    <row r="250">
      <c r="A250" s="4" t="inlineStr">
        <is>
          <t>ev</t>
        </is>
      </c>
      <c r="B250" s="4" t="inlineStr">
        <is>
          <t>alex</t>
        </is>
      </c>
      <c r="C250" s="4" t="inlineStr">
        <is>
          <t>2025-06-05 10:42</t>
        </is>
      </c>
      <c r="D250" s="4" t="n">
        <v>20741.6</v>
      </c>
      <c r="E250" s="4" t="inlineStr">
        <is>
          <t>ev</t>
        </is>
      </c>
      <c r="F250" s="4" t="n">
        <v>30.133</v>
      </c>
      <c r="G250" s="4" t="n">
        <v>0.79</v>
      </c>
      <c r="H250" s="4" t="n">
        <v>23.81</v>
      </c>
      <c r="I250" s="4" t="inlineStr">
        <is>
          <t>yes</t>
        </is>
      </c>
      <c r="J250" s="4" t="inlineStr">
        <is>
          <t>Ionity Woodall (DC)</t>
        </is>
      </c>
      <c r="K250" s="2">
        <f>IF(A250&lt;&gt;A249,"",IF(I249="no",D249,K249))</f>
        <v/>
      </c>
      <c r="L250" s="2">
        <f>IF(OR(A250&lt;&gt;A249,K250=""),"",IF(I249="no",F250,L249+F250))</f>
        <v/>
      </c>
      <c r="M250" s="2">
        <f>IF(AND(I250="no",K250&lt;&gt;""),D250-K250,"")</f>
        <v/>
      </c>
      <c r="N250" s="19">
        <f>IF(M250="","",L250/M250*100)</f>
        <v/>
      </c>
      <c r="O250" s="2">
        <f>A250&amp;"|"&amp;C250</f>
        <v/>
      </c>
    </row>
    <row r="251">
      <c r="A251" s="4" t="inlineStr">
        <is>
          <t>ev</t>
        </is>
      </c>
      <c r="B251" s="4" t="inlineStr">
        <is>
          <t>alex</t>
        </is>
      </c>
      <c r="C251" s="4" t="inlineStr">
        <is>
          <t>2025-06-09 23:46</t>
        </is>
      </c>
      <c r="D251" s="4" t="n">
        <v>20844.4</v>
      </c>
      <c r="E251" s="4" t="inlineStr">
        <is>
          <t>ev</t>
        </is>
      </c>
      <c r="F251" s="4" t="n">
        <v>16.349</v>
      </c>
      <c r="G251" s="4" t="n">
        <v>0.075</v>
      </c>
      <c r="H251" s="4" t="n">
        <v>1.23</v>
      </c>
      <c r="I251" s="4" t="inlineStr">
        <is>
          <t>no</t>
        </is>
      </c>
      <c r="J251" s="4" t="inlineStr">
        <is>
          <t>Home</t>
        </is>
      </c>
      <c r="K251" s="2">
        <f>IF(A251&lt;&gt;A250,"",IF(I250="no",D250,K250))</f>
        <v/>
      </c>
      <c r="L251" s="2">
        <f>IF(OR(A251&lt;&gt;A250,K251=""),"",IF(I250="no",F251,L250+F251))</f>
        <v/>
      </c>
      <c r="M251" s="2">
        <f>IF(AND(I251="no",K251&lt;&gt;""),D251-K251,"")</f>
        <v/>
      </c>
      <c r="N251" s="19">
        <f>IF(M251="","",L251/M251*100)</f>
        <v/>
      </c>
      <c r="O251" s="2">
        <f>A251&amp;"|"&amp;C251</f>
        <v/>
      </c>
    </row>
    <row r="252">
      <c r="A252" s="4" t="inlineStr">
        <is>
          <t>ev</t>
        </is>
      </c>
      <c r="B252" s="4" t="inlineStr">
        <is>
          <t>alex</t>
        </is>
      </c>
      <c r="C252" s="4" t="inlineStr">
        <is>
          <t>2025-06-13 23:49</t>
        </is>
      </c>
      <c r="D252" s="4" t="n">
        <v>20946.1</v>
      </c>
      <c r="E252" s="4" t="inlineStr">
        <is>
          <t>ev</t>
        </is>
      </c>
      <c r="F252" s="4" t="n">
        <v>17.767</v>
      </c>
      <c r="G252" s="4" t="n">
        <v>0.075</v>
      </c>
      <c r="H252" s="4" t="n">
        <v>1.33</v>
      </c>
      <c r="I252" s="4" t="inlineStr">
        <is>
          <t>no</t>
        </is>
      </c>
      <c r="J252" s="4" t="inlineStr">
        <is>
          <t>Home</t>
        </is>
      </c>
      <c r="K252" s="2">
        <f>IF(A252&lt;&gt;A251,"",IF(I251="no",D251,K251))</f>
        <v/>
      </c>
      <c r="L252" s="2">
        <f>IF(OR(A252&lt;&gt;A251,K252=""),"",IF(I251="no",F252,L251+F252))</f>
        <v/>
      </c>
      <c r="M252" s="2">
        <f>IF(AND(I252="no",K252&lt;&gt;""),D252-K252,"")</f>
        <v/>
      </c>
      <c r="N252" s="19">
        <f>IF(M252="","",L252/M252*100)</f>
        <v/>
      </c>
      <c r="O252" s="2">
        <f>A252&amp;"|"&amp;C252</f>
        <v/>
      </c>
    </row>
    <row r="253">
      <c r="A253" s="4" t="inlineStr">
        <is>
          <t>ev</t>
        </is>
      </c>
      <c r="B253" s="4" t="inlineStr">
        <is>
          <t>alex</t>
        </is>
      </c>
      <c r="C253" s="4" t="inlineStr">
        <is>
          <t>2025-06-14 11:05</t>
        </is>
      </c>
      <c r="D253" s="4" t="n">
        <v>20956.6</v>
      </c>
      <c r="E253" s="4" t="inlineStr">
        <is>
          <t>ev</t>
        </is>
      </c>
      <c r="F253" s="4" t="n">
        <v>12.4</v>
      </c>
      <c r="G253" s="4" t="n">
        <v>0</v>
      </c>
      <c r="H253" s="4" t="n">
        <v>0</v>
      </c>
      <c r="I253" s="4" t="inlineStr">
        <is>
          <t>yes</t>
        </is>
      </c>
      <c r="J253" s="4" t="inlineStr">
        <is>
          <t>Tesco Seacroft (free)</t>
        </is>
      </c>
      <c r="K253" s="2">
        <f>IF(A253&lt;&gt;A252,"",IF(I252="no",D252,K252))</f>
        <v/>
      </c>
      <c r="L253" s="2">
        <f>IF(OR(A253&lt;&gt;A252,K253=""),"",IF(I252="no",F253,L252+F253))</f>
        <v/>
      </c>
      <c r="M253" s="2">
        <f>IF(AND(I253="no",K253&lt;&gt;""),D253-K253,"")</f>
        <v/>
      </c>
      <c r="N253" s="19">
        <f>IF(M253="","",L253/M253*100)</f>
        <v/>
      </c>
      <c r="O253" s="2">
        <f>A253&amp;"|"&amp;C253</f>
        <v/>
      </c>
    </row>
    <row r="254">
      <c r="A254" s="4" t="inlineStr">
        <is>
          <t>ev</t>
        </is>
      </c>
      <c r="B254" s="4" t="inlineStr">
        <is>
          <t>alex</t>
        </is>
      </c>
      <c r="C254" s="4" t="inlineStr">
        <is>
          <t>2025-06-17 23:33</t>
        </is>
      </c>
      <c r="D254" s="4" t="n">
        <v>21062.2</v>
      </c>
      <c r="E254" s="4" t="inlineStr">
        <is>
          <t>ev</t>
        </is>
      </c>
      <c r="F254" s="4" t="n">
        <v>16.82</v>
      </c>
      <c r="G254" s="4" t="n">
        <v>0.075</v>
      </c>
      <c r="H254" s="4" t="n">
        <v>1.26</v>
      </c>
      <c r="I254" s="4" t="inlineStr">
        <is>
          <t>no</t>
        </is>
      </c>
      <c r="J254" s="4" t="inlineStr">
        <is>
          <t>Home</t>
        </is>
      </c>
      <c r="K254" s="2">
        <f>IF(A254&lt;&gt;A253,"",IF(I253="no",D253,K253))</f>
        <v/>
      </c>
      <c r="L254" s="2">
        <f>IF(OR(A254&lt;&gt;A253,K254=""),"",IF(I253="no",F254,L253+F254))</f>
        <v/>
      </c>
      <c r="M254" s="2">
        <f>IF(AND(I254="no",K254&lt;&gt;""),D254-K254,"")</f>
        <v/>
      </c>
      <c r="N254" s="19">
        <f>IF(M254="","",L254/M254*100)</f>
        <v/>
      </c>
      <c r="O254" s="2">
        <f>A254&amp;"|"&amp;C254</f>
        <v/>
      </c>
    </row>
    <row r="255">
      <c r="A255" s="4" t="inlineStr">
        <is>
          <t>ev</t>
        </is>
      </c>
      <c r="B255" s="4" t="inlineStr">
        <is>
          <t>alex</t>
        </is>
      </c>
      <c r="C255" s="4" t="inlineStr">
        <is>
          <t>2025-06-20 10:53</t>
        </is>
      </c>
      <c r="D255" s="4" t="n">
        <v>21155.3</v>
      </c>
      <c r="E255" s="4" t="inlineStr">
        <is>
          <t>ev</t>
        </is>
      </c>
      <c r="F255" s="4" t="n">
        <v>28.091</v>
      </c>
      <c r="G255" s="4" t="n">
        <v>0.79</v>
      </c>
      <c r="H255" s="4" t="n">
        <v>22.19</v>
      </c>
      <c r="I255" s="4" t="inlineStr">
        <is>
          <t>yes</t>
        </is>
      </c>
      <c r="J255" s="4" t="inlineStr">
        <is>
          <t>Ionity Woodall (DC)</t>
        </is>
      </c>
      <c r="K255" s="2">
        <f>IF(A255&lt;&gt;A254,"",IF(I254="no",D254,K254))</f>
        <v/>
      </c>
      <c r="L255" s="2">
        <f>IF(OR(A255&lt;&gt;A254,K255=""),"",IF(I254="no",F255,L254+F255))</f>
        <v/>
      </c>
      <c r="M255" s="2">
        <f>IF(AND(I255="no",K255&lt;&gt;""),D255-K255,"")</f>
        <v/>
      </c>
      <c r="N255" s="19">
        <f>IF(M255="","",L255/M255*100)</f>
        <v/>
      </c>
      <c r="O255" s="2">
        <f>A255&amp;"|"&amp;C255</f>
        <v/>
      </c>
    </row>
    <row r="256">
      <c r="A256" s="4" t="inlineStr">
        <is>
          <t>ev</t>
        </is>
      </c>
      <c r="B256" s="4" t="inlineStr">
        <is>
          <t>alex</t>
        </is>
      </c>
      <c r="C256" s="4" t="inlineStr">
        <is>
          <t>2025-06-22 10:27</t>
        </is>
      </c>
      <c r="D256" s="4" t="n">
        <v>21237.7</v>
      </c>
      <c r="E256" s="4" t="inlineStr">
        <is>
          <t>ev</t>
        </is>
      </c>
      <c r="F256" s="4" t="n">
        <v>9.585000000000001</v>
      </c>
      <c r="G256" s="4" t="n">
        <v>0.52</v>
      </c>
      <c r="H256" s="4" t="n">
        <v>4.98</v>
      </c>
      <c r="I256" s="4" t="inlineStr">
        <is>
          <t>yes</t>
        </is>
      </c>
      <c r="J256" s="4" t="inlineStr">
        <is>
          <t>Leeds Council car park (AC)</t>
        </is>
      </c>
      <c r="K256" s="2">
        <f>IF(A256&lt;&gt;A255,"",IF(I255="no",D255,K255))</f>
        <v/>
      </c>
      <c r="L256" s="2">
        <f>IF(OR(A256&lt;&gt;A255,K256=""),"",IF(I255="no",F256,L255+F256))</f>
        <v/>
      </c>
      <c r="M256" s="2">
        <f>IF(AND(I256="no",K256&lt;&gt;""),D256-K256,"")</f>
        <v/>
      </c>
      <c r="N256" s="19">
        <f>IF(M256="","",L256/M256*100)</f>
        <v/>
      </c>
      <c r="O256" s="2">
        <f>A256&amp;"|"&amp;C256</f>
        <v/>
      </c>
    </row>
    <row r="257">
      <c r="A257" s="4" t="inlineStr">
        <is>
          <t>ev</t>
        </is>
      </c>
      <c r="B257" s="4" t="inlineStr">
        <is>
          <t>alex</t>
        </is>
      </c>
      <c r="C257" s="4" t="inlineStr">
        <is>
          <t>2025-06-24 23:58</t>
        </is>
      </c>
      <c r="D257" s="4" t="n">
        <v>21347</v>
      </c>
      <c r="E257" s="4" t="inlineStr">
        <is>
          <t>ev</t>
        </is>
      </c>
      <c r="F257" s="4" t="n">
        <v>20.17</v>
      </c>
      <c r="G257" s="4" t="n">
        <v>0.075</v>
      </c>
      <c r="H257" s="4" t="n">
        <v>1.51</v>
      </c>
      <c r="I257" s="4" t="inlineStr">
        <is>
          <t>no</t>
        </is>
      </c>
      <c r="J257" s="4" t="inlineStr">
        <is>
          <t>Home</t>
        </is>
      </c>
      <c r="K257" s="2">
        <f>IF(A257&lt;&gt;A256,"",IF(I256="no",D256,K256))</f>
        <v/>
      </c>
      <c r="L257" s="2">
        <f>IF(OR(A257&lt;&gt;A256,K257=""),"",IF(I256="no",F257,L256+F257))</f>
        <v/>
      </c>
      <c r="M257" s="2">
        <f>IF(AND(I257="no",K257&lt;&gt;""),D257-K257,"")</f>
        <v/>
      </c>
      <c r="N257" s="19">
        <f>IF(M257="","",L257/M257*100)</f>
        <v/>
      </c>
      <c r="O257" s="2">
        <f>A257&amp;"|"&amp;C257</f>
        <v/>
      </c>
    </row>
    <row r="258">
      <c r="A258" s="4" t="inlineStr">
        <is>
          <t>ev</t>
        </is>
      </c>
      <c r="B258" s="4" t="inlineStr">
        <is>
          <t>alex</t>
        </is>
      </c>
      <c r="C258" s="4" t="inlineStr">
        <is>
          <t>2025-06-28 23:36</t>
        </is>
      </c>
      <c r="D258" s="4" t="n">
        <v>21458.7</v>
      </c>
      <c r="E258" s="4" t="inlineStr">
        <is>
          <t>ev</t>
        </is>
      </c>
      <c r="F258" s="4" t="n">
        <v>19.772</v>
      </c>
      <c r="G258" s="4" t="n">
        <v>0.075</v>
      </c>
      <c r="H258" s="4" t="n">
        <v>1.48</v>
      </c>
      <c r="I258" s="4" t="inlineStr">
        <is>
          <t>no</t>
        </is>
      </c>
      <c r="J258" s="4" t="inlineStr">
        <is>
          <t>Home</t>
        </is>
      </c>
      <c r="K258" s="2">
        <f>IF(A258&lt;&gt;A257,"",IF(I257="no",D257,K257))</f>
        <v/>
      </c>
      <c r="L258" s="2">
        <f>IF(OR(A258&lt;&gt;A257,K258=""),"",IF(I257="no",F258,L257+F258))</f>
        <v/>
      </c>
      <c r="M258" s="2">
        <f>IF(AND(I258="no",K258&lt;&gt;""),D258-K258,"")</f>
        <v/>
      </c>
      <c r="N258" s="19">
        <f>IF(M258="","",L258/M258*100)</f>
        <v/>
      </c>
      <c r="O258" s="2">
        <f>A258&amp;"|"&amp;C258</f>
        <v/>
      </c>
    </row>
    <row r="259">
      <c r="A259" s="4" t="inlineStr">
        <is>
          <t>ev</t>
        </is>
      </c>
      <c r="B259" s="4" t="inlineStr">
        <is>
          <t>alex</t>
        </is>
      </c>
      <c r="C259" s="4" t="inlineStr">
        <is>
          <t>2025-07-01 23:58</t>
        </is>
      </c>
      <c r="D259" s="4" t="n">
        <v>21572.9</v>
      </c>
      <c r="E259" s="4" t="inlineStr">
        <is>
          <t>ev</t>
        </is>
      </c>
      <c r="F259" s="4" t="n">
        <v>20.03</v>
      </c>
      <c r="G259" s="4" t="n">
        <v>0.075</v>
      </c>
      <c r="H259" s="4" t="n">
        <v>1.5</v>
      </c>
      <c r="I259" s="4" t="inlineStr">
        <is>
          <t>no</t>
        </is>
      </c>
      <c r="J259" s="4" t="inlineStr">
        <is>
          <t>Home</t>
        </is>
      </c>
      <c r="K259" s="2">
        <f>IF(A259&lt;&gt;A258,"",IF(I258="no",D258,K258))</f>
        <v/>
      </c>
      <c r="L259" s="2">
        <f>IF(OR(A259&lt;&gt;A258,K259=""),"",IF(I258="no",F259,L258+F259))</f>
        <v/>
      </c>
      <c r="M259" s="2">
        <f>IF(AND(I259="no",K259&lt;&gt;""),D259-K259,"")</f>
        <v/>
      </c>
      <c r="N259" s="19">
        <f>IF(M259="","",L259/M259*100)</f>
        <v/>
      </c>
      <c r="O259" s="2">
        <f>A259&amp;"|"&amp;C259</f>
        <v/>
      </c>
    </row>
    <row r="260">
      <c r="A260" s="4" t="inlineStr">
        <is>
          <t>ev</t>
        </is>
      </c>
      <c r="B260" s="4" t="inlineStr">
        <is>
          <t>alex</t>
        </is>
      </c>
      <c r="C260" s="4" t="inlineStr">
        <is>
          <t>2025-07-05 23:47</t>
        </is>
      </c>
      <c r="D260" s="4" t="n">
        <v>21697.9</v>
      </c>
      <c r="E260" s="4" t="inlineStr">
        <is>
          <t>ev</t>
        </is>
      </c>
      <c r="F260" s="4" t="n">
        <v>22.849</v>
      </c>
      <c r="G260" s="4" t="n">
        <v>0.075</v>
      </c>
      <c r="H260" s="4" t="n">
        <v>1.71</v>
      </c>
      <c r="I260" s="4" t="inlineStr">
        <is>
          <t>no</t>
        </is>
      </c>
      <c r="J260" s="4" t="inlineStr">
        <is>
          <t>Home</t>
        </is>
      </c>
      <c r="K260" s="2">
        <f>IF(A260&lt;&gt;A259,"",IF(I259="no",D259,K259))</f>
        <v/>
      </c>
      <c r="L260" s="2">
        <f>IF(OR(A260&lt;&gt;A259,K260=""),"",IF(I259="no",F260,L259+F260))</f>
        <v/>
      </c>
      <c r="M260" s="2">
        <f>IF(AND(I260="no",K260&lt;&gt;""),D260-K260,"")</f>
        <v/>
      </c>
      <c r="N260" s="19">
        <f>IF(M260="","",L260/M260*100)</f>
        <v/>
      </c>
      <c r="O260" s="2">
        <f>A260&amp;"|"&amp;C260</f>
        <v/>
      </c>
    </row>
    <row r="261">
      <c r="A261" s="4" t="inlineStr">
        <is>
          <t>ev</t>
        </is>
      </c>
      <c r="B261" s="4" t="inlineStr">
        <is>
          <t>alex</t>
        </is>
      </c>
      <c r="C261" s="4" t="inlineStr">
        <is>
          <t>2025-07-08 23:57</t>
        </is>
      </c>
      <c r="D261" s="4" t="n">
        <v>21799.7</v>
      </c>
      <c r="E261" s="4" t="inlineStr">
        <is>
          <t>ev</t>
        </is>
      </c>
      <c r="F261" s="4" t="n">
        <v>17.158</v>
      </c>
      <c r="G261" s="4" t="n">
        <v>0.075</v>
      </c>
      <c r="H261" s="4" t="n">
        <v>1.29</v>
      </c>
      <c r="I261" s="4" t="inlineStr">
        <is>
          <t>no</t>
        </is>
      </c>
      <c r="J261" s="4" t="inlineStr">
        <is>
          <t>Home</t>
        </is>
      </c>
      <c r="K261" s="2">
        <f>IF(A261&lt;&gt;A260,"",IF(I260="no",D260,K260))</f>
        <v/>
      </c>
      <c r="L261" s="2">
        <f>IF(OR(A261&lt;&gt;A260,K261=""),"",IF(I260="no",F261,L260+F261))</f>
        <v/>
      </c>
      <c r="M261" s="2">
        <f>IF(AND(I261="no",K261&lt;&gt;""),D261-K261,"")</f>
        <v/>
      </c>
      <c r="N261" s="19">
        <f>IF(M261="","",L261/M261*100)</f>
        <v/>
      </c>
      <c r="O261" s="2">
        <f>A261&amp;"|"&amp;C261</f>
        <v/>
      </c>
    </row>
    <row r="262">
      <c r="A262" s="4" t="inlineStr">
        <is>
          <t>ev</t>
        </is>
      </c>
      <c r="B262" s="4" t="inlineStr">
        <is>
          <t>alex</t>
        </is>
      </c>
      <c r="C262" s="4" t="inlineStr">
        <is>
          <t>2025-07-12 17:25</t>
        </is>
      </c>
      <c r="D262" s="4" t="n">
        <v>21898.7</v>
      </c>
      <c r="E262" s="4" t="inlineStr">
        <is>
          <t>ev</t>
        </is>
      </c>
      <c r="F262" s="4" t="n">
        <v>25.949</v>
      </c>
      <c r="G262" s="4" t="n">
        <v>0.79</v>
      </c>
      <c r="H262" s="4" t="n">
        <v>20.5</v>
      </c>
      <c r="I262" s="4" t="inlineStr">
        <is>
          <t>yes</t>
        </is>
      </c>
      <c r="J262" s="4" t="inlineStr">
        <is>
          <t>Ionity Woodall (DC)</t>
        </is>
      </c>
      <c r="K262" s="2">
        <f>IF(A262&lt;&gt;A261,"",IF(I261="no",D261,K261))</f>
        <v/>
      </c>
      <c r="L262" s="2">
        <f>IF(OR(A262&lt;&gt;A261,K262=""),"",IF(I261="no",F262,L261+F262))</f>
        <v/>
      </c>
      <c r="M262" s="2">
        <f>IF(AND(I262="no",K262&lt;&gt;""),D262-K262,"")</f>
        <v/>
      </c>
      <c r="N262" s="19">
        <f>IF(M262="","",L262/M262*100)</f>
        <v/>
      </c>
      <c r="O262" s="2">
        <f>A262&amp;"|"&amp;C262</f>
        <v/>
      </c>
    </row>
    <row r="263">
      <c r="A263" s="4" t="inlineStr">
        <is>
          <t>ev</t>
        </is>
      </c>
      <c r="B263" s="4" t="inlineStr">
        <is>
          <t>alex</t>
        </is>
      </c>
      <c r="C263" s="4" t="inlineStr">
        <is>
          <t>2025-07-15 23:45</t>
        </is>
      </c>
      <c r="D263" s="4" t="n">
        <v>21974.2</v>
      </c>
      <c r="E263" s="4" t="inlineStr">
        <is>
          <t>ev</t>
        </is>
      </c>
      <c r="F263" s="4" t="n">
        <v>11.801</v>
      </c>
      <c r="G263" s="4" t="n">
        <v>0.075</v>
      </c>
      <c r="H263" s="4" t="n">
        <v>0.89</v>
      </c>
      <c r="I263" s="4" t="inlineStr">
        <is>
          <t>no</t>
        </is>
      </c>
      <c r="J263" s="4" t="inlineStr">
        <is>
          <t>Home</t>
        </is>
      </c>
      <c r="K263" s="2">
        <f>IF(A263&lt;&gt;A262,"",IF(I262="no",D262,K262))</f>
        <v/>
      </c>
      <c r="L263" s="2">
        <f>IF(OR(A263&lt;&gt;A262,K263=""),"",IF(I262="no",F263,L262+F263))</f>
        <v/>
      </c>
      <c r="M263" s="2">
        <f>IF(AND(I263="no",K263&lt;&gt;""),D263-K263,"")</f>
        <v/>
      </c>
      <c r="N263" s="19">
        <f>IF(M263="","",L263/M263*100)</f>
        <v/>
      </c>
      <c r="O263" s="2">
        <f>A263&amp;"|"&amp;C263</f>
        <v/>
      </c>
    </row>
    <row r="264">
      <c r="A264" s="4" t="inlineStr">
        <is>
          <t>ev</t>
        </is>
      </c>
      <c r="B264" s="4" t="inlineStr">
        <is>
          <t>alex</t>
        </is>
      </c>
      <c r="C264" s="4" t="inlineStr">
        <is>
          <t>2025-07-18 23:34</t>
        </is>
      </c>
      <c r="D264" s="4" t="n">
        <v>22072.5</v>
      </c>
      <c r="E264" s="4" t="inlineStr">
        <is>
          <t>ev</t>
        </is>
      </c>
      <c r="F264" s="4" t="n">
        <v>17.896</v>
      </c>
      <c r="G264" s="4" t="n">
        <v>0.075</v>
      </c>
      <c r="H264" s="4" t="n">
        <v>1.34</v>
      </c>
      <c r="I264" s="4" t="inlineStr">
        <is>
          <t>no</t>
        </is>
      </c>
      <c r="J264" s="4" t="inlineStr">
        <is>
          <t>Home</t>
        </is>
      </c>
      <c r="K264" s="2">
        <f>IF(A264&lt;&gt;A263,"",IF(I263="no",D263,K263))</f>
        <v/>
      </c>
      <c r="L264" s="2">
        <f>IF(OR(A264&lt;&gt;A263,K264=""),"",IF(I263="no",F264,L263+F264))</f>
        <v/>
      </c>
      <c r="M264" s="2">
        <f>IF(AND(I264="no",K264&lt;&gt;""),D264-K264,"")</f>
        <v/>
      </c>
      <c r="N264" s="19">
        <f>IF(M264="","",L264/M264*100)</f>
        <v/>
      </c>
      <c r="O264" s="2">
        <f>A264&amp;"|"&amp;C264</f>
        <v/>
      </c>
    </row>
    <row r="265">
      <c r="A265" s="4" t="inlineStr">
        <is>
          <t>ev</t>
        </is>
      </c>
      <c r="B265" s="4" t="inlineStr">
        <is>
          <t>alex</t>
        </is>
      </c>
      <c r="C265" s="4" t="inlineStr">
        <is>
          <t>2025-07-21 23:53</t>
        </is>
      </c>
      <c r="D265" s="4" t="n">
        <v>22197.3</v>
      </c>
      <c r="E265" s="4" t="inlineStr">
        <is>
          <t>ev</t>
        </is>
      </c>
      <c r="F265" s="4" t="n">
        <v>22.14</v>
      </c>
      <c r="G265" s="4" t="n">
        <v>0.075</v>
      </c>
      <c r="H265" s="4" t="n">
        <v>1.66</v>
      </c>
      <c r="I265" s="4" t="inlineStr">
        <is>
          <t>no</t>
        </is>
      </c>
      <c r="J265" s="4" t="inlineStr">
        <is>
          <t>Home</t>
        </is>
      </c>
      <c r="K265" s="2">
        <f>IF(A265&lt;&gt;A264,"",IF(I264="no",D264,K264))</f>
        <v/>
      </c>
      <c r="L265" s="2">
        <f>IF(OR(A265&lt;&gt;A264,K265=""),"",IF(I264="no",F265,L264+F265))</f>
        <v/>
      </c>
      <c r="M265" s="2">
        <f>IF(AND(I265="no",K265&lt;&gt;""),D265-K265,"")</f>
        <v/>
      </c>
      <c r="N265" s="19">
        <f>IF(M265="","",L265/M265*100)</f>
        <v/>
      </c>
      <c r="O265" s="2">
        <f>A265&amp;"|"&amp;C265</f>
        <v/>
      </c>
    </row>
    <row r="266">
      <c r="A266" s="4" t="inlineStr">
        <is>
          <t>ev</t>
        </is>
      </c>
      <c r="B266" s="4" t="inlineStr">
        <is>
          <t>alex</t>
        </is>
      </c>
      <c r="C266" s="4" t="inlineStr">
        <is>
          <t>2025-07-22 16:00</t>
        </is>
      </c>
      <c r="D266" s="4" t="n">
        <v>22226.2</v>
      </c>
      <c r="E266" s="4" t="inlineStr">
        <is>
          <t>ev</t>
        </is>
      </c>
      <c r="F266" s="4" t="n">
        <v>11.749</v>
      </c>
      <c r="G266" s="4" t="n">
        <v>0.52</v>
      </c>
      <c r="H266" s="4" t="n">
        <v>6.11</v>
      </c>
      <c r="I266" s="4" t="inlineStr">
        <is>
          <t>yes</t>
        </is>
      </c>
      <c r="J266" s="4" t="inlineStr">
        <is>
          <t>Leeds Council car park (AC)</t>
        </is>
      </c>
      <c r="K266" s="2">
        <f>IF(A266&lt;&gt;A265,"",IF(I265="no",D265,K265))</f>
        <v/>
      </c>
      <c r="L266" s="2">
        <f>IF(OR(A266&lt;&gt;A265,K266=""),"",IF(I265="no",F266,L265+F266))</f>
        <v/>
      </c>
      <c r="M266" s="2">
        <f>IF(AND(I266="no",K266&lt;&gt;""),D266-K266,"")</f>
        <v/>
      </c>
      <c r="N266" s="19">
        <f>IF(M266="","",L266/M266*100)</f>
        <v/>
      </c>
      <c r="O266" s="2">
        <f>A266&amp;"|"&amp;C266</f>
        <v/>
      </c>
    </row>
    <row r="267">
      <c r="A267" s="4" t="inlineStr">
        <is>
          <t>ev</t>
        </is>
      </c>
      <c r="B267" s="4" t="inlineStr">
        <is>
          <t>alex</t>
        </is>
      </c>
      <c r="C267" s="4" t="inlineStr">
        <is>
          <t>2025-07-25 23:46</t>
        </is>
      </c>
      <c r="D267" s="4" t="n">
        <v>22330.2</v>
      </c>
      <c r="E267" s="4" t="inlineStr">
        <is>
          <t>ev</t>
        </is>
      </c>
      <c r="F267" s="4" t="n">
        <v>17.174</v>
      </c>
      <c r="G267" s="4" t="n">
        <v>0.075</v>
      </c>
      <c r="H267" s="4" t="n">
        <v>1.29</v>
      </c>
      <c r="I267" s="4" t="inlineStr">
        <is>
          <t>no</t>
        </is>
      </c>
      <c r="J267" s="4" t="inlineStr">
        <is>
          <t>Home</t>
        </is>
      </c>
      <c r="K267" s="2">
        <f>IF(A267&lt;&gt;A266,"",IF(I266="no",D266,K266))</f>
        <v/>
      </c>
      <c r="L267" s="2">
        <f>IF(OR(A267&lt;&gt;A266,K267=""),"",IF(I266="no",F267,L266+F267))</f>
        <v/>
      </c>
      <c r="M267" s="2">
        <f>IF(AND(I267="no",K267&lt;&gt;""),D267-K267,"")</f>
        <v/>
      </c>
      <c r="N267" s="19">
        <f>IF(M267="","",L267/M267*100)</f>
        <v/>
      </c>
      <c r="O267" s="2">
        <f>A267&amp;"|"&amp;C267</f>
        <v/>
      </c>
    </row>
    <row r="268">
      <c r="A268" s="4" t="inlineStr">
        <is>
          <t>ev</t>
        </is>
      </c>
      <c r="B268" s="4" t="inlineStr">
        <is>
          <t>alex</t>
        </is>
      </c>
      <c r="C268" s="4" t="inlineStr">
        <is>
          <t>2025-07-27 23:40</t>
        </is>
      </c>
      <c r="D268" s="4" t="n">
        <v>22386.9</v>
      </c>
      <c r="E268" s="4" t="inlineStr">
        <is>
          <t>ev</t>
        </is>
      </c>
      <c r="F268" s="4" t="n">
        <v>9.894</v>
      </c>
      <c r="G268" s="4" t="n">
        <v>0.075</v>
      </c>
      <c r="H268" s="4" t="n">
        <v>0.74</v>
      </c>
      <c r="I268" s="4" t="inlineStr">
        <is>
          <t>no</t>
        </is>
      </c>
      <c r="J268" s="4" t="inlineStr">
        <is>
          <t>Home</t>
        </is>
      </c>
      <c r="K268" s="2">
        <f>IF(A268&lt;&gt;A267,"",IF(I267="no",D267,K267))</f>
        <v/>
      </c>
      <c r="L268" s="2">
        <f>IF(OR(A268&lt;&gt;A267,K268=""),"",IF(I267="no",F268,L267+F268))</f>
        <v/>
      </c>
      <c r="M268" s="2">
        <f>IF(AND(I268="no",K268&lt;&gt;""),D268-K268,"")</f>
        <v/>
      </c>
      <c r="N268" s="19">
        <f>IF(M268="","",L268/M268*100)</f>
        <v/>
      </c>
      <c r="O268" s="2">
        <f>A268&amp;"|"&amp;C268</f>
        <v/>
      </c>
    </row>
    <row r="269">
      <c r="A269" s="4" t="inlineStr">
        <is>
          <t>ev</t>
        </is>
      </c>
      <c r="B269" s="4" t="inlineStr">
        <is>
          <t>alex</t>
        </is>
      </c>
      <c r="C269" s="4" t="inlineStr">
        <is>
          <t>2025-07-30 23:36</t>
        </is>
      </c>
      <c r="D269" s="4" t="n">
        <v>22491.4</v>
      </c>
      <c r="E269" s="4" t="inlineStr">
        <is>
          <t>ev</t>
        </is>
      </c>
      <c r="F269" s="4" t="n">
        <v>18.363</v>
      </c>
      <c r="G269" s="4" t="n">
        <v>0.075</v>
      </c>
      <c r="H269" s="4" t="n">
        <v>1.38</v>
      </c>
      <c r="I269" s="4" t="inlineStr">
        <is>
          <t>no</t>
        </is>
      </c>
      <c r="J269" s="4" t="inlineStr">
        <is>
          <t>Home</t>
        </is>
      </c>
      <c r="K269" s="2">
        <f>IF(A269&lt;&gt;A268,"",IF(I268="no",D268,K268))</f>
        <v/>
      </c>
      <c r="L269" s="2">
        <f>IF(OR(A269&lt;&gt;A268,K269=""),"",IF(I268="no",F269,L268+F269))</f>
        <v/>
      </c>
      <c r="M269" s="2">
        <f>IF(AND(I269="no",K269&lt;&gt;""),D269-K269,"")</f>
        <v/>
      </c>
      <c r="N269" s="19">
        <f>IF(M269="","",L269/M269*100)</f>
        <v/>
      </c>
      <c r="O269" s="2">
        <f>A269&amp;"|"&amp;C269</f>
        <v/>
      </c>
    </row>
    <row r="270">
      <c r="A270" s="4" t="inlineStr">
        <is>
          <t>ev</t>
        </is>
      </c>
      <c r="B270" s="4" t="inlineStr">
        <is>
          <t>alex</t>
        </is>
      </c>
      <c r="C270" s="4" t="inlineStr">
        <is>
          <t>2025-08-01 23:34</t>
        </is>
      </c>
      <c r="D270" s="4" t="n">
        <v>22561.9</v>
      </c>
      <c r="E270" s="4" t="inlineStr">
        <is>
          <t>ev</t>
        </is>
      </c>
      <c r="F270" s="4" t="n">
        <v>11.655</v>
      </c>
      <c r="G270" s="4" t="n">
        <v>0.075</v>
      </c>
      <c r="H270" s="4" t="n">
        <v>0.87</v>
      </c>
      <c r="I270" s="4" t="inlineStr">
        <is>
          <t>no</t>
        </is>
      </c>
      <c r="J270" s="4" t="inlineStr">
        <is>
          <t>Home</t>
        </is>
      </c>
      <c r="K270" s="2">
        <f>IF(A270&lt;&gt;A269,"",IF(I269="no",D269,K269))</f>
        <v/>
      </c>
      <c r="L270" s="2">
        <f>IF(OR(A270&lt;&gt;A269,K270=""),"",IF(I269="no",F270,L269+F270))</f>
        <v/>
      </c>
      <c r="M270" s="2">
        <f>IF(AND(I270="no",K270&lt;&gt;""),D270-K270,"")</f>
        <v/>
      </c>
      <c r="N270" s="19">
        <f>IF(M270="","",L270/M270*100)</f>
        <v/>
      </c>
      <c r="O270" s="2">
        <f>A270&amp;"|"&amp;C270</f>
        <v/>
      </c>
    </row>
    <row r="271">
      <c r="A271" s="4" t="inlineStr">
        <is>
          <t>ev</t>
        </is>
      </c>
      <c r="B271" s="4" t="inlineStr">
        <is>
          <t>alex</t>
        </is>
      </c>
      <c r="C271" s="4" t="inlineStr">
        <is>
          <t>2025-08-02 23:35</t>
        </is>
      </c>
      <c r="D271" s="4" t="n">
        <v>22603</v>
      </c>
      <c r="E271" s="4" t="inlineStr">
        <is>
          <t>ev</t>
        </is>
      </c>
      <c r="F271" s="4" t="n">
        <v>7.379</v>
      </c>
      <c r="G271" s="4" t="n">
        <v>0.075</v>
      </c>
      <c r="H271" s="4" t="n">
        <v>0.55</v>
      </c>
      <c r="I271" s="4" t="inlineStr">
        <is>
          <t>no</t>
        </is>
      </c>
      <c r="J271" s="4" t="inlineStr">
        <is>
          <t>Home</t>
        </is>
      </c>
      <c r="K271" s="2">
        <f>IF(A271&lt;&gt;A270,"",IF(I270="no",D270,K270))</f>
        <v/>
      </c>
      <c r="L271" s="2">
        <f>IF(OR(A271&lt;&gt;A270,K271=""),"",IF(I270="no",F271,L270+F271))</f>
        <v/>
      </c>
      <c r="M271" s="2">
        <f>IF(AND(I271="no",K271&lt;&gt;""),D271-K271,"")</f>
        <v/>
      </c>
      <c r="N271" s="19">
        <f>IF(M271="","",L271/M271*100)</f>
        <v/>
      </c>
      <c r="O271" s="2">
        <f>A271&amp;"|"&amp;C271</f>
        <v/>
      </c>
    </row>
    <row r="272">
      <c r="A272" s="4" t="inlineStr">
        <is>
          <t>ev</t>
        </is>
      </c>
      <c r="B272" s="4" t="inlineStr">
        <is>
          <t>alex</t>
        </is>
      </c>
      <c r="C272" s="4" t="inlineStr">
        <is>
          <t>2025-08-04 17:15</t>
        </is>
      </c>
      <c r="D272" s="4" t="n">
        <v>22665.1</v>
      </c>
      <c r="E272" s="4" t="inlineStr">
        <is>
          <t>ev</t>
        </is>
      </c>
      <c r="F272" s="4" t="n">
        <v>31.989</v>
      </c>
      <c r="G272" s="4" t="n">
        <v>0.79</v>
      </c>
      <c r="H272" s="4" t="n">
        <v>25.27</v>
      </c>
      <c r="I272" s="4" t="inlineStr">
        <is>
          <t>yes</t>
        </is>
      </c>
      <c r="J272" s="4" t="inlineStr">
        <is>
          <t>Ionity Woodall (DC)</t>
        </is>
      </c>
      <c r="K272" s="2">
        <f>IF(A272&lt;&gt;A271,"",IF(I271="no",D271,K271))</f>
        <v/>
      </c>
      <c r="L272" s="2">
        <f>IF(OR(A272&lt;&gt;A271,K272=""),"",IF(I271="no",F272,L271+F272))</f>
        <v/>
      </c>
      <c r="M272" s="2">
        <f>IF(AND(I272="no",K272&lt;&gt;""),D272-K272,"")</f>
        <v/>
      </c>
      <c r="N272" s="19">
        <f>IF(M272="","",L272/M272*100)</f>
        <v/>
      </c>
      <c r="O272" s="2">
        <f>A272&amp;"|"&amp;C272</f>
        <v/>
      </c>
    </row>
    <row r="273">
      <c r="A273" s="4" t="inlineStr">
        <is>
          <t>ev</t>
        </is>
      </c>
      <c r="B273" s="4" t="inlineStr">
        <is>
          <t>alex</t>
        </is>
      </c>
      <c r="C273" s="4" t="inlineStr">
        <is>
          <t>2025-08-07 23:49</t>
        </is>
      </c>
      <c r="D273" s="4" t="n">
        <v>22787.1</v>
      </c>
      <c r="E273" s="4" t="inlineStr">
        <is>
          <t>ev</t>
        </is>
      </c>
      <c r="F273" s="4" t="n">
        <v>19.02</v>
      </c>
      <c r="G273" s="4" t="n">
        <v>0.075</v>
      </c>
      <c r="H273" s="4" t="n">
        <v>1.43</v>
      </c>
      <c r="I273" s="4" t="inlineStr">
        <is>
          <t>no</t>
        </is>
      </c>
      <c r="J273" s="4" t="inlineStr">
        <is>
          <t>Home</t>
        </is>
      </c>
      <c r="K273" s="2">
        <f>IF(A273&lt;&gt;A272,"",IF(I272="no",D272,K272))</f>
        <v/>
      </c>
      <c r="L273" s="2">
        <f>IF(OR(A273&lt;&gt;A272,K273=""),"",IF(I272="no",F273,L272+F273))</f>
        <v/>
      </c>
      <c r="M273" s="2">
        <f>IF(AND(I273="no",K273&lt;&gt;""),D273-K273,"")</f>
        <v/>
      </c>
      <c r="N273" s="19">
        <f>IF(M273="","",L273/M273*100)</f>
        <v/>
      </c>
      <c r="O273" s="2">
        <f>A273&amp;"|"&amp;C273</f>
        <v/>
      </c>
    </row>
    <row r="274">
      <c r="A274" s="4" t="inlineStr">
        <is>
          <t>ev</t>
        </is>
      </c>
      <c r="B274" s="4" t="inlineStr">
        <is>
          <t>alex</t>
        </is>
      </c>
      <c r="C274" s="4" t="inlineStr">
        <is>
          <t>2025-08-10 23:33</t>
        </is>
      </c>
      <c r="D274" s="4" t="n">
        <v>22893.4</v>
      </c>
      <c r="E274" s="4" t="inlineStr">
        <is>
          <t>ev</t>
        </is>
      </c>
      <c r="F274" s="4" t="n">
        <v>18.86</v>
      </c>
      <c r="G274" s="4" t="n">
        <v>0.075</v>
      </c>
      <c r="H274" s="4" t="n">
        <v>1.41</v>
      </c>
      <c r="I274" s="4" t="inlineStr">
        <is>
          <t>no</t>
        </is>
      </c>
      <c r="J274" s="4" t="inlineStr">
        <is>
          <t>Home</t>
        </is>
      </c>
      <c r="K274" s="2">
        <f>IF(A274&lt;&gt;A273,"",IF(I273="no",D273,K273))</f>
        <v/>
      </c>
      <c r="L274" s="2">
        <f>IF(OR(A274&lt;&gt;A273,K274=""),"",IF(I273="no",F274,L273+F274))</f>
        <v/>
      </c>
      <c r="M274" s="2">
        <f>IF(AND(I274="no",K274&lt;&gt;""),D274-K274,"")</f>
        <v/>
      </c>
      <c r="N274" s="19">
        <f>IF(M274="","",L274/M274*100)</f>
        <v/>
      </c>
      <c r="O274" s="2">
        <f>A274&amp;"|"&amp;C274</f>
        <v/>
      </c>
    </row>
    <row r="275">
      <c r="A275" s="4" t="inlineStr">
        <is>
          <t>ev</t>
        </is>
      </c>
      <c r="B275" s="4" t="inlineStr">
        <is>
          <t>alex</t>
        </is>
      </c>
      <c r="C275" s="4" t="inlineStr">
        <is>
          <t>2025-08-13 23:51</t>
        </is>
      </c>
      <c r="D275" s="4" t="n">
        <v>22994.1</v>
      </c>
      <c r="E275" s="4" t="inlineStr">
        <is>
          <t>ev</t>
        </is>
      </c>
      <c r="F275" s="4" t="n">
        <v>18.126</v>
      </c>
      <c r="G275" s="4" t="n">
        <v>0.075</v>
      </c>
      <c r="H275" s="4" t="n">
        <v>1.36</v>
      </c>
      <c r="I275" s="4" t="inlineStr">
        <is>
          <t>no</t>
        </is>
      </c>
      <c r="J275" s="4" t="inlineStr">
        <is>
          <t>Home</t>
        </is>
      </c>
      <c r="K275" s="2">
        <f>IF(A275&lt;&gt;A274,"",IF(I274="no",D274,K274))</f>
        <v/>
      </c>
      <c r="L275" s="2">
        <f>IF(OR(A275&lt;&gt;A274,K275=""),"",IF(I274="no",F275,L274+F275))</f>
        <v/>
      </c>
      <c r="M275" s="2">
        <f>IF(AND(I275="no",K275&lt;&gt;""),D275-K275,"")</f>
        <v/>
      </c>
      <c r="N275" s="19">
        <f>IF(M275="","",L275/M275*100)</f>
        <v/>
      </c>
      <c r="O275" s="2">
        <f>A275&amp;"|"&amp;C275</f>
        <v/>
      </c>
    </row>
    <row r="276">
      <c r="A276" s="4" t="inlineStr">
        <is>
          <t>ev</t>
        </is>
      </c>
      <c r="B276" s="4" t="inlineStr">
        <is>
          <t>alex</t>
        </is>
      </c>
      <c r="C276" s="4" t="inlineStr">
        <is>
          <t>2025-08-16 15:22</t>
        </is>
      </c>
      <c r="D276" s="4" t="n">
        <v>23062.7</v>
      </c>
      <c r="E276" s="4" t="inlineStr">
        <is>
          <t>ev</t>
        </is>
      </c>
      <c r="F276" s="4" t="n">
        <v>6.223</v>
      </c>
      <c r="G276" s="4" t="n">
        <v>0.52</v>
      </c>
      <c r="H276" s="4" t="n">
        <v>3.24</v>
      </c>
      <c r="I276" s="4" t="inlineStr">
        <is>
          <t>yes</t>
        </is>
      </c>
      <c r="J276" s="4" t="inlineStr">
        <is>
          <t>Leeds Council car park (AC)</t>
        </is>
      </c>
      <c r="K276" s="2">
        <f>IF(A276&lt;&gt;A275,"",IF(I275="no",D275,K275))</f>
        <v/>
      </c>
      <c r="L276" s="2">
        <f>IF(OR(A276&lt;&gt;A275,K276=""),"",IF(I275="no",F276,L275+F276))</f>
        <v/>
      </c>
      <c r="M276" s="2">
        <f>IF(AND(I276="no",K276&lt;&gt;""),D276-K276,"")</f>
        <v/>
      </c>
      <c r="N276" s="19">
        <f>IF(M276="","",L276/M276*100)</f>
        <v/>
      </c>
      <c r="O276" s="2">
        <f>A276&amp;"|"&amp;C276</f>
        <v/>
      </c>
    </row>
    <row r="277">
      <c r="A277" s="4" t="inlineStr">
        <is>
          <t>ev</t>
        </is>
      </c>
      <c r="B277" s="4" t="inlineStr">
        <is>
          <t>alex</t>
        </is>
      </c>
      <c r="C277" s="4" t="inlineStr">
        <is>
          <t>2025-08-18 23:54</t>
        </is>
      </c>
      <c r="D277" s="4" t="n">
        <v>23137</v>
      </c>
      <c r="E277" s="4" t="inlineStr">
        <is>
          <t>ev</t>
        </is>
      </c>
      <c r="F277" s="4" t="n">
        <v>20.034</v>
      </c>
      <c r="G277" s="4" t="n">
        <v>0.075</v>
      </c>
      <c r="H277" s="4" t="n">
        <v>1.5</v>
      </c>
      <c r="I277" s="4" t="inlineStr">
        <is>
          <t>no</t>
        </is>
      </c>
      <c r="J277" s="4" t="inlineStr">
        <is>
          <t>Home</t>
        </is>
      </c>
      <c r="K277" s="2">
        <f>IF(A277&lt;&gt;A276,"",IF(I276="no",D276,K276))</f>
        <v/>
      </c>
      <c r="L277" s="2">
        <f>IF(OR(A277&lt;&gt;A276,K277=""),"",IF(I276="no",F277,L276+F277))</f>
        <v/>
      </c>
      <c r="M277" s="2">
        <f>IF(AND(I277="no",K277&lt;&gt;""),D277-K277,"")</f>
        <v/>
      </c>
      <c r="N277" s="19">
        <f>IF(M277="","",L277/M277*100)</f>
        <v/>
      </c>
      <c r="O277" s="2">
        <f>A277&amp;"|"&amp;C277</f>
        <v/>
      </c>
    </row>
    <row r="278">
      <c r="A278" s="4" t="inlineStr">
        <is>
          <t>ev</t>
        </is>
      </c>
      <c r="B278" s="4" t="inlineStr">
        <is>
          <t>alex</t>
        </is>
      </c>
      <c r="C278" s="4" t="inlineStr">
        <is>
          <t>2025-08-20 12:15</t>
        </is>
      </c>
      <c r="D278" s="4" t="n">
        <v>23180.1</v>
      </c>
      <c r="E278" s="4" t="inlineStr">
        <is>
          <t>ev</t>
        </is>
      </c>
      <c r="F278" s="4" t="n">
        <v>8.644</v>
      </c>
      <c r="G278" s="4" t="n">
        <v>0.52</v>
      </c>
      <c r="H278" s="4" t="n">
        <v>4.49</v>
      </c>
      <c r="I278" s="4" t="inlineStr">
        <is>
          <t>yes</t>
        </is>
      </c>
      <c r="J278" s="4" t="inlineStr">
        <is>
          <t>Leeds Council car park (AC)</t>
        </is>
      </c>
      <c r="K278" s="2">
        <f>IF(A278&lt;&gt;A277,"",IF(I277="no",D277,K277))</f>
        <v/>
      </c>
      <c r="L278" s="2">
        <f>IF(OR(A278&lt;&gt;A277,K278=""),"",IF(I277="no",F278,L277+F278))</f>
        <v/>
      </c>
      <c r="M278" s="2">
        <f>IF(AND(I278="no",K278&lt;&gt;""),D278-K278,"")</f>
        <v/>
      </c>
      <c r="N278" s="19">
        <f>IF(M278="","",L278/M278*100)</f>
        <v/>
      </c>
      <c r="O278" s="2">
        <f>A278&amp;"|"&amp;C278</f>
        <v/>
      </c>
    </row>
    <row r="279">
      <c r="A279" s="4" t="inlineStr">
        <is>
          <t>ev</t>
        </is>
      </c>
      <c r="B279" s="4" t="inlineStr">
        <is>
          <t>alex</t>
        </is>
      </c>
      <c r="C279" s="4" t="inlineStr">
        <is>
          <t>2025-08-22 10:48</t>
        </is>
      </c>
      <c r="D279" s="4" t="n">
        <v>23233.9</v>
      </c>
      <c r="E279" s="4" t="inlineStr">
        <is>
          <t>ev</t>
        </is>
      </c>
      <c r="F279" s="4" t="n">
        <v>19.562</v>
      </c>
      <c r="G279" s="4" t="n">
        <v>0.79</v>
      </c>
      <c r="H279" s="4" t="n">
        <v>15.45</v>
      </c>
      <c r="I279" s="4" t="inlineStr">
        <is>
          <t>yes</t>
        </is>
      </c>
      <c r="J279" s="4" t="inlineStr">
        <is>
          <t>Ionity Woodall (DC)</t>
        </is>
      </c>
      <c r="K279" s="2">
        <f>IF(A279&lt;&gt;A278,"",IF(I278="no",D278,K278))</f>
        <v/>
      </c>
      <c r="L279" s="2">
        <f>IF(OR(A279&lt;&gt;A278,K279=""),"",IF(I278="no",F279,L278+F279))</f>
        <v/>
      </c>
      <c r="M279" s="2">
        <f>IF(AND(I279="no",K279&lt;&gt;""),D279-K279,"")</f>
        <v/>
      </c>
      <c r="N279" s="19">
        <f>IF(M279="","",L279/M279*100)</f>
        <v/>
      </c>
      <c r="O279" s="2">
        <f>A279&amp;"|"&amp;C279</f>
        <v/>
      </c>
    </row>
    <row r="280">
      <c r="A280" s="4" t="inlineStr">
        <is>
          <t>ev</t>
        </is>
      </c>
      <c r="B280" s="4" t="inlineStr">
        <is>
          <t>alex</t>
        </is>
      </c>
      <c r="C280" s="4" t="inlineStr">
        <is>
          <t>2025-08-26 23:47</t>
        </is>
      </c>
      <c r="D280" s="4" t="n">
        <v>23356.1</v>
      </c>
      <c r="E280" s="4" t="inlineStr">
        <is>
          <t>ev</t>
        </is>
      </c>
      <c r="F280" s="4" t="n">
        <v>17.26</v>
      </c>
      <c r="G280" s="4" t="n">
        <v>0.075</v>
      </c>
      <c r="H280" s="4" t="n">
        <v>1.29</v>
      </c>
      <c r="I280" s="4" t="inlineStr">
        <is>
          <t>no</t>
        </is>
      </c>
      <c r="J280" s="4" t="inlineStr">
        <is>
          <t>Home</t>
        </is>
      </c>
      <c r="K280" s="2">
        <f>IF(A280&lt;&gt;A279,"",IF(I279="no",D279,K279))</f>
        <v/>
      </c>
      <c r="L280" s="2">
        <f>IF(OR(A280&lt;&gt;A279,K280=""),"",IF(I279="no",F280,L279+F280))</f>
        <v/>
      </c>
      <c r="M280" s="2">
        <f>IF(AND(I280="no",K280&lt;&gt;""),D280-K280,"")</f>
        <v/>
      </c>
      <c r="N280" s="19">
        <f>IF(M280="","",L280/M280*100)</f>
        <v/>
      </c>
      <c r="O280" s="2">
        <f>A280&amp;"|"&amp;C280</f>
        <v/>
      </c>
    </row>
    <row r="281">
      <c r="A281" s="4" t="inlineStr">
        <is>
          <t>ev</t>
        </is>
      </c>
      <c r="B281" s="4" t="inlineStr">
        <is>
          <t>alex</t>
        </is>
      </c>
      <c r="C281" s="4" t="inlineStr">
        <is>
          <t>2025-08-27 23:57</t>
        </is>
      </c>
      <c r="D281" s="4" t="n">
        <v>23396.3</v>
      </c>
      <c r="E281" s="4" t="inlineStr">
        <is>
          <t>ev</t>
        </is>
      </c>
      <c r="F281" s="4" t="n">
        <v>7.233</v>
      </c>
      <c r="G281" s="4" t="n">
        <v>0.075</v>
      </c>
      <c r="H281" s="4" t="n">
        <v>0.54</v>
      </c>
      <c r="I281" s="4" t="inlineStr">
        <is>
          <t>no</t>
        </is>
      </c>
      <c r="J281" s="4" t="inlineStr">
        <is>
          <t>Home</t>
        </is>
      </c>
      <c r="K281" s="2">
        <f>IF(A281&lt;&gt;A280,"",IF(I280="no",D280,K280))</f>
        <v/>
      </c>
      <c r="L281" s="2">
        <f>IF(OR(A281&lt;&gt;A280,K281=""),"",IF(I280="no",F281,L280+F281))</f>
        <v/>
      </c>
      <c r="M281" s="2">
        <f>IF(AND(I281="no",K281&lt;&gt;""),D281-K281,"")</f>
        <v/>
      </c>
      <c r="N281" s="19">
        <f>IF(M281="","",L281/M281*100)</f>
        <v/>
      </c>
      <c r="O281" s="2">
        <f>A281&amp;"|"&amp;C281</f>
        <v/>
      </c>
    </row>
    <row r="282">
      <c r="A282" s="4" t="inlineStr">
        <is>
          <t>ev</t>
        </is>
      </c>
      <c r="B282" s="4" t="inlineStr">
        <is>
          <t>alex</t>
        </is>
      </c>
      <c r="C282" s="4" t="inlineStr">
        <is>
          <t>2025-08-31 11:18</t>
        </is>
      </c>
      <c r="D282" s="4" t="n">
        <v>23481.6</v>
      </c>
      <c r="E282" s="4" t="inlineStr">
        <is>
          <t>ev</t>
        </is>
      </c>
      <c r="F282" s="4" t="n">
        <v>8.430999999999999</v>
      </c>
      <c r="G282" s="4" t="n">
        <v>0.52</v>
      </c>
      <c r="H282" s="4" t="n">
        <v>4.38</v>
      </c>
      <c r="I282" s="4" t="inlineStr">
        <is>
          <t>yes</t>
        </is>
      </c>
      <c r="J282" s="4" t="inlineStr">
        <is>
          <t>Leeds Council car park (AC)</t>
        </is>
      </c>
      <c r="K282" s="2">
        <f>IF(A282&lt;&gt;A281,"",IF(I281="no",D281,K281))</f>
        <v/>
      </c>
      <c r="L282" s="2">
        <f>IF(OR(A282&lt;&gt;A281,K282=""),"",IF(I281="no",F282,L281+F282))</f>
        <v/>
      </c>
      <c r="M282" s="2">
        <f>IF(AND(I282="no",K282&lt;&gt;""),D282-K282,"")</f>
        <v/>
      </c>
      <c r="N282" s="19">
        <f>IF(M282="","",L282/M282*100)</f>
        <v/>
      </c>
      <c r="O282" s="2">
        <f>A282&amp;"|"&amp;C282</f>
        <v/>
      </c>
    </row>
    <row r="283">
      <c r="A283" s="4" t="inlineStr">
        <is>
          <t>ev</t>
        </is>
      </c>
      <c r="B283" s="4" t="inlineStr">
        <is>
          <t>alex</t>
        </is>
      </c>
      <c r="C283" s="4" t="inlineStr">
        <is>
          <t>2025-09-01 23:54</t>
        </is>
      </c>
      <c r="D283" s="4" t="n">
        <v>23544.7</v>
      </c>
      <c r="E283" s="4" t="inlineStr">
        <is>
          <t>ev</t>
        </is>
      </c>
      <c r="F283" s="4" t="n">
        <v>17.46</v>
      </c>
      <c r="G283" s="4" t="n">
        <v>0.075</v>
      </c>
      <c r="H283" s="4" t="n">
        <v>1.31</v>
      </c>
      <c r="I283" s="4" t="inlineStr">
        <is>
          <t>no</t>
        </is>
      </c>
      <c r="J283" s="4" t="inlineStr">
        <is>
          <t>Home</t>
        </is>
      </c>
      <c r="K283" s="2">
        <f>IF(A283&lt;&gt;A282,"",IF(I282="no",D282,K282))</f>
        <v/>
      </c>
      <c r="L283" s="2">
        <f>IF(OR(A283&lt;&gt;A282,K283=""),"",IF(I282="no",F283,L282+F283))</f>
        <v/>
      </c>
      <c r="M283" s="2">
        <f>IF(AND(I283="no",K283&lt;&gt;""),D283-K283,"")</f>
        <v/>
      </c>
      <c r="N283" s="19">
        <f>IF(M283="","",L283/M283*100)</f>
        <v/>
      </c>
      <c r="O283" s="2">
        <f>A283&amp;"|"&amp;C283</f>
        <v/>
      </c>
    </row>
    <row r="284">
      <c r="A284" s="4" t="inlineStr">
        <is>
          <t>ev</t>
        </is>
      </c>
      <c r="B284" s="4" t="inlineStr">
        <is>
          <t>alex</t>
        </is>
      </c>
      <c r="C284" s="4" t="inlineStr">
        <is>
          <t>2025-09-04 23:38</t>
        </is>
      </c>
      <c r="D284" s="4" t="n">
        <v>23610.8</v>
      </c>
      <c r="E284" s="4" t="inlineStr">
        <is>
          <t>ev</t>
        </is>
      </c>
      <c r="F284" s="4" t="n">
        <v>12.173</v>
      </c>
      <c r="G284" s="4" t="n">
        <v>0.075</v>
      </c>
      <c r="H284" s="4" t="n">
        <v>0.91</v>
      </c>
      <c r="I284" s="4" t="inlineStr">
        <is>
          <t>no</t>
        </is>
      </c>
      <c r="J284" s="4" t="inlineStr">
        <is>
          <t>Home</t>
        </is>
      </c>
      <c r="K284" s="2">
        <f>IF(A284&lt;&gt;A283,"",IF(I283="no",D283,K283))</f>
        <v/>
      </c>
      <c r="L284" s="2">
        <f>IF(OR(A284&lt;&gt;A283,K284=""),"",IF(I283="no",F284,L283+F284))</f>
        <v/>
      </c>
      <c r="M284" s="2">
        <f>IF(AND(I284="no",K284&lt;&gt;""),D284-K284,"")</f>
        <v/>
      </c>
      <c r="N284" s="19">
        <f>IF(M284="","",L284/M284*100)</f>
        <v/>
      </c>
      <c r="O284" s="2">
        <f>A284&amp;"|"&amp;C284</f>
        <v/>
      </c>
    </row>
    <row r="285">
      <c r="A285" s="4" t="inlineStr">
        <is>
          <t>ev</t>
        </is>
      </c>
      <c r="B285" s="4" t="inlineStr">
        <is>
          <t>alex</t>
        </is>
      </c>
      <c r="C285" s="4" t="inlineStr">
        <is>
          <t>2025-09-07 14:27</t>
        </is>
      </c>
      <c r="D285" s="4" t="n">
        <v>23680.8</v>
      </c>
      <c r="E285" s="4" t="inlineStr">
        <is>
          <t>ev</t>
        </is>
      </c>
      <c r="F285" s="4" t="n">
        <v>34.496</v>
      </c>
      <c r="G285" s="4" t="n">
        <v>0.79</v>
      </c>
      <c r="H285" s="4" t="n">
        <v>27.25</v>
      </c>
      <c r="I285" s="4" t="inlineStr">
        <is>
          <t>yes</t>
        </is>
      </c>
      <c r="J285" s="4" t="inlineStr">
        <is>
          <t>Ionity Woodall (DC)</t>
        </is>
      </c>
      <c r="K285" s="2">
        <f>IF(A285&lt;&gt;A284,"",IF(I284="no",D284,K284))</f>
        <v/>
      </c>
      <c r="L285" s="2">
        <f>IF(OR(A285&lt;&gt;A284,K285=""),"",IF(I284="no",F285,L284+F285))</f>
        <v/>
      </c>
      <c r="M285" s="2">
        <f>IF(AND(I285="no",K285&lt;&gt;""),D285-K285,"")</f>
        <v/>
      </c>
      <c r="N285" s="19">
        <f>IF(M285="","",L285/M285*100)</f>
        <v/>
      </c>
      <c r="O285" s="2">
        <f>A285&amp;"|"&amp;C285</f>
        <v/>
      </c>
    </row>
    <row r="286">
      <c r="A286" s="4" t="inlineStr">
        <is>
          <t>ev</t>
        </is>
      </c>
      <c r="B286" s="4" t="inlineStr">
        <is>
          <t>alex</t>
        </is>
      </c>
      <c r="C286" s="4" t="inlineStr">
        <is>
          <t>2025-09-10 23:34</t>
        </is>
      </c>
      <c r="D286" s="4" t="n">
        <v>23784.9</v>
      </c>
      <c r="E286" s="4" t="inlineStr">
        <is>
          <t>ev</t>
        </is>
      </c>
      <c r="F286" s="4" t="n">
        <v>15.748</v>
      </c>
      <c r="G286" s="4" t="n">
        <v>0.075</v>
      </c>
      <c r="H286" s="4" t="n">
        <v>1.18</v>
      </c>
      <c r="I286" s="4" t="inlineStr">
        <is>
          <t>no</t>
        </is>
      </c>
      <c r="J286" s="4" t="inlineStr">
        <is>
          <t>Home</t>
        </is>
      </c>
      <c r="K286" s="2">
        <f>IF(A286&lt;&gt;A285,"",IF(I285="no",D285,K285))</f>
        <v/>
      </c>
      <c r="L286" s="2">
        <f>IF(OR(A286&lt;&gt;A285,K286=""),"",IF(I285="no",F286,L285+F286))</f>
        <v/>
      </c>
      <c r="M286" s="2">
        <f>IF(AND(I286="no",K286&lt;&gt;""),D286-K286,"")</f>
        <v/>
      </c>
      <c r="N286" s="19">
        <f>IF(M286="","",L286/M286*100)</f>
        <v/>
      </c>
      <c r="O286" s="2">
        <f>A286&amp;"|"&amp;C286</f>
        <v/>
      </c>
    </row>
    <row r="287">
      <c r="A287" s="4" t="inlineStr">
        <is>
          <t>ev</t>
        </is>
      </c>
      <c r="B287" s="4" t="inlineStr">
        <is>
          <t>alex</t>
        </is>
      </c>
      <c r="C287" s="4" t="inlineStr">
        <is>
          <t>2025-09-12 23:40</t>
        </is>
      </c>
      <c r="D287" s="4" t="n">
        <v>23876.6</v>
      </c>
      <c r="E287" s="4" t="inlineStr">
        <is>
          <t>ev</t>
        </is>
      </c>
      <c r="F287" s="4" t="n">
        <v>15.441</v>
      </c>
      <c r="G287" s="4" t="n">
        <v>0.075</v>
      </c>
      <c r="H287" s="4" t="n">
        <v>1.16</v>
      </c>
      <c r="I287" s="4" t="inlineStr">
        <is>
          <t>no</t>
        </is>
      </c>
      <c r="J287" s="4" t="inlineStr">
        <is>
          <t>Home</t>
        </is>
      </c>
      <c r="K287" s="2">
        <f>IF(A287&lt;&gt;A286,"",IF(I286="no",D286,K286))</f>
        <v/>
      </c>
      <c r="L287" s="2">
        <f>IF(OR(A287&lt;&gt;A286,K287=""),"",IF(I286="no",F287,L286+F287))</f>
        <v/>
      </c>
      <c r="M287" s="2">
        <f>IF(AND(I287="no",K287&lt;&gt;""),D287-K287,"")</f>
        <v/>
      </c>
      <c r="N287" s="19">
        <f>IF(M287="","",L287/M287*100)</f>
        <v/>
      </c>
      <c r="O287" s="2">
        <f>A287&amp;"|"&amp;C287</f>
        <v/>
      </c>
    </row>
    <row r="288">
      <c r="A288" s="4" t="inlineStr">
        <is>
          <t>ev</t>
        </is>
      </c>
      <c r="B288" s="4" t="inlineStr">
        <is>
          <t>alex</t>
        </is>
      </c>
      <c r="C288" s="4" t="inlineStr">
        <is>
          <t>2025-09-14 23:37</t>
        </is>
      </c>
      <c r="D288" s="4" t="n">
        <v>23936.1</v>
      </c>
      <c r="E288" s="4" t="inlineStr">
        <is>
          <t>ev</t>
        </is>
      </c>
      <c r="F288" s="4" t="n">
        <v>10.065</v>
      </c>
      <c r="G288" s="4" t="n">
        <v>0.075</v>
      </c>
      <c r="H288" s="4" t="n">
        <v>0.75</v>
      </c>
      <c r="I288" s="4" t="inlineStr">
        <is>
          <t>no</t>
        </is>
      </c>
      <c r="J288" s="4" t="inlineStr">
        <is>
          <t>Home</t>
        </is>
      </c>
      <c r="K288" s="2">
        <f>IF(A288&lt;&gt;A287,"",IF(I287="no",D287,K287))</f>
        <v/>
      </c>
      <c r="L288" s="2">
        <f>IF(OR(A288&lt;&gt;A287,K288=""),"",IF(I287="no",F288,L287+F288))</f>
        <v/>
      </c>
      <c r="M288" s="2">
        <f>IF(AND(I288="no",K288&lt;&gt;""),D288-K288,"")</f>
        <v/>
      </c>
      <c r="N288" s="19">
        <f>IF(M288="","",L288/M288*100)</f>
        <v/>
      </c>
      <c r="O288" s="2">
        <f>A288&amp;"|"&amp;C288</f>
        <v/>
      </c>
    </row>
    <row r="289">
      <c r="A289" s="4" t="inlineStr">
        <is>
          <t>ev</t>
        </is>
      </c>
      <c r="B289" s="4" t="inlineStr">
        <is>
          <t>alex</t>
        </is>
      </c>
      <c r="C289" s="4" t="inlineStr">
        <is>
          <t>2025-09-16 23:53</t>
        </is>
      </c>
      <c r="D289" s="4" t="n">
        <v>24006</v>
      </c>
      <c r="E289" s="4" t="inlineStr">
        <is>
          <t>ev</t>
        </is>
      </c>
      <c r="F289" s="4" t="n">
        <v>13.451</v>
      </c>
      <c r="G289" s="4" t="n">
        <v>0.075</v>
      </c>
      <c r="H289" s="4" t="n">
        <v>1.01</v>
      </c>
      <c r="I289" s="4" t="inlineStr">
        <is>
          <t>no</t>
        </is>
      </c>
      <c r="J289" s="4" t="inlineStr">
        <is>
          <t>Home</t>
        </is>
      </c>
      <c r="K289" s="2">
        <f>IF(A289&lt;&gt;A288,"",IF(I288="no",D288,K288))</f>
        <v/>
      </c>
      <c r="L289" s="2">
        <f>IF(OR(A289&lt;&gt;A288,K289=""),"",IF(I288="no",F289,L288+F289))</f>
        <v/>
      </c>
      <c r="M289" s="2">
        <f>IF(AND(I289="no",K289&lt;&gt;""),D289-K289,"")</f>
        <v/>
      </c>
      <c r="N289" s="19">
        <f>IF(M289="","",L289/M289*100)</f>
        <v/>
      </c>
      <c r="O289" s="2">
        <f>A289&amp;"|"&amp;C289</f>
        <v/>
      </c>
    </row>
    <row r="290">
      <c r="A290" s="4" t="inlineStr">
        <is>
          <t>ev</t>
        </is>
      </c>
      <c r="B290" s="4" t="inlineStr">
        <is>
          <t>alex</t>
        </is>
      </c>
      <c r="C290" s="4" t="inlineStr">
        <is>
          <t>2025-09-18 23:43</t>
        </is>
      </c>
      <c r="D290" s="4" t="n">
        <v>24072.3</v>
      </c>
      <c r="E290" s="4" t="inlineStr">
        <is>
          <t>ev</t>
        </is>
      </c>
      <c r="F290" s="4" t="n">
        <v>11.558</v>
      </c>
      <c r="G290" s="4" t="n">
        <v>0.075</v>
      </c>
      <c r="H290" s="4" t="n">
        <v>0.87</v>
      </c>
      <c r="I290" s="4" t="inlineStr">
        <is>
          <t>no</t>
        </is>
      </c>
      <c r="J290" s="4" t="inlineStr">
        <is>
          <t>Home</t>
        </is>
      </c>
      <c r="K290" s="2">
        <f>IF(A290&lt;&gt;A289,"",IF(I289="no",D289,K289))</f>
        <v/>
      </c>
      <c r="L290" s="2">
        <f>IF(OR(A290&lt;&gt;A289,K290=""),"",IF(I289="no",F290,L289+F290))</f>
        <v/>
      </c>
      <c r="M290" s="2">
        <f>IF(AND(I290="no",K290&lt;&gt;""),D290-K290,"")</f>
        <v/>
      </c>
      <c r="N290" s="19">
        <f>IF(M290="","",L290/M290*100)</f>
        <v/>
      </c>
      <c r="O290" s="2">
        <f>A290&amp;"|"&amp;C290</f>
        <v/>
      </c>
    </row>
    <row r="291">
      <c r="A291" s="4" t="inlineStr">
        <is>
          <t>ev</t>
        </is>
      </c>
      <c r="B291" s="4" t="inlineStr">
        <is>
          <t>alex</t>
        </is>
      </c>
      <c r="C291" s="4" t="inlineStr">
        <is>
          <t>2025-09-21 23:30</t>
        </is>
      </c>
      <c r="D291" s="4" t="n">
        <v>24174.8</v>
      </c>
      <c r="E291" s="4" t="inlineStr">
        <is>
          <t>ev</t>
        </is>
      </c>
      <c r="F291" s="4" t="n">
        <v>18.379</v>
      </c>
      <c r="G291" s="4" t="n">
        <v>0.075</v>
      </c>
      <c r="H291" s="4" t="n">
        <v>1.38</v>
      </c>
      <c r="I291" s="4" t="inlineStr">
        <is>
          <t>no</t>
        </is>
      </c>
      <c r="J291" s="4" t="inlineStr">
        <is>
          <t>Home</t>
        </is>
      </c>
      <c r="K291" s="2">
        <f>IF(A291&lt;&gt;A290,"",IF(I290="no",D290,K290))</f>
        <v/>
      </c>
      <c r="L291" s="2">
        <f>IF(OR(A291&lt;&gt;A290,K291=""),"",IF(I290="no",F291,L290+F291))</f>
        <v/>
      </c>
      <c r="M291" s="2">
        <f>IF(AND(I291="no",K291&lt;&gt;""),D291-K291,"")</f>
        <v/>
      </c>
      <c r="N291" s="19">
        <f>IF(M291="","",L291/M291*100)</f>
        <v/>
      </c>
      <c r="O291" s="2">
        <f>A291&amp;"|"&amp;C291</f>
        <v/>
      </c>
    </row>
    <row r="292">
      <c r="A292" s="4" t="inlineStr">
        <is>
          <t>ev</t>
        </is>
      </c>
      <c r="B292" s="4" t="inlineStr">
        <is>
          <t>alex</t>
        </is>
      </c>
      <c r="C292" s="4" t="inlineStr">
        <is>
          <t>2025-09-24 23:41</t>
        </is>
      </c>
      <c r="D292" s="4" t="n">
        <v>24284.9</v>
      </c>
      <c r="E292" s="4" t="inlineStr">
        <is>
          <t>ev</t>
        </is>
      </c>
      <c r="F292" s="4" t="n">
        <v>18.592</v>
      </c>
      <c r="G292" s="4" t="n">
        <v>0.075</v>
      </c>
      <c r="H292" s="4" t="n">
        <v>1.39</v>
      </c>
      <c r="I292" s="4" t="inlineStr">
        <is>
          <t>no</t>
        </is>
      </c>
      <c r="J292" s="4" t="inlineStr">
        <is>
          <t>Home</t>
        </is>
      </c>
      <c r="K292" s="2">
        <f>IF(A292&lt;&gt;A291,"",IF(I291="no",D291,K291))</f>
        <v/>
      </c>
      <c r="L292" s="2">
        <f>IF(OR(A292&lt;&gt;A291,K292=""),"",IF(I291="no",F292,L291+F292))</f>
        <v/>
      </c>
      <c r="M292" s="2">
        <f>IF(AND(I292="no",K292&lt;&gt;""),D292-K292,"")</f>
        <v/>
      </c>
      <c r="N292" s="19">
        <f>IF(M292="","",L292/M292*100)</f>
        <v/>
      </c>
      <c r="O292" s="2">
        <f>A292&amp;"|"&amp;C292</f>
        <v/>
      </c>
    </row>
    <row r="293">
      <c r="A293" s="4" t="inlineStr">
        <is>
          <t>ev</t>
        </is>
      </c>
      <c r="B293" s="4" t="inlineStr">
        <is>
          <t>alex</t>
        </is>
      </c>
      <c r="C293" s="4" t="inlineStr">
        <is>
          <t>2025-09-26 15:02</t>
        </is>
      </c>
      <c r="D293" s="4" t="n">
        <v>24336.5</v>
      </c>
      <c r="E293" s="4" t="inlineStr">
        <is>
          <t>ev</t>
        </is>
      </c>
      <c r="F293" s="4" t="n">
        <v>23.123</v>
      </c>
      <c r="G293" s="4" t="n">
        <v>0.79</v>
      </c>
      <c r="H293" s="4" t="n">
        <v>18.27</v>
      </c>
      <c r="I293" s="4" t="inlineStr">
        <is>
          <t>yes</t>
        </is>
      </c>
      <c r="J293" s="4" t="inlineStr">
        <is>
          <t>Ionity Woodall (DC)</t>
        </is>
      </c>
      <c r="K293" s="2">
        <f>IF(A293&lt;&gt;A292,"",IF(I292="no",D292,K292))</f>
        <v/>
      </c>
      <c r="L293" s="2">
        <f>IF(OR(A293&lt;&gt;A292,K293=""),"",IF(I292="no",F293,L292+F293))</f>
        <v/>
      </c>
      <c r="M293" s="2">
        <f>IF(AND(I293="no",K293&lt;&gt;""),D293-K293,"")</f>
        <v/>
      </c>
      <c r="N293" s="19">
        <f>IF(M293="","",L293/M293*100)</f>
        <v/>
      </c>
      <c r="O293" s="2">
        <f>A293&amp;"|"&amp;C293</f>
        <v/>
      </c>
    </row>
    <row r="294">
      <c r="A294" s="4" t="inlineStr">
        <is>
          <t>ev</t>
        </is>
      </c>
      <c r="B294" s="4" t="inlineStr">
        <is>
          <t>alex</t>
        </is>
      </c>
      <c r="C294" s="4" t="inlineStr">
        <is>
          <t>2025-09-27 23:51</t>
        </is>
      </c>
      <c r="D294" s="4" t="n">
        <v>24395.4</v>
      </c>
      <c r="E294" s="4" t="inlineStr">
        <is>
          <t>ev</t>
        </is>
      </c>
      <c r="F294" s="4" t="n">
        <v>7.951</v>
      </c>
      <c r="G294" s="4" t="n">
        <v>0.075</v>
      </c>
      <c r="H294" s="4" t="n">
        <v>0.6</v>
      </c>
      <c r="I294" s="4" t="inlineStr">
        <is>
          <t>no</t>
        </is>
      </c>
      <c r="J294" s="4" t="inlineStr">
        <is>
          <t>Home</t>
        </is>
      </c>
      <c r="K294" s="2">
        <f>IF(A294&lt;&gt;A293,"",IF(I293="no",D293,K293))</f>
        <v/>
      </c>
      <c r="L294" s="2">
        <f>IF(OR(A294&lt;&gt;A293,K294=""),"",IF(I293="no",F294,L293+F294))</f>
        <v/>
      </c>
      <c r="M294" s="2">
        <f>IF(AND(I294="no",K294&lt;&gt;""),D294-K294,"")</f>
        <v/>
      </c>
      <c r="N294" s="19">
        <f>IF(M294="","",L294/M294*100)</f>
        <v/>
      </c>
      <c r="O294" s="2">
        <f>A294&amp;"|"&amp;C294</f>
        <v/>
      </c>
    </row>
    <row r="295">
      <c r="A295" s="4" t="inlineStr">
        <is>
          <t>ev</t>
        </is>
      </c>
      <c r="B295" s="4" t="inlineStr">
        <is>
          <t>alex</t>
        </is>
      </c>
      <c r="C295" s="4" t="inlineStr">
        <is>
          <t>2025-09-30 23:31</t>
        </is>
      </c>
      <c r="D295" s="4" t="n">
        <v>24478.1</v>
      </c>
      <c r="E295" s="4" t="inlineStr">
        <is>
          <t>ev</t>
        </is>
      </c>
      <c r="F295" s="4" t="n">
        <v>15.133</v>
      </c>
      <c r="G295" s="4" t="n">
        <v>0.075</v>
      </c>
      <c r="H295" s="4" t="n">
        <v>1.13</v>
      </c>
      <c r="I295" s="4" t="inlineStr">
        <is>
          <t>no</t>
        </is>
      </c>
      <c r="J295" s="4" t="inlineStr">
        <is>
          <t>Home</t>
        </is>
      </c>
      <c r="K295" s="2">
        <f>IF(A295&lt;&gt;A294,"",IF(I294="no",D294,K294))</f>
        <v/>
      </c>
      <c r="L295" s="2">
        <f>IF(OR(A295&lt;&gt;A294,K295=""),"",IF(I294="no",F295,L294+F295))</f>
        <v/>
      </c>
      <c r="M295" s="2">
        <f>IF(AND(I295="no",K295&lt;&gt;""),D295-K295,"")</f>
        <v/>
      </c>
      <c r="N295" s="19">
        <f>IF(M295="","",L295/M295*100)</f>
        <v/>
      </c>
      <c r="O295" s="2">
        <f>A295&amp;"|"&amp;C295</f>
        <v/>
      </c>
    </row>
    <row r="296">
      <c r="A296" s="4" t="inlineStr">
        <is>
          <t>ev</t>
        </is>
      </c>
      <c r="B296" s="4" t="inlineStr">
        <is>
          <t>alex</t>
        </is>
      </c>
      <c r="C296" s="4" t="inlineStr">
        <is>
          <t>2025-10-02 23:43</t>
        </is>
      </c>
      <c r="D296" s="4" t="n">
        <v>24570</v>
      </c>
      <c r="E296" s="4" t="inlineStr">
        <is>
          <t>ev</t>
        </is>
      </c>
      <c r="F296" s="4" t="n">
        <v>17.013</v>
      </c>
      <c r="G296" s="4" t="n">
        <v>0.075</v>
      </c>
      <c r="H296" s="4" t="n">
        <v>1.28</v>
      </c>
      <c r="I296" s="4" t="inlineStr">
        <is>
          <t>no</t>
        </is>
      </c>
      <c r="J296" s="4" t="inlineStr">
        <is>
          <t>Home</t>
        </is>
      </c>
      <c r="K296" s="2">
        <f>IF(A296&lt;&gt;A295,"",IF(I295="no",D295,K295))</f>
        <v/>
      </c>
      <c r="L296" s="2">
        <f>IF(OR(A296&lt;&gt;A295,K296=""),"",IF(I295="no",F296,L295+F296))</f>
        <v/>
      </c>
      <c r="M296" s="2">
        <f>IF(AND(I296="no",K296&lt;&gt;""),D296-K296,"")</f>
        <v/>
      </c>
      <c r="N296" s="19">
        <f>IF(M296="","",L296/M296*100)</f>
        <v/>
      </c>
      <c r="O296" s="2">
        <f>A296&amp;"|"&amp;C296</f>
        <v/>
      </c>
    </row>
    <row r="297">
      <c r="A297" s="4" t="inlineStr">
        <is>
          <t>ev</t>
        </is>
      </c>
      <c r="B297" s="4" t="inlineStr">
        <is>
          <t>alex</t>
        </is>
      </c>
      <c r="C297" s="4" t="inlineStr">
        <is>
          <t>2025-10-05 23:52</t>
        </is>
      </c>
      <c r="D297" s="4" t="n">
        <v>24681.4</v>
      </c>
      <c r="E297" s="4" t="inlineStr">
        <is>
          <t>ev</t>
        </is>
      </c>
      <c r="F297" s="4" t="n">
        <v>19.627</v>
      </c>
      <c r="G297" s="4" t="n">
        <v>0.075</v>
      </c>
      <c r="H297" s="4" t="n">
        <v>1.47</v>
      </c>
      <c r="I297" s="4" t="inlineStr">
        <is>
          <t>no</t>
        </is>
      </c>
      <c r="J297" s="4" t="inlineStr">
        <is>
          <t>Home</t>
        </is>
      </c>
      <c r="K297" s="2">
        <f>IF(A297&lt;&gt;A296,"",IF(I296="no",D296,K296))</f>
        <v/>
      </c>
      <c r="L297" s="2">
        <f>IF(OR(A297&lt;&gt;A296,K297=""),"",IF(I296="no",F297,L296+F297))</f>
        <v/>
      </c>
      <c r="M297" s="2">
        <f>IF(AND(I297="no",K297&lt;&gt;""),D297-K297,"")</f>
        <v/>
      </c>
      <c r="N297" s="19">
        <f>IF(M297="","",L297/M297*100)</f>
        <v/>
      </c>
      <c r="O297" s="2">
        <f>A297&amp;"|"&amp;C297</f>
        <v/>
      </c>
    </row>
    <row r="298">
      <c r="A298" s="4" t="inlineStr">
        <is>
          <t>ev</t>
        </is>
      </c>
      <c r="B298" s="4" t="inlineStr">
        <is>
          <t>alex</t>
        </is>
      </c>
      <c r="C298" s="4" t="inlineStr">
        <is>
          <t>2025-10-08 16:38</t>
        </is>
      </c>
      <c r="D298" s="4" t="n">
        <v>24762.1</v>
      </c>
      <c r="E298" s="4" t="inlineStr">
        <is>
          <t>ev</t>
        </is>
      </c>
      <c r="F298" s="4" t="n">
        <v>7.059</v>
      </c>
      <c r="G298" s="4" t="n">
        <v>0.52</v>
      </c>
      <c r="H298" s="4" t="n">
        <v>3.67</v>
      </c>
      <c r="I298" s="4" t="inlineStr">
        <is>
          <t>yes</t>
        </is>
      </c>
      <c r="J298" s="4" t="inlineStr">
        <is>
          <t>Leeds Council car park (AC)</t>
        </is>
      </c>
      <c r="K298" s="2">
        <f>IF(A298&lt;&gt;A297,"",IF(I297="no",D297,K297))</f>
        <v/>
      </c>
      <c r="L298" s="2">
        <f>IF(OR(A298&lt;&gt;A297,K298=""),"",IF(I297="no",F298,L297+F298))</f>
        <v/>
      </c>
      <c r="M298" s="2">
        <f>IF(AND(I298="no",K298&lt;&gt;""),D298-K298,"")</f>
        <v/>
      </c>
      <c r="N298" s="19">
        <f>IF(M298="","",L298/M298*100)</f>
        <v/>
      </c>
      <c r="O298" s="2">
        <f>A298&amp;"|"&amp;C298</f>
        <v/>
      </c>
    </row>
    <row r="299">
      <c r="A299" s="4" t="inlineStr">
        <is>
          <t>ev</t>
        </is>
      </c>
      <c r="B299" s="4" t="inlineStr">
        <is>
          <t>alex</t>
        </is>
      </c>
      <c r="C299" s="4" t="inlineStr">
        <is>
          <t>2025-10-08 23:52</t>
        </is>
      </c>
      <c r="D299" s="4" t="n">
        <v>24772.3</v>
      </c>
      <c r="E299" s="4" t="inlineStr">
        <is>
          <t>ev</t>
        </is>
      </c>
      <c r="F299" s="4" t="n">
        <v>10.152</v>
      </c>
      <c r="G299" s="4" t="n">
        <v>0.075</v>
      </c>
      <c r="H299" s="4" t="n">
        <v>0.76</v>
      </c>
      <c r="I299" s="4" t="inlineStr">
        <is>
          <t>no</t>
        </is>
      </c>
      <c r="J299" s="4" t="inlineStr">
        <is>
          <t>Home</t>
        </is>
      </c>
      <c r="K299" s="2">
        <f>IF(A299&lt;&gt;A298,"",IF(I298="no",D298,K298))</f>
        <v/>
      </c>
      <c r="L299" s="2">
        <f>IF(OR(A299&lt;&gt;A298,K299=""),"",IF(I298="no",F299,L298+F299))</f>
        <v/>
      </c>
      <c r="M299" s="2">
        <f>IF(AND(I299="no",K299&lt;&gt;""),D299-K299,"")</f>
        <v/>
      </c>
      <c r="N299" s="19">
        <f>IF(M299="","",L299/M299*100)</f>
        <v/>
      </c>
      <c r="O299" s="2">
        <f>A299&amp;"|"&amp;C299</f>
        <v/>
      </c>
    </row>
    <row r="300">
      <c r="A300" s="4" t="inlineStr">
        <is>
          <t>ev</t>
        </is>
      </c>
      <c r="B300" s="4" t="inlineStr">
        <is>
          <t>alex</t>
        </is>
      </c>
      <c r="C300" s="4" t="inlineStr">
        <is>
          <t>2025-10-09 23:51</t>
        </is>
      </c>
      <c r="D300" s="4" t="n">
        <v>24816</v>
      </c>
      <c r="E300" s="4" t="inlineStr">
        <is>
          <t>ev</t>
        </is>
      </c>
      <c r="F300" s="4" t="n">
        <v>7.563</v>
      </c>
      <c r="G300" s="4" t="n">
        <v>0.075</v>
      </c>
      <c r="H300" s="4" t="n">
        <v>0.57</v>
      </c>
      <c r="I300" s="4" t="inlineStr">
        <is>
          <t>no</t>
        </is>
      </c>
      <c r="J300" s="4" t="inlineStr">
        <is>
          <t>Home</t>
        </is>
      </c>
      <c r="K300" s="2">
        <f>IF(A300&lt;&gt;A299,"",IF(I299="no",D299,K299))</f>
        <v/>
      </c>
      <c r="L300" s="2">
        <f>IF(OR(A300&lt;&gt;A299,K300=""),"",IF(I299="no",F300,L299+F300))</f>
        <v/>
      </c>
      <c r="M300" s="2">
        <f>IF(AND(I300="no",K300&lt;&gt;""),D300-K300,"")</f>
        <v/>
      </c>
      <c r="N300" s="19">
        <f>IF(M300="","",L300/M300*100)</f>
        <v/>
      </c>
      <c r="O300" s="2">
        <f>A300&amp;"|"&amp;C300</f>
        <v/>
      </c>
    </row>
    <row r="301">
      <c r="A301" s="4" t="inlineStr">
        <is>
          <t>ev</t>
        </is>
      </c>
      <c r="B301" s="4" t="inlineStr">
        <is>
          <t>alex</t>
        </is>
      </c>
      <c r="C301" s="4" t="inlineStr">
        <is>
          <t>2025-10-12 23:34</t>
        </is>
      </c>
      <c r="D301" s="4" t="n">
        <v>24909.2</v>
      </c>
      <c r="E301" s="4" t="inlineStr">
        <is>
          <t>ev</t>
        </is>
      </c>
      <c r="F301" s="4" t="n">
        <v>16.673</v>
      </c>
      <c r="G301" s="4" t="n">
        <v>0.075</v>
      </c>
      <c r="H301" s="4" t="n">
        <v>1.25</v>
      </c>
      <c r="I301" s="4" t="inlineStr">
        <is>
          <t>no</t>
        </is>
      </c>
      <c r="J301" s="4" t="inlineStr">
        <is>
          <t>Home</t>
        </is>
      </c>
      <c r="K301" s="2">
        <f>IF(A301&lt;&gt;A300,"",IF(I300="no",D300,K300))</f>
        <v/>
      </c>
      <c r="L301" s="2">
        <f>IF(OR(A301&lt;&gt;A300,K301=""),"",IF(I300="no",F301,L300+F301))</f>
        <v/>
      </c>
      <c r="M301" s="2">
        <f>IF(AND(I301="no",K301&lt;&gt;""),D301-K301,"")</f>
        <v/>
      </c>
      <c r="N301" s="19">
        <f>IF(M301="","",L301/M301*100)</f>
        <v/>
      </c>
      <c r="O301" s="2">
        <f>A301&amp;"|"&amp;C301</f>
        <v/>
      </c>
    </row>
    <row r="302">
      <c r="A302" s="4" t="inlineStr">
        <is>
          <t>ev</t>
        </is>
      </c>
      <c r="B302" s="4" t="inlineStr">
        <is>
          <t>alex</t>
        </is>
      </c>
      <c r="C302" s="4" t="inlineStr">
        <is>
          <t>2025-10-13 13:36</t>
        </is>
      </c>
      <c r="D302" s="4" t="n">
        <v>24936.7</v>
      </c>
      <c r="E302" s="4" t="inlineStr">
        <is>
          <t>ev</t>
        </is>
      </c>
      <c r="F302" s="4" t="n">
        <v>9.275</v>
      </c>
      <c r="G302" s="4" t="n">
        <v>0.52</v>
      </c>
      <c r="H302" s="4" t="n">
        <v>4.82</v>
      </c>
      <c r="I302" s="4" t="inlineStr">
        <is>
          <t>yes</t>
        </is>
      </c>
      <c r="J302" s="4" t="inlineStr">
        <is>
          <t>Leeds Council car park (AC)</t>
        </is>
      </c>
      <c r="K302" s="2">
        <f>IF(A302&lt;&gt;A301,"",IF(I301="no",D301,K301))</f>
        <v/>
      </c>
      <c r="L302" s="2">
        <f>IF(OR(A302&lt;&gt;A301,K302=""),"",IF(I301="no",F302,L301+F302))</f>
        <v/>
      </c>
      <c r="M302" s="2">
        <f>IF(AND(I302="no",K302&lt;&gt;""),D302-K302,"")</f>
        <v/>
      </c>
      <c r="N302" s="19">
        <f>IF(M302="","",L302/M302*100)</f>
        <v/>
      </c>
      <c r="O302" s="2">
        <f>A302&amp;"|"&amp;C302</f>
        <v/>
      </c>
    </row>
    <row r="303">
      <c r="A303" s="4" t="inlineStr">
        <is>
          <t>ev</t>
        </is>
      </c>
      <c r="B303" s="4" t="inlineStr">
        <is>
          <t>alex</t>
        </is>
      </c>
      <c r="C303" s="4" t="inlineStr">
        <is>
          <t>2025-10-15 15:27</t>
        </is>
      </c>
      <c r="D303" s="4" t="n">
        <v>25020</v>
      </c>
      <c r="E303" s="4" t="inlineStr">
        <is>
          <t>ev</t>
        </is>
      </c>
      <c r="F303" s="4" t="n">
        <v>20.803</v>
      </c>
      <c r="G303" s="4" t="n">
        <v>0.79</v>
      </c>
      <c r="H303" s="4" t="n">
        <v>16.43</v>
      </c>
      <c r="I303" s="4" t="inlineStr">
        <is>
          <t>yes</t>
        </is>
      </c>
      <c r="J303" s="4" t="inlineStr">
        <is>
          <t>Ionity Woodall (DC)</t>
        </is>
      </c>
      <c r="K303" s="2">
        <f>IF(A303&lt;&gt;A302,"",IF(I302="no",D302,K302))</f>
        <v/>
      </c>
      <c r="L303" s="2">
        <f>IF(OR(A303&lt;&gt;A302,K303=""),"",IF(I302="no",F303,L302+F303))</f>
        <v/>
      </c>
      <c r="M303" s="2">
        <f>IF(AND(I303="no",K303&lt;&gt;""),D303-K303,"")</f>
        <v/>
      </c>
      <c r="N303" s="19">
        <f>IF(M303="","",L303/M303*100)</f>
        <v/>
      </c>
      <c r="O303" s="2">
        <f>A303&amp;"|"&amp;C303</f>
        <v/>
      </c>
    </row>
    <row r="304">
      <c r="A304" s="4" t="inlineStr">
        <is>
          <t>ev</t>
        </is>
      </c>
      <c r="B304" s="4" t="inlineStr">
        <is>
          <t>alex</t>
        </is>
      </c>
      <c r="C304" s="4" t="inlineStr">
        <is>
          <t>2025-10-17 23:31</t>
        </is>
      </c>
      <c r="D304" s="4" t="n">
        <v>25103.9</v>
      </c>
      <c r="E304" s="4" t="inlineStr">
        <is>
          <t>ev</t>
        </is>
      </c>
      <c r="F304" s="4" t="n">
        <v>14.368</v>
      </c>
      <c r="G304" s="4" t="n">
        <v>0.075</v>
      </c>
      <c r="H304" s="4" t="n">
        <v>1.08</v>
      </c>
      <c r="I304" s="4" t="inlineStr">
        <is>
          <t>no</t>
        </is>
      </c>
      <c r="J304" s="4" t="inlineStr">
        <is>
          <t>Home</t>
        </is>
      </c>
      <c r="K304" s="2">
        <f>IF(A304&lt;&gt;A303,"",IF(I303="no",D303,K303))</f>
        <v/>
      </c>
      <c r="L304" s="2">
        <f>IF(OR(A304&lt;&gt;A303,K304=""),"",IF(I303="no",F304,L303+F304))</f>
        <v/>
      </c>
      <c r="M304" s="2">
        <f>IF(AND(I304="no",K304&lt;&gt;""),D304-K304,"")</f>
        <v/>
      </c>
      <c r="N304" s="19">
        <f>IF(M304="","",L304/M304*100)</f>
        <v/>
      </c>
      <c r="O304" s="2">
        <f>A304&amp;"|"&amp;C304</f>
        <v/>
      </c>
    </row>
    <row r="305">
      <c r="A305" s="4" t="inlineStr">
        <is>
          <t>ev</t>
        </is>
      </c>
      <c r="B305" s="4" t="inlineStr">
        <is>
          <t>alex</t>
        </is>
      </c>
      <c r="C305" s="4" t="inlineStr">
        <is>
          <t>2025-10-20 17:53</t>
        </is>
      </c>
      <c r="D305" s="4" t="n">
        <v>25191.2</v>
      </c>
      <c r="E305" s="4" t="inlineStr">
        <is>
          <t>ev</t>
        </is>
      </c>
      <c r="F305" s="4" t="n">
        <v>18.738</v>
      </c>
      <c r="G305" s="4" t="n">
        <v>0.79</v>
      </c>
      <c r="H305" s="4" t="n">
        <v>14.8</v>
      </c>
      <c r="I305" s="4" t="inlineStr">
        <is>
          <t>yes</t>
        </is>
      </c>
      <c r="J305" s="4" t="inlineStr">
        <is>
          <t>Ionity Woodall (DC)</t>
        </is>
      </c>
      <c r="K305" s="2">
        <f>IF(A305&lt;&gt;A304,"",IF(I304="no",D304,K304))</f>
        <v/>
      </c>
      <c r="L305" s="2">
        <f>IF(OR(A305&lt;&gt;A304,K305=""),"",IF(I304="no",F305,L304+F305))</f>
        <v/>
      </c>
      <c r="M305" s="2">
        <f>IF(AND(I305="no",K305&lt;&gt;""),D305-K305,"")</f>
        <v/>
      </c>
      <c r="N305" s="19">
        <f>IF(M305="","",L305/M305*100)</f>
        <v/>
      </c>
      <c r="O305" s="2">
        <f>A305&amp;"|"&amp;C305</f>
        <v/>
      </c>
    </row>
    <row r="306">
      <c r="A306" s="4" t="inlineStr">
        <is>
          <t>ev</t>
        </is>
      </c>
      <c r="B306" s="4" t="inlineStr">
        <is>
          <t>alex</t>
        </is>
      </c>
      <c r="C306" s="4" t="inlineStr">
        <is>
          <t>2025-10-22 23:45</t>
        </is>
      </c>
      <c r="D306" s="4" t="n">
        <v>25272.2</v>
      </c>
      <c r="E306" s="4" t="inlineStr">
        <is>
          <t>ev</t>
        </is>
      </c>
      <c r="F306" s="4" t="n">
        <v>13.972</v>
      </c>
      <c r="G306" s="4" t="n">
        <v>0.075</v>
      </c>
      <c r="H306" s="4" t="n">
        <v>1.05</v>
      </c>
      <c r="I306" s="4" t="inlineStr">
        <is>
          <t>no</t>
        </is>
      </c>
      <c r="J306" s="4" t="inlineStr">
        <is>
          <t>Home</t>
        </is>
      </c>
      <c r="K306" s="2">
        <f>IF(A306&lt;&gt;A305,"",IF(I305="no",D305,K305))</f>
        <v/>
      </c>
      <c r="L306" s="2">
        <f>IF(OR(A306&lt;&gt;A305,K306=""),"",IF(I305="no",F306,L305+F306))</f>
        <v/>
      </c>
      <c r="M306" s="2">
        <f>IF(AND(I306="no",K306&lt;&gt;""),D306-K306,"")</f>
        <v/>
      </c>
      <c r="N306" s="19">
        <f>IF(M306="","",L306/M306*100)</f>
        <v/>
      </c>
      <c r="O306" s="2">
        <f>A306&amp;"|"&amp;C306</f>
        <v/>
      </c>
    </row>
    <row r="307">
      <c r="A307" s="4" t="inlineStr">
        <is>
          <t>ev</t>
        </is>
      </c>
      <c r="B307" s="4" t="inlineStr">
        <is>
          <t>alex</t>
        </is>
      </c>
      <c r="C307" s="4" t="inlineStr">
        <is>
          <t>2025-10-25 23:58</t>
        </is>
      </c>
      <c r="D307" s="4" t="n">
        <v>25367.9</v>
      </c>
      <c r="E307" s="4" t="inlineStr">
        <is>
          <t>ev</t>
        </is>
      </c>
      <c r="F307" s="4" t="n">
        <v>16.412</v>
      </c>
      <c r="G307" s="4" t="n">
        <v>0.075</v>
      </c>
      <c r="H307" s="4" t="n">
        <v>1.23</v>
      </c>
      <c r="I307" s="4" t="inlineStr">
        <is>
          <t>no</t>
        </is>
      </c>
      <c r="J307" s="4" t="inlineStr">
        <is>
          <t>Home</t>
        </is>
      </c>
      <c r="K307" s="2">
        <f>IF(A307&lt;&gt;A306,"",IF(I306="no",D306,K306))</f>
        <v/>
      </c>
      <c r="L307" s="2">
        <f>IF(OR(A307&lt;&gt;A306,K307=""),"",IF(I306="no",F307,L306+F307))</f>
        <v/>
      </c>
      <c r="M307" s="2">
        <f>IF(AND(I307="no",K307&lt;&gt;""),D307-K307,"")</f>
        <v/>
      </c>
      <c r="N307" s="19">
        <f>IF(M307="","",L307/M307*100)</f>
        <v/>
      </c>
      <c r="O307" s="2">
        <f>A307&amp;"|"&amp;C307</f>
        <v/>
      </c>
    </row>
    <row r="308">
      <c r="A308" s="4" t="inlineStr">
        <is>
          <t>ev</t>
        </is>
      </c>
      <c r="B308" s="4" t="inlineStr">
        <is>
          <t>alex</t>
        </is>
      </c>
      <c r="C308" s="4" t="inlineStr">
        <is>
          <t>2025-10-30 23:34</t>
        </is>
      </c>
      <c r="D308" s="4" t="n">
        <v>25495.8</v>
      </c>
      <c r="E308" s="4" t="inlineStr">
        <is>
          <t>ev</t>
        </is>
      </c>
      <c r="F308" s="4" t="n">
        <v>23.24</v>
      </c>
      <c r="G308" s="4" t="n">
        <v>0.075</v>
      </c>
      <c r="H308" s="4" t="n">
        <v>1.74</v>
      </c>
      <c r="I308" s="4" t="inlineStr">
        <is>
          <t>no</t>
        </is>
      </c>
      <c r="J308" s="4" t="inlineStr">
        <is>
          <t>Home</t>
        </is>
      </c>
      <c r="K308" s="2">
        <f>IF(A308&lt;&gt;A307,"",IF(I307="no",D307,K307))</f>
        <v/>
      </c>
      <c r="L308" s="2">
        <f>IF(OR(A308&lt;&gt;A307,K308=""),"",IF(I307="no",F308,L307+F308))</f>
        <v/>
      </c>
      <c r="M308" s="2">
        <f>IF(AND(I308="no",K308&lt;&gt;""),D308-K308,"")</f>
        <v/>
      </c>
      <c r="N308" s="19">
        <f>IF(M308="","",L308/M308*100)</f>
        <v/>
      </c>
      <c r="O308" s="2">
        <f>A308&amp;"|"&amp;C308</f>
        <v/>
      </c>
    </row>
    <row r="309">
      <c r="A309" s="4" t="inlineStr">
        <is>
          <t>ev</t>
        </is>
      </c>
      <c r="B309" s="4" t="inlineStr">
        <is>
          <t>alex</t>
        </is>
      </c>
      <c r="C309" s="4" t="inlineStr">
        <is>
          <t>2025-10-31 23:41</t>
        </is>
      </c>
      <c r="D309" s="4" t="n">
        <v>25536.6</v>
      </c>
      <c r="E309" s="4" t="inlineStr">
        <is>
          <t>ev</t>
        </is>
      </c>
      <c r="F309" s="4" t="n">
        <v>7.171</v>
      </c>
      <c r="G309" s="4" t="n">
        <v>0.075</v>
      </c>
      <c r="H309" s="4" t="n">
        <v>0.54</v>
      </c>
      <c r="I309" s="4" t="inlineStr">
        <is>
          <t>no</t>
        </is>
      </c>
      <c r="J309" s="4" t="inlineStr">
        <is>
          <t>Home</t>
        </is>
      </c>
      <c r="K309" s="2">
        <f>IF(A309&lt;&gt;A308,"",IF(I308="no",D308,K308))</f>
        <v/>
      </c>
      <c r="L309" s="2">
        <f>IF(OR(A309&lt;&gt;A308,K309=""),"",IF(I308="no",F309,L308+F309))</f>
        <v/>
      </c>
      <c r="M309" s="2">
        <f>IF(AND(I309="no",K309&lt;&gt;""),D309-K309,"")</f>
        <v/>
      </c>
      <c r="N309" s="19">
        <f>IF(M309="","",L309/M309*100)</f>
        <v/>
      </c>
      <c r="O309" s="2">
        <f>A309&amp;"|"&amp;C309</f>
        <v/>
      </c>
    </row>
    <row r="310">
      <c r="A310" s="4" t="inlineStr">
        <is>
          <t>ev</t>
        </is>
      </c>
      <c r="B310" s="4" t="inlineStr">
        <is>
          <t>alex</t>
        </is>
      </c>
      <c r="C310" s="4" t="inlineStr">
        <is>
          <t>2025-11-04 23:50</t>
        </is>
      </c>
      <c r="D310" s="4" t="n">
        <v>25630.7</v>
      </c>
      <c r="E310" s="4" t="inlineStr">
        <is>
          <t>ev</t>
        </is>
      </c>
      <c r="F310" s="4" t="n">
        <v>16.813</v>
      </c>
      <c r="G310" s="4" t="n">
        <v>0.075</v>
      </c>
      <c r="H310" s="4" t="n">
        <v>1.26</v>
      </c>
      <c r="I310" s="4" t="inlineStr">
        <is>
          <t>no</t>
        </is>
      </c>
      <c r="J310" s="4" t="inlineStr">
        <is>
          <t>Home</t>
        </is>
      </c>
      <c r="K310" s="2">
        <f>IF(A310&lt;&gt;A309,"",IF(I309="no",D309,K309))</f>
        <v/>
      </c>
      <c r="L310" s="2">
        <f>IF(OR(A310&lt;&gt;A309,K310=""),"",IF(I309="no",F310,L309+F310))</f>
        <v/>
      </c>
      <c r="M310" s="2">
        <f>IF(AND(I310="no",K310&lt;&gt;""),D310-K310,"")</f>
        <v/>
      </c>
      <c r="N310" s="19">
        <f>IF(M310="","",L310/M310*100)</f>
        <v/>
      </c>
      <c r="O310" s="2">
        <f>A310&amp;"|"&amp;C310</f>
        <v/>
      </c>
    </row>
    <row r="311">
      <c r="A311" s="4" t="inlineStr">
        <is>
          <t>ev</t>
        </is>
      </c>
      <c r="B311" s="4" t="inlineStr">
        <is>
          <t>alex</t>
        </is>
      </c>
      <c r="C311" s="4" t="inlineStr">
        <is>
          <t>2025-11-08 23:46</t>
        </is>
      </c>
      <c r="D311" s="4" t="n">
        <v>25747.1</v>
      </c>
      <c r="E311" s="4" t="inlineStr">
        <is>
          <t>ev</t>
        </is>
      </c>
      <c r="F311" s="4" t="n">
        <v>20.686</v>
      </c>
      <c r="G311" s="4" t="n">
        <v>0.075</v>
      </c>
      <c r="H311" s="4" t="n">
        <v>1.55</v>
      </c>
      <c r="I311" s="4" t="inlineStr">
        <is>
          <t>no</t>
        </is>
      </c>
      <c r="J311" s="4" t="inlineStr">
        <is>
          <t>Home</t>
        </is>
      </c>
      <c r="K311" s="2">
        <f>IF(A311&lt;&gt;A310,"",IF(I310="no",D310,K310))</f>
        <v/>
      </c>
      <c r="L311" s="2">
        <f>IF(OR(A311&lt;&gt;A310,K311=""),"",IF(I310="no",F311,L310+F311))</f>
        <v/>
      </c>
      <c r="M311" s="2">
        <f>IF(AND(I311="no",K311&lt;&gt;""),D311-K311,"")</f>
        <v/>
      </c>
      <c r="N311" s="19">
        <f>IF(M311="","",L311/M311*100)</f>
        <v/>
      </c>
      <c r="O311" s="2">
        <f>A311&amp;"|"&amp;C311</f>
        <v/>
      </c>
    </row>
    <row r="312">
      <c r="A312" s="4" t="inlineStr">
        <is>
          <t>ev</t>
        </is>
      </c>
      <c r="B312" s="4" t="inlineStr">
        <is>
          <t>alex</t>
        </is>
      </c>
      <c r="C312" s="4" t="inlineStr">
        <is>
          <t>2025-11-10 23:33</t>
        </is>
      </c>
      <c r="D312" s="4" t="n">
        <v>25825.8</v>
      </c>
      <c r="E312" s="4" t="inlineStr">
        <is>
          <t>ev</t>
        </is>
      </c>
      <c r="F312" s="4" t="n">
        <v>14.23</v>
      </c>
      <c r="G312" s="4" t="n">
        <v>0.075</v>
      </c>
      <c r="H312" s="4" t="n">
        <v>1.07</v>
      </c>
      <c r="I312" s="4" t="inlineStr">
        <is>
          <t>no</t>
        </is>
      </c>
      <c r="J312" s="4" t="inlineStr">
        <is>
          <t>Home</t>
        </is>
      </c>
      <c r="K312" s="2">
        <f>IF(A312&lt;&gt;A311,"",IF(I311="no",D311,K311))</f>
        <v/>
      </c>
      <c r="L312" s="2">
        <f>IF(OR(A312&lt;&gt;A311,K312=""),"",IF(I311="no",F312,L311+F312))</f>
        <v/>
      </c>
      <c r="M312" s="2">
        <f>IF(AND(I312="no",K312&lt;&gt;""),D312-K312,"")</f>
        <v/>
      </c>
      <c r="N312" s="19">
        <f>IF(M312="","",L312/M312*100)</f>
        <v/>
      </c>
      <c r="O312" s="2">
        <f>A312&amp;"|"&amp;C312</f>
        <v/>
      </c>
    </row>
    <row r="313">
      <c r="A313" s="4" t="inlineStr">
        <is>
          <t>ev</t>
        </is>
      </c>
      <c r="B313" s="4" t="inlineStr">
        <is>
          <t>alex</t>
        </is>
      </c>
      <c r="C313" s="4" t="inlineStr">
        <is>
          <t>2025-11-13 16:24</t>
        </is>
      </c>
      <c r="D313" s="4" t="n">
        <v>25882.5</v>
      </c>
      <c r="E313" s="4" t="inlineStr">
        <is>
          <t>ev</t>
        </is>
      </c>
      <c r="F313" s="4" t="n">
        <v>6.044</v>
      </c>
      <c r="G313" s="4" t="n">
        <v>0.52</v>
      </c>
      <c r="H313" s="4" t="n">
        <v>3.14</v>
      </c>
      <c r="I313" s="4" t="inlineStr">
        <is>
          <t>yes</t>
        </is>
      </c>
      <c r="J313" s="4" t="inlineStr">
        <is>
          <t>Leeds Council car park (AC)</t>
        </is>
      </c>
      <c r="K313" s="2">
        <f>IF(A313&lt;&gt;A312,"",IF(I312="no",D312,K312))</f>
        <v/>
      </c>
      <c r="L313" s="2">
        <f>IF(OR(A313&lt;&gt;A312,K313=""),"",IF(I312="no",F313,L312+F313))</f>
        <v/>
      </c>
      <c r="M313" s="2">
        <f>IF(AND(I313="no",K313&lt;&gt;""),D313-K313,"")</f>
        <v/>
      </c>
      <c r="N313" s="19">
        <f>IF(M313="","",L313/M313*100)</f>
        <v/>
      </c>
      <c r="O313" s="2">
        <f>A313&amp;"|"&amp;C313</f>
        <v/>
      </c>
    </row>
    <row r="314">
      <c r="A314" s="4" t="inlineStr">
        <is>
          <t>ev</t>
        </is>
      </c>
      <c r="B314" s="4" t="inlineStr">
        <is>
          <t>alex</t>
        </is>
      </c>
      <c r="C314" s="4" t="inlineStr">
        <is>
          <t>2025-11-16 23:34</t>
        </is>
      </c>
      <c r="D314" s="4" t="n">
        <v>25969.8</v>
      </c>
      <c r="E314" s="4" t="inlineStr">
        <is>
          <t>ev</t>
        </is>
      </c>
      <c r="F314" s="4" t="n">
        <v>18.889</v>
      </c>
      <c r="G314" s="4" t="n">
        <v>0.075</v>
      </c>
      <c r="H314" s="4" t="n">
        <v>1.42</v>
      </c>
      <c r="I314" s="4" t="inlineStr">
        <is>
          <t>no</t>
        </is>
      </c>
      <c r="J314" s="4" t="inlineStr">
        <is>
          <t>Home</t>
        </is>
      </c>
      <c r="K314" s="2">
        <f>IF(A314&lt;&gt;A313,"",IF(I313="no",D313,K313))</f>
        <v/>
      </c>
      <c r="L314" s="2">
        <f>IF(OR(A314&lt;&gt;A313,K314=""),"",IF(I313="no",F314,L313+F314))</f>
        <v/>
      </c>
      <c r="M314" s="2">
        <f>IF(AND(I314="no",K314&lt;&gt;""),D314-K314,"")</f>
        <v/>
      </c>
      <c r="N314" s="19">
        <f>IF(M314="","",L314/M314*100)</f>
        <v/>
      </c>
      <c r="O314" s="2">
        <f>A314&amp;"|"&amp;C314</f>
        <v/>
      </c>
    </row>
    <row r="315">
      <c r="A315" s="4" t="inlineStr">
        <is>
          <t>ev</t>
        </is>
      </c>
      <c r="B315" s="4" t="inlineStr">
        <is>
          <t>alex</t>
        </is>
      </c>
      <c r="C315" s="4" t="inlineStr">
        <is>
          <t>2025-11-20 23:53</t>
        </is>
      </c>
      <c r="D315" s="4" t="n">
        <v>26067.7</v>
      </c>
      <c r="E315" s="4" t="inlineStr">
        <is>
          <t>ev</t>
        </is>
      </c>
      <c r="F315" s="4" t="n">
        <v>16.622</v>
      </c>
      <c r="G315" s="4" t="n">
        <v>0.075</v>
      </c>
      <c r="H315" s="4" t="n">
        <v>1.25</v>
      </c>
      <c r="I315" s="4" t="inlineStr">
        <is>
          <t>no</t>
        </is>
      </c>
      <c r="J315" s="4" t="inlineStr">
        <is>
          <t>Home</t>
        </is>
      </c>
      <c r="K315" s="2">
        <f>IF(A315&lt;&gt;A314,"",IF(I314="no",D314,K314))</f>
        <v/>
      </c>
      <c r="L315" s="2">
        <f>IF(OR(A315&lt;&gt;A314,K315=""),"",IF(I314="no",F315,L314+F315))</f>
        <v/>
      </c>
      <c r="M315" s="2">
        <f>IF(AND(I315="no",K315&lt;&gt;""),D315-K315,"")</f>
        <v/>
      </c>
      <c r="N315" s="19">
        <f>IF(M315="","",L315/M315*100)</f>
        <v/>
      </c>
      <c r="O315" s="2">
        <f>A315&amp;"|"&amp;C315</f>
        <v/>
      </c>
    </row>
    <row r="316">
      <c r="A316" s="4" t="inlineStr">
        <is>
          <t>ev</t>
        </is>
      </c>
      <c r="B316" s="4" t="inlineStr">
        <is>
          <t>alex</t>
        </is>
      </c>
      <c r="C316" s="4" t="inlineStr">
        <is>
          <t>2025-11-21 23:43</t>
        </is>
      </c>
      <c r="D316" s="4" t="n">
        <v>26114.4</v>
      </c>
      <c r="E316" s="4" t="inlineStr">
        <is>
          <t>ev</t>
        </is>
      </c>
      <c r="F316" s="4" t="n">
        <v>7.616</v>
      </c>
      <c r="G316" s="4" t="n">
        <v>0.075</v>
      </c>
      <c r="H316" s="4" t="n">
        <v>0.57</v>
      </c>
      <c r="I316" s="4" t="inlineStr">
        <is>
          <t>no</t>
        </is>
      </c>
      <c r="J316" s="4" t="inlineStr">
        <is>
          <t>Home</t>
        </is>
      </c>
      <c r="K316" s="2">
        <f>IF(A316&lt;&gt;A315,"",IF(I315="no",D315,K315))</f>
        <v/>
      </c>
      <c r="L316" s="2">
        <f>IF(OR(A316&lt;&gt;A315,K316=""),"",IF(I315="no",F316,L315+F316))</f>
        <v/>
      </c>
      <c r="M316" s="2">
        <f>IF(AND(I316="no",K316&lt;&gt;""),D316-K316,"")</f>
        <v/>
      </c>
      <c r="N316" s="19">
        <f>IF(M316="","",L316/M316*100)</f>
        <v/>
      </c>
      <c r="O316" s="2">
        <f>A316&amp;"|"&amp;C316</f>
        <v/>
      </c>
    </row>
    <row r="317">
      <c r="A317" s="4" t="inlineStr">
        <is>
          <t>ev</t>
        </is>
      </c>
      <c r="B317" s="4" t="inlineStr">
        <is>
          <t>alex</t>
        </is>
      </c>
      <c r="C317" s="4" t="inlineStr">
        <is>
          <t>2025-11-23 23:33</t>
        </is>
      </c>
      <c r="D317" s="4" t="n">
        <v>26184.3</v>
      </c>
      <c r="E317" s="4" t="inlineStr">
        <is>
          <t>ev</t>
        </is>
      </c>
      <c r="F317" s="4" t="n">
        <v>12.14</v>
      </c>
      <c r="G317" s="4" t="n">
        <v>0.075</v>
      </c>
      <c r="H317" s="4" t="n">
        <v>0.91</v>
      </c>
      <c r="I317" s="4" t="inlineStr">
        <is>
          <t>no</t>
        </is>
      </c>
      <c r="J317" s="4" t="inlineStr">
        <is>
          <t>Home</t>
        </is>
      </c>
      <c r="K317" s="2">
        <f>IF(A317&lt;&gt;A316,"",IF(I316="no",D316,K316))</f>
        <v/>
      </c>
      <c r="L317" s="2">
        <f>IF(OR(A317&lt;&gt;A316,K317=""),"",IF(I316="no",F317,L316+F317))</f>
        <v/>
      </c>
      <c r="M317" s="2">
        <f>IF(AND(I317="no",K317&lt;&gt;""),D317-K317,"")</f>
        <v/>
      </c>
      <c r="N317" s="19">
        <f>IF(M317="","",L317/M317*100)</f>
        <v/>
      </c>
      <c r="O317" s="2">
        <f>A317&amp;"|"&amp;C317</f>
        <v/>
      </c>
    </row>
    <row r="318">
      <c r="A318" s="4" t="inlineStr">
        <is>
          <t>ev</t>
        </is>
      </c>
      <c r="B318" s="4" t="inlineStr">
        <is>
          <t>alex</t>
        </is>
      </c>
      <c r="C318" s="4" t="inlineStr">
        <is>
          <t>2025-11-26 23:58</t>
        </is>
      </c>
      <c r="D318" s="4" t="n">
        <v>26285.6</v>
      </c>
      <c r="E318" s="4" t="inlineStr">
        <is>
          <t>ev</t>
        </is>
      </c>
      <c r="F318" s="4" t="n">
        <v>17.641</v>
      </c>
      <c r="G318" s="4" t="n">
        <v>0.075</v>
      </c>
      <c r="H318" s="4" t="n">
        <v>1.32</v>
      </c>
      <c r="I318" s="4" t="inlineStr">
        <is>
          <t>no</t>
        </is>
      </c>
      <c r="J318" s="4" t="inlineStr">
        <is>
          <t>Home</t>
        </is>
      </c>
      <c r="K318" s="2">
        <f>IF(A318&lt;&gt;A317,"",IF(I317="no",D317,K317))</f>
        <v/>
      </c>
      <c r="L318" s="2">
        <f>IF(OR(A318&lt;&gt;A317,K318=""),"",IF(I317="no",F318,L317+F318))</f>
        <v/>
      </c>
      <c r="M318" s="2">
        <f>IF(AND(I318="no",K318&lt;&gt;""),D318-K318,"")</f>
        <v/>
      </c>
      <c r="N318" s="19">
        <f>IF(M318="","",L318/M318*100)</f>
        <v/>
      </c>
      <c r="O318" s="2">
        <f>A318&amp;"|"&amp;C318</f>
        <v/>
      </c>
    </row>
    <row r="319">
      <c r="A319" s="4" t="inlineStr">
        <is>
          <t>ev</t>
        </is>
      </c>
      <c r="B319" s="4" t="inlineStr">
        <is>
          <t>alex</t>
        </is>
      </c>
      <c r="C319" s="4" t="inlineStr">
        <is>
          <t>2025-11-28 23:33</t>
        </is>
      </c>
      <c r="D319" s="4" t="n">
        <v>26352.4</v>
      </c>
      <c r="E319" s="4" t="inlineStr">
        <is>
          <t>ev</t>
        </is>
      </c>
      <c r="F319" s="4" t="n">
        <v>12.065</v>
      </c>
      <c r="G319" s="4" t="n">
        <v>0.075</v>
      </c>
      <c r="H319" s="4" t="n">
        <v>0.9</v>
      </c>
      <c r="I319" s="4" t="inlineStr">
        <is>
          <t>no</t>
        </is>
      </c>
      <c r="J319" s="4" t="inlineStr">
        <is>
          <t>Home</t>
        </is>
      </c>
      <c r="K319" s="2">
        <f>IF(A319&lt;&gt;A318,"",IF(I318="no",D318,K318))</f>
        <v/>
      </c>
      <c r="L319" s="2">
        <f>IF(OR(A319&lt;&gt;A318,K319=""),"",IF(I318="no",F319,L318+F319))</f>
        <v/>
      </c>
      <c r="M319" s="2">
        <f>IF(AND(I319="no",K319&lt;&gt;""),D319-K319,"")</f>
        <v/>
      </c>
      <c r="N319" s="19">
        <f>IF(M319="","",L319/M319*100)</f>
        <v/>
      </c>
      <c r="O319" s="2">
        <f>A319&amp;"|"&amp;C319</f>
        <v/>
      </c>
    </row>
    <row r="320">
      <c r="A320" s="4" t="inlineStr">
        <is>
          <t>ev</t>
        </is>
      </c>
      <c r="B320" s="4" t="inlineStr">
        <is>
          <t>alex</t>
        </is>
      </c>
      <c r="C320" s="4" t="inlineStr">
        <is>
          <t>2025-11-30 23:41</t>
        </is>
      </c>
      <c r="D320" s="4" t="n">
        <v>26442.5</v>
      </c>
      <c r="E320" s="4" t="inlineStr">
        <is>
          <t>ev</t>
        </is>
      </c>
      <c r="F320" s="4" t="n">
        <v>16.106</v>
      </c>
      <c r="G320" s="4" t="n">
        <v>0.075</v>
      </c>
      <c r="H320" s="4" t="n">
        <v>1.21</v>
      </c>
      <c r="I320" s="4" t="inlineStr">
        <is>
          <t>no</t>
        </is>
      </c>
      <c r="J320" s="4" t="inlineStr">
        <is>
          <t>Home</t>
        </is>
      </c>
      <c r="K320" s="2">
        <f>IF(A320&lt;&gt;A319,"",IF(I319="no",D319,K319))</f>
        <v/>
      </c>
      <c r="L320" s="2">
        <f>IF(OR(A320&lt;&gt;A319,K320=""),"",IF(I319="no",F320,L319+F320))</f>
        <v/>
      </c>
      <c r="M320" s="2">
        <f>IF(AND(I320="no",K320&lt;&gt;""),D320-K320,"")</f>
        <v/>
      </c>
      <c r="N320" s="19">
        <f>IF(M320="","",L320/M320*100)</f>
        <v/>
      </c>
      <c r="O320" s="2">
        <f>A320&amp;"|"&amp;C320</f>
        <v/>
      </c>
    </row>
    <row r="321">
      <c r="A321" s="4" t="inlineStr">
        <is>
          <t>ev</t>
        </is>
      </c>
      <c r="B321" s="4" t="inlineStr">
        <is>
          <t>alex</t>
        </is>
      </c>
      <c r="C321" s="4" t="inlineStr">
        <is>
          <t>2025-12-02 23:59</t>
        </is>
      </c>
      <c r="D321" s="4" t="n">
        <v>26519</v>
      </c>
      <c r="E321" s="4" t="inlineStr">
        <is>
          <t>ev</t>
        </is>
      </c>
      <c r="F321" s="4" t="n">
        <v>13.1</v>
      </c>
      <c r="G321" s="4" t="n">
        <v>0.075</v>
      </c>
      <c r="H321" s="4" t="n">
        <v>0.98</v>
      </c>
      <c r="I321" s="4" t="inlineStr">
        <is>
          <t>no</t>
        </is>
      </c>
      <c r="J321" s="4" t="inlineStr">
        <is>
          <t>Home</t>
        </is>
      </c>
      <c r="K321" s="2">
        <f>IF(A321&lt;&gt;A320,"",IF(I320="no",D320,K320))</f>
        <v/>
      </c>
      <c r="L321" s="2">
        <f>IF(OR(A321&lt;&gt;A320,K321=""),"",IF(I320="no",F321,L320+F321))</f>
        <v/>
      </c>
      <c r="M321" s="2">
        <f>IF(AND(I321="no",K321&lt;&gt;""),D321-K321,"")</f>
        <v/>
      </c>
      <c r="N321" s="19">
        <f>IF(M321="","",L321/M321*100)</f>
        <v/>
      </c>
      <c r="O321" s="2">
        <f>A321&amp;"|"&amp;C321</f>
        <v/>
      </c>
    </row>
    <row r="322">
      <c r="A322" s="4" t="inlineStr">
        <is>
          <t>ev</t>
        </is>
      </c>
      <c r="B322" s="4" t="inlineStr">
        <is>
          <t>alex</t>
        </is>
      </c>
      <c r="C322" s="4" t="inlineStr">
        <is>
          <t>2025-12-06 23:52</t>
        </is>
      </c>
      <c r="D322" s="4" t="n">
        <v>26644.2</v>
      </c>
      <c r="E322" s="4" t="inlineStr">
        <is>
          <t>ev</t>
        </is>
      </c>
      <c r="F322" s="4" t="n">
        <v>22.564</v>
      </c>
      <c r="G322" s="4" t="n">
        <v>0.075</v>
      </c>
      <c r="H322" s="4" t="n">
        <v>1.69</v>
      </c>
      <c r="I322" s="4" t="inlineStr">
        <is>
          <t>no</t>
        </is>
      </c>
      <c r="J322" s="4" t="inlineStr">
        <is>
          <t>Home</t>
        </is>
      </c>
      <c r="K322" s="2">
        <f>IF(A322&lt;&gt;A321,"",IF(I321="no",D321,K321))</f>
        <v/>
      </c>
      <c r="L322" s="2">
        <f>IF(OR(A322&lt;&gt;A321,K322=""),"",IF(I321="no",F322,L321+F322))</f>
        <v/>
      </c>
      <c r="M322" s="2">
        <f>IF(AND(I322="no",K322&lt;&gt;""),D322-K322,"")</f>
        <v/>
      </c>
      <c r="N322" s="19">
        <f>IF(M322="","",L322/M322*100)</f>
        <v/>
      </c>
      <c r="O322" s="2">
        <f>A322&amp;"|"&amp;C322</f>
        <v/>
      </c>
    </row>
    <row r="323">
      <c r="A323" s="4" t="inlineStr">
        <is>
          <t>ev</t>
        </is>
      </c>
      <c r="B323" s="4" t="inlineStr">
        <is>
          <t>alex</t>
        </is>
      </c>
      <c r="C323" s="4" t="inlineStr">
        <is>
          <t>2025-12-08 23:47</t>
        </is>
      </c>
      <c r="D323" s="4" t="n">
        <v>26692</v>
      </c>
      <c r="E323" s="4" t="inlineStr">
        <is>
          <t>ev</t>
        </is>
      </c>
      <c r="F323" s="4" t="n">
        <v>8.686999999999999</v>
      </c>
      <c r="G323" s="4" t="n">
        <v>0.075</v>
      </c>
      <c r="H323" s="4" t="n">
        <v>0.65</v>
      </c>
      <c r="I323" s="4" t="inlineStr">
        <is>
          <t>no</t>
        </is>
      </c>
      <c r="J323" s="4" t="inlineStr">
        <is>
          <t>Home</t>
        </is>
      </c>
      <c r="K323" s="2">
        <f>IF(A323&lt;&gt;A322,"",IF(I322="no",D322,K322))</f>
        <v/>
      </c>
      <c r="L323" s="2">
        <f>IF(OR(A323&lt;&gt;A322,K323=""),"",IF(I322="no",F323,L322+F323))</f>
        <v/>
      </c>
      <c r="M323" s="2">
        <f>IF(AND(I323="no",K323&lt;&gt;""),D323-K323,"")</f>
        <v/>
      </c>
      <c r="N323" s="19">
        <f>IF(M323="","",L323/M323*100)</f>
        <v/>
      </c>
      <c r="O323" s="2">
        <f>A323&amp;"|"&amp;C323</f>
        <v/>
      </c>
    </row>
    <row r="324">
      <c r="A324" s="4" t="inlineStr">
        <is>
          <t>ev</t>
        </is>
      </c>
      <c r="B324" s="4" t="inlineStr">
        <is>
          <t>alex</t>
        </is>
      </c>
      <c r="C324" s="4" t="inlineStr">
        <is>
          <t>2025-12-11 23:32</t>
        </is>
      </c>
      <c r="D324" s="4" t="n">
        <v>26755.4</v>
      </c>
      <c r="E324" s="4" t="inlineStr">
        <is>
          <t>ev</t>
        </is>
      </c>
      <c r="F324" s="4" t="n">
        <v>10.655</v>
      </c>
      <c r="G324" s="4" t="n">
        <v>0.075</v>
      </c>
      <c r="H324" s="4" t="n">
        <v>0.8</v>
      </c>
      <c r="I324" s="4" t="inlineStr">
        <is>
          <t>no</t>
        </is>
      </c>
      <c r="J324" s="4" t="inlineStr">
        <is>
          <t>Home</t>
        </is>
      </c>
      <c r="K324" s="2">
        <f>IF(A324&lt;&gt;A323,"",IF(I323="no",D323,K323))</f>
        <v/>
      </c>
      <c r="L324" s="2">
        <f>IF(OR(A324&lt;&gt;A323,K324=""),"",IF(I323="no",F324,L323+F324))</f>
        <v/>
      </c>
      <c r="M324" s="2">
        <f>IF(AND(I324="no",K324&lt;&gt;""),D324-K324,"")</f>
        <v/>
      </c>
      <c r="N324" s="19">
        <f>IF(M324="","",L324/M324*100)</f>
        <v/>
      </c>
      <c r="O324" s="2">
        <f>A324&amp;"|"&amp;C324</f>
        <v/>
      </c>
    </row>
    <row r="325">
      <c r="A325" s="4" t="inlineStr">
        <is>
          <t>ev</t>
        </is>
      </c>
      <c r="B325" s="4" t="inlineStr">
        <is>
          <t>alex</t>
        </is>
      </c>
      <c r="C325" s="4" t="inlineStr">
        <is>
          <t>2025-12-14 23:31</t>
        </is>
      </c>
      <c r="D325" s="4" t="n">
        <v>26841.3</v>
      </c>
      <c r="E325" s="4" t="inlineStr">
        <is>
          <t>ev</t>
        </is>
      </c>
      <c r="F325" s="4" t="n">
        <v>15.554</v>
      </c>
      <c r="G325" s="4" t="n">
        <v>0.075</v>
      </c>
      <c r="H325" s="4" t="n">
        <v>1.17</v>
      </c>
      <c r="I325" s="4" t="inlineStr">
        <is>
          <t>no</t>
        </is>
      </c>
      <c r="J325" s="4" t="inlineStr">
        <is>
          <t>Home</t>
        </is>
      </c>
      <c r="K325" s="2">
        <f>IF(A325&lt;&gt;A324,"",IF(I324="no",D324,K324))</f>
        <v/>
      </c>
      <c r="L325" s="2">
        <f>IF(OR(A325&lt;&gt;A324,K325=""),"",IF(I324="no",F325,L324+F325))</f>
        <v/>
      </c>
      <c r="M325" s="2">
        <f>IF(AND(I325="no",K325&lt;&gt;""),D325-K325,"")</f>
        <v/>
      </c>
      <c r="N325" s="19">
        <f>IF(M325="","",L325/M325*100)</f>
        <v/>
      </c>
      <c r="O325" s="2">
        <f>A325&amp;"|"&amp;C325</f>
        <v/>
      </c>
    </row>
    <row r="326">
      <c r="A326" s="4" t="inlineStr">
        <is>
          <t>ev</t>
        </is>
      </c>
      <c r="B326" s="4" t="inlineStr">
        <is>
          <t>alex</t>
        </is>
      </c>
      <c r="C326" s="4" t="inlineStr">
        <is>
          <t>2025-12-18 23:47</t>
        </is>
      </c>
      <c r="D326" s="4" t="n">
        <v>26939.4</v>
      </c>
      <c r="E326" s="4" t="inlineStr">
        <is>
          <t>ev</t>
        </is>
      </c>
      <c r="F326" s="4" t="n">
        <v>17.714</v>
      </c>
      <c r="G326" s="4" t="n">
        <v>0.075</v>
      </c>
      <c r="H326" s="4" t="n">
        <v>1.33</v>
      </c>
      <c r="I326" s="4" t="inlineStr">
        <is>
          <t>no</t>
        </is>
      </c>
      <c r="J326" s="4" t="inlineStr">
        <is>
          <t>Home</t>
        </is>
      </c>
      <c r="K326" s="2">
        <f>IF(A326&lt;&gt;A325,"",IF(I325="no",D325,K325))</f>
        <v/>
      </c>
      <c r="L326" s="2">
        <f>IF(OR(A326&lt;&gt;A325,K326=""),"",IF(I325="no",F326,L325+F326))</f>
        <v/>
      </c>
      <c r="M326" s="2">
        <f>IF(AND(I326="no",K326&lt;&gt;""),D326-K326,"")</f>
        <v/>
      </c>
      <c r="N326" s="19">
        <f>IF(M326="","",L326/M326*100)</f>
        <v/>
      </c>
      <c r="O326" s="2">
        <f>A326&amp;"|"&amp;C326</f>
        <v/>
      </c>
    </row>
    <row r="327">
      <c r="A327" s="4" t="inlineStr">
        <is>
          <t>ev</t>
        </is>
      </c>
      <c r="B327" s="4" t="inlineStr">
        <is>
          <t>alex</t>
        </is>
      </c>
      <c r="C327" s="4" t="inlineStr">
        <is>
          <t>2025-12-21 23:40</t>
        </is>
      </c>
      <c r="D327" s="4" t="n">
        <v>27049</v>
      </c>
      <c r="E327" s="4" t="inlineStr">
        <is>
          <t>ev</t>
        </is>
      </c>
      <c r="F327" s="4" t="n">
        <v>19.465</v>
      </c>
      <c r="G327" s="4" t="n">
        <v>0.075</v>
      </c>
      <c r="H327" s="4" t="n">
        <v>1.46</v>
      </c>
      <c r="I327" s="4" t="inlineStr">
        <is>
          <t>no</t>
        </is>
      </c>
      <c r="J327" s="4" t="inlineStr">
        <is>
          <t>Home</t>
        </is>
      </c>
      <c r="K327" s="2">
        <f>IF(A327&lt;&gt;A326,"",IF(I326="no",D326,K326))</f>
        <v/>
      </c>
      <c r="L327" s="2">
        <f>IF(OR(A327&lt;&gt;A326,K327=""),"",IF(I326="no",F327,L326+F327))</f>
        <v/>
      </c>
      <c r="M327" s="2">
        <f>IF(AND(I327="no",K327&lt;&gt;""),D327-K327,"")</f>
        <v/>
      </c>
      <c r="N327" s="19">
        <f>IF(M327="","",L327/M327*100)</f>
        <v/>
      </c>
      <c r="O327" s="2">
        <f>A327&amp;"|"&amp;C327</f>
        <v/>
      </c>
    </row>
    <row r="328">
      <c r="A328" s="4" t="inlineStr">
        <is>
          <t>ev</t>
        </is>
      </c>
      <c r="B328" s="4" t="inlineStr">
        <is>
          <t>alex</t>
        </is>
      </c>
      <c r="C328" s="4" t="inlineStr">
        <is>
          <t>2025-12-26 23:52</t>
        </is>
      </c>
      <c r="D328" s="4" t="n">
        <v>27172.8</v>
      </c>
      <c r="E328" s="4" t="inlineStr">
        <is>
          <t>ev</t>
        </is>
      </c>
      <c r="F328" s="4" t="n">
        <v>21.244</v>
      </c>
      <c r="G328" s="4" t="n">
        <v>0.075</v>
      </c>
      <c r="H328" s="4" t="n">
        <v>1.59</v>
      </c>
      <c r="I328" s="4" t="inlineStr">
        <is>
          <t>no</t>
        </is>
      </c>
      <c r="J328" s="4" t="inlineStr">
        <is>
          <t>Home</t>
        </is>
      </c>
      <c r="K328" s="2">
        <f>IF(A328&lt;&gt;A327,"",IF(I327="no",D327,K327))</f>
        <v/>
      </c>
      <c r="L328" s="2">
        <f>IF(OR(A328&lt;&gt;A327,K328=""),"",IF(I327="no",F328,L327+F328))</f>
        <v/>
      </c>
      <c r="M328" s="2">
        <f>IF(AND(I328="no",K328&lt;&gt;""),D328-K328,"")</f>
        <v/>
      </c>
      <c r="N328" s="19">
        <f>IF(M328="","",L328/M328*100)</f>
        <v/>
      </c>
      <c r="O328" s="2">
        <f>A328&amp;"|"&amp;C328</f>
        <v/>
      </c>
    </row>
    <row r="329">
      <c r="A329" s="4" t="inlineStr">
        <is>
          <t>ev</t>
        </is>
      </c>
      <c r="B329" s="4" t="inlineStr">
        <is>
          <t>alex</t>
        </is>
      </c>
      <c r="C329" s="4" t="inlineStr">
        <is>
          <t>2025-12-30 23:39</t>
        </is>
      </c>
      <c r="D329" s="4" t="n">
        <v>27303</v>
      </c>
      <c r="E329" s="4" t="inlineStr">
        <is>
          <t>ev</t>
        </is>
      </c>
      <c r="F329" s="4" t="n">
        <v>22.336</v>
      </c>
      <c r="G329" s="4" t="n">
        <v>0.075</v>
      </c>
      <c r="H329" s="4" t="n">
        <v>1.68</v>
      </c>
      <c r="I329" s="4" t="inlineStr">
        <is>
          <t>no</t>
        </is>
      </c>
      <c r="J329" s="4" t="inlineStr">
        <is>
          <t>Home</t>
        </is>
      </c>
      <c r="K329" s="2">
        <f>IF(A329&lt;&gt;A328,"",IF(I328="no",D328,K328))</f>
        <v/>
      </c>
      <c r="L329" s="2">
        <f>IF(OR(A329&lt;&gt;A328,K329=""),"",IF(I328="no",F329,L328+F329))</f>
        <v/>
      </c>
      <c r="M329" s="2">
        <f>IF(AND(I329="no",K329&lt;&gt;""),D329-K329,"")</f>
        <v/>
      </c>
      <c r="N329" s="19">
        <f>IF(M329="","",L329/M329*100)</f>
        <v/>
      </c>
      <c r="O329" s="2">
        <f>A329&amp;"|"&amp;C329</f>
        <v/>
      </c>
    </row>
    <row r="330">
      <c r="A330" s="4" t="inlineStr">
        <is>
          <t>ev</t>
        </is>
      </c>
      <c r="B330" s="4" t="inlineStr">
        <is>
          <t>alex</t>
        </is>
      </c>
      <c r="C330" s="4" t="inlineStr">
        <is>
          <t>2026-01-01 23:48</t>
        </is>
      </c>
      <c r="D330" s="4" t="n">
        <v>27360.2</v>
      </c>
      <c r="E330" s="4" t="inlineStr">
        <is>
          <t>ev</t>
        </is>
      </c>
      <c r="F330" s="4" t="n">
        <v>10.261</v>
      </c>
      <c r="G330" s="4" t="n">
        <v>0.075</v>
      </c>
      <c r="H330" s="4" t="n">
        <v>0.77</v>
      </c>
      <c r="I330" s="4" t="inlineStr">
        <is>
          <t>no</t>
        </is>
      </c>
      <c r="J330" s="4" t="inlineStr">
        <is>
          <t>Home</t>
        </is>
      </c>
      <c r="K330" s="2">
        <f>IF(A330&lt;&gt;A329,"",IF(I329="no",D329,K329))</f>
        <v/>
      </c>
      <c r="L330" s="2">
        <f>IF(OR(A330&lt;&gt;A329,K330=""),"",IF(I329="no",F330,L329+F330))</f>
        <v/>
      </c>
      <c r="M330" s="2">
        <f>IF(AND(I330="no",K330&lt;&gt;""),D330-K330,"")</f>
        <v/>
      </c>
      <c r="N330" s="19">
        <f>IF(M330="","",L330/M330*100)</f>
        <v/>
      </c>
      <c r="O330" s="2">
        <f>A330&amp;"|"&amp;C330</f>
        <v/>
      </c>
    </row>
    <row r="331">
      <c r="A331" s="4" t="inlineStr">
        <is>
          <t>ev</t>
        </is>
      </c>
      <c r="B331" s="4" t="inlineStr">
        <is>
          <t>alex</t>
        </is>
      </c>
      <c r="C331" s="4" t="inlineStr">
        <is>
          <t>2026-01-05 23:58</t>
        </is>
      </c>
      <c r="D331" s="4" t="n">
        <v>27467.9</v>
      </c>
      <c r="E331" s="4" t="inlineStr">
        <is>
          <t>ev</t>
        </is>
      </c>
      <c r="F331" s="4" t="n">
        <v>19.716</v>
      </c>
      <c r="G331" s="4" t="n">
        <v>0.075</v>
      </c>
      <c r="H331" s="4" t="n">
        <v>1.48</v>
      </c>
      <c r="I331" s="4" t="inlineStr">
        <is>
          <t>no</t>
        </is>
      </c>
      <c r="J331" s="4" t="inlineStr">
        <is>
          <t>Home</t>
        </is>
      </c>
      <c r="K331" s="2">
        <f>IF(A331&lt;&gt;A330,"",IF(I330="no",D330,K330))</f>
        <v/>
      </c>
      <c r="L331" s="2">
        <f>IF(OR(A331&lt;&gt;A330,K331=""),"",IF(I330="no",F331,L330+F331))</f>
        <v/>
      </c>
      <c r="M331" s="2">
        <f>IF(AND(I331="no",K331&lt;&gt;""),D331-K331,"")</f>
        <v/>
      </c>
      <c r="N331" s="19">
        <f>IF(M331="","",L331/M331*100)</f>
        <v/>
      </c>
      <c r="O331" s="2">
        <f>A331&amp;"|"&amp;C331</f>
        <v/>
      </c>
    </row>
    <row r="332">
      <c r="A332" s="4" t="inlineStr">
        <is>
          <t>ev</t>
        </is>
      </c>
      <c r="B332" s="4" t="inlineStr">
        <is>
          <t>alex</t>
        </is>
      </c>
      <c r="C332" s="4" t="inlineStr">
        <is>
          <t>2026-01-10 23:37</t>
        </is>
      </c>
      <c r="D332" s="4" t="n">
        <v>27561.1</v>
      </c>
      <c r="E332" s="4" t="inlineStr">
        <is>
          <t>ev</t>
        </is>
      </c>
      <c r="F332" s="4" t="n">
        <v>16.601</v>
      </c>
      <c r="G332" s="4" t="n">
        <v>0.075</v>
      </c>
      <c r="H332" s="4" t="n">
        <v>1.25</v>
      </c>
      <c r="I332" s="4" t="inlineStr">
        <is>
          <t>no</t>
        </is>
      </c>
      <c r="J332" s="4" t="inlineStr">
        <is>
          <t>Home</t>
        </is>
      </c>
      <c r="K332" s="2">
        <f>IF(A332&lt;&gt;A331,"",IF(I331="no",D331,K331))</f>
        <v/>
      </c>
      <c r="L332" s="2">
        <f>IF(OR(A332&lt;&gt;A331,K332=""),"",IF(I331="no",F332,L331+F332))</f>
        <v/>
      </c>
      <c r="M332" s="2">
        <f>IF(AND(I332="no",K332&lt;&gt;""),D332-K332,"")</f>
        <v/>
      </c>
      <c r="N332" s="19">
        <f>IF(M332="","",L332/M332*100)</f>
        <v/>
      </c>
      <c r="O332" s="2">
        <f>A332&amp;"|"&amp;C332</f>
        <v/>
      </c>
    </row>
    <row r="333">
      <c r="A333" s="4" t="inlineStr">
        <is>
          <t>ev</t>
        </is>
      </c>
      <c r="B333" s="4" t="inlineStr">
        <is>
          <t>alex</t>
        </is>
      </c>
      <c r="C333" s="4" t="inlineStr">
        <is>
          <t>2026-01-14 23:39</t>
        </is>
      </c>
      <c r="D333" s="4" t="n">
        <v>27677.4</v>
      </c>
      <c r="E333" s="4" t="inlineStr">
        <is>
          <t>ev</t>
        </is>
      </c>
      <c r="F333" s="4" t="n">
        <v>20.972</v>
      </c>
      <c r="G333" s="4" t="n">
        <v>0.075</v>
      </c>
      <c r="H333" s="4" t="n">
        <v>1.57</v>
      </c>
      <c r="I333" s="4" t="inlineStr">
        <is>
          <t>no</t>
        </is>
      </c>
      <c r="J333" s="4" t="inlineStr">
        <is>
          <t>Home</t>
        </is>
      </c>
      <c r="K333" s="2">
        <f>IF(A333&lt;&gt;A332,"",IF(I332="no",D332,K332))</f>
        <v/>
      </c>
      <c r="L333" s="2">
        <f>IF(OR(A333&lt;&gt;A332,K333=""),"",IF(I332="no",F333,L332+F333))</f>
        <v/>
      </c>
      <c r="M333" s="2">
        <f>IF(AND(I333="no",K333&lt;&gt;""),D333-K333,"")</f>
        <v/>
      </c>
      <c r="N333" s="19">
        <f>IF(M333="","",L333/M333*100)</f>
        <v/>
      </c>
      <c r="O333" s="2">
        <f>A333&amp;"|"&amp;C333</f>
        <v/>
      </c>
    </row>
    <row r="334">
      <c r="A334" s="4" t="inlineStr">
        <is>
          <t>ev</t>
        </is>
      </c>
      <c r="B334" s="4" t="inlineStr">
        <is>
          <t>alex</t>
        </is>
      </c>
      <c r="C334" s="4" t="inlineStr">
        <is>
          <t>2026-01-18 23:56</t>
        </is>
      </c>
      <c r="D334" s="4" t="n">
        <v>27788</v>
      </c>
      <c r="E334" s="4" t="inlineStr">
        <is>
          <t>ev</t>
        </is>
      </c>
      <c r="F334" s="4" t="n">
        <v>18.091</v>
      </c>
      <c r="G334" s="4" t="n">
        <v>0.075</v>
      </c>
      <c r="H334" s="4" t="n">
        <v>1.36</v>
      </c>
      <c r="I334" s="4" t="inlineStr">
        <is>
          <t>no</t>
        </is>
      </c>
      <c r="J334" s="4" t="inlineStr">
        <is>
          <t>Home</t>
        </is>
      </c>
      <c r="K334" s="2">
        <f>IF(A334&lt;&gt;A333,"",IF(I333="no",D333,K333))</f>
        <v/>
      </c>
      <c r="L334" s="2">
        <f>IF(OR(A334&lt;&gt;A333,K334=""),"",IF(I333="no",F334,L333+F334))</f>
        <v/>
      </c>
      <c r="M334" s="2">
        <f>IF(AND(I334="no",K334&lt;&gt;""),D334-K334,"")</f>
        <v/>
      </c>
      <c r="N334" s="19">
        <f>IF(M334="","",L334/M334*100)</f>
        <v/>
      </c>
      <c r="O334" s="2">
        <f>A334&amp;"|"&amp;C334</f>
        <v/>
      </c>
    </row>
    <row r="335">
      <c r="A335" s="4" t="inlineStr">
        <is>
          <t>ev</t>
        </is>
      </c>
      <c r="B335" s="4" t="inlineStr">
        <is>
          <t>alex</t>
        </is>
      </c>
      <c r="C335" s="4" t="inlineStr">
        <is>
          <t>2026-01-21 23:44</t>
        </is>
      </c>
      <c r="D335" s="4" t="n">
        <v>27888.6</v>
      </c>
      <c r="E335" s="4" t="inlineStr">
        <is>
          <t>ev</t>
        </is>
      </c>
      <c r="F335" s="4" t="n">
        <v>18.326</v>
      </c>
      <c r="G335" s="4" t="n">
        <v>0.075</v>
      </c>
      <c r="H335" s="4" t="n">
        <v>1.37</v>
      </c>
      <c r="I335" s="4" t="inlineStr">
        <is>
          <t>no</t>
        </is>
      </c>
      <c r="J335" s="4" t="inlineStr">
        <is>
          <t>Home</t>
        </is>
      </c>
      <c r="K335" s="2">
        <f>IF(A335&lt;&gt;A334,"",IF(I334="no",D334,K334))</f>
        <v/>
      </c>
      <c r="L335" s="2">
        <f>IF(OR(A335&lt;&gt;A334,K335=""),"",IF(I334="no",F335,L334+F335))</f>
        <v/>
      </c>
      <c r="M335" s="2">
        <f>IF(AND(I335="no",K335&lt;&gt;""),D335-K335,"")</f>
        <v/>
      </c>
      <c r="N335" s="19">
        <f>IF(M335="","",L335/M335*100)</f>
        <v/>
      </c>
      <c r="O335" s="2">
        <f>A335&amp;"|"&amp;C335</f>
        <v/>
      </c>
    </row>
    <row r="336">
      <c r="A336" s="4" t="inlineStr">
        <is>
          <t>ev</t>
        </is>
      </c>
      <c r="B336" s="4" t="inlineStr">
        <is>
          <t>alex</t>
        </is>
      </c>
      <c r="C336" s="4" t="inlineStr">
        <is>
          <t>2026-01-25 23:45</t>
        </is>
      </c>
      <c r="D336" s="4" t="n">
        <v>28009.3</v>
      </c>
      <c r="E336" s="4" t="inlineStr">
        <is>
          <t>ev</t>
        </is>
      </c>
      <c r="F336" s="4" t="n">
        <v>22.463</v>
      </c>
      <c r="G336" s="4" t="n">
        <v>0.075</v>
      </c>
      <c r="H336" s="4" t="n">
        <v>1.68</v>
      </c>
      <c r="I336" s="4" t="inlineStr">
        <is>
          <t>no</t>
        </is>
      </c>
      <c r="J336" s="4" t="inlineStr">
        <is>
          <t>Home</t>
        </is>
      </c>
      <c r="K336" s="2">
        <f>IF(A336&lt;&gt;A335,"",IF(I335="no",D335,K335))</f>
        <v/>
      </c>
      <c r="L336" s="2">
        <f>IF(OR(A336&lt;&gt;A335,K336=""),"",IF(I335="no",F336,L335+F336))</f>
        <v/>
      </c>
      <c r="M336" s="2">
        <f>IF(AND(I336="no",K336&lt;&gt;""),D336-K336,"")</f>
        <v/>
      </c>
      <c r="N336" s="19">
        <f>IF(M336="","",L336/M336*100)</f>
        <v/>
      </c>
      <c r="O336" s="2">
        <f>A336&amp;"|"&amp;C336</f>
        <v/>
      </c>
    </row>
    <row r="337">
      <c r="A337" s="4" t="inlineStr">
        <is>
          <t>ev</t>
        </is>
      </c>
      <c r="B337" s="4" t="inlineStr">
        <is>
          <t>alex</t>
        </is>
      </c>
      <c r="C337" s="4" t="inlineStr">
        <is>
          <t>2026-01-28 23:53</t>
        </is>
      </c>
      <c r="D337" s="4" t="n">
        <v>28112.2</v>
      </c>
      <c r="E337" s="4" t="inlineStr">
        <is>
          <t>ev</t>
        </is>
      </c>
      <c r="F337" s="4" t="n">
        <v>16.812</v>
      </c>
      <c r="G337" s="4" t="n">
        <v>0.075</v>
      </c>
      <c r="H337" s="4" t="n">
        <v>1.26</v>
      </c>
      <c r="I337" s="4" t="inlineStr">
        <is>
          <t>no</t>
        </is>
      </c>
      <c r="J337" s="4" t="inlineStr">
        <is>
          <t>Home</t>
        </is>
      </c>
      <c r="K337" s="2">
        <f>IF(A337&lt;&gt;A336,"",IF(I336="no",D336,K336))</f>
        <v/>
      </c>
      <c r="L337" s="2">
        <f>IF(OR(A337&lt;&gt;A336,K337=""),"",IF(I336="no",F337,L336+F337))</f>
        <v/>
      </c>
      <c r="M337" s="2">
        <f>IF(AND(I337="no",K337&lt;&gt;""),D337-K337,"")</f>
        <v/>
      </c>
      <c r="N337" s="19">
        <f>IF(M337="","",L337/M337*100)</f>
        <v/>
      </c>
      <c r="O337" s="2">
        <f>A337&amp;"|"&amp;C337</f>
        <v/>
      </c>
    </row>
    <row r="338">
      <c r="A338" s="4" t="inlineStr">
        <is>
          <t>ev</t>
        </is>
      </c>
      <c r="B338" s="4" t="inlineStr">
        <is>
          <t>alex</t>
        </is>
      </c>
      <c r="C338" s="4" t="inlineStr">
        <is>
          <t>2026-01-31 23:34</t>
        </is>
      </c>
      <c r="D338" s="4" t="n">
        <v>28205.5</v>
      </c>
      <c r="E338" s="4" t="inlineStr">
        <is>
          <t>ev</t>
        </is>
      </c>
      <c r="F338" s="4" t="n">
        <v>16.597</v>
      </c>
      <c r="G338" s="4" t="n">
        <v>0.075</v>
      </c>
      <c r="H338" s="4" t="n">
        <v>1.24</v>
      </c>
      <c r="I338" s="4" t="inlineStr">
        <is>
          <t>no</t>
        </is>
      </c>
      <c r="J338" s="4" t="inlineStr">
        <is>
          <t>Home</t>
        </is>
      </c>
      <c r="K338" s="2">
        <f>IF(A338&lt;&gt;A337,"",IF(I337="no",D337,K337))</f>
        <v/>
      </c>
      <c r="L338" s="2">
        <f>IF(OR(A338&lt;&gt;A337,K338=""),"",IF(I337="no",F338,L337+F338))</f>
        <v/>
      </c>
      <c r="M338" s="2">
        <f>IF(AND(I338="no",K338&lt;&gt;""),D338-K338,"")</f>
        <v/>
      </c>
      <c r="N338" s="19">
        <f>IF(M338="","",L338/M338*100)</f>
        <v/>
      </c>
      <c r="O338" s="2">
        <f>A338&amp;"|"&amp;C338</f>
        <v/>
      </c>
    </row>
    <row r="339">
      <c r="A339" s="4" t="inlineStr">
        <is>
          <t>ev</t>
        </is>
      </c>
      <c r="B339" s="4" t="inlineStr">
        <is>
          <t>alex</t>
        </is>
      </c>
      <c r="C339" s="4" t="inlineStr">
        <is>
          <t>2026-02-03 23:31</t>
        </is>
      </c>
      <c r="D339" s="4" t="n">
        <v>28335.6</v>
      </c>
      <c r="E339" s="4" t="inlineStr">
        <is>
          <t>ev</t>
        </is>
      </c>
      <c r="F339" s="4" t="n">
        <v>22.097</v>
      </c>
      <c r="G339" s="4" t="n">
        <v>0.075</v>
      </c>
      <c r="H339" s="4" t="n">
        <v>1.66</v>
      </c>
      <c r="I339" s="4" t="inlineStr">
        <is>
          <t>no</t>
        </is>
      </c>
      <c r="J339" s="4" t="inlineStr">
        <is>
          <t>Home</t>
        </is>
      </c>
      <c r="K339" s="2">
        <f>IF(A339&lt;&gt;A338,"",IF(I338="no",D338,K338))</f>
        <v/>
      </c>
      <c r="L339" s="2">
        <f>IF(OR(A339&lt;&gt;A338,K339=""),"",IF(I338="no",F339,L338+F339))</f>
        <v/>
      </c>
      <c r="M339" s="2">
        <f>IF(AND(I339="no",K339&lt;&gt;""),D339-K339,"")</f>
        <v/>
      </c>
      <c r="N339" s="19">
        <f>IF(M339="","",L339/M339*100)</f>
        <v/>
      </c>
      <c r="O339" s="2">
        <f>A339&amp;"|"&amp;C339</f>
        <v/>
      </c>
    </row>
    <row r="340">
      <c r="A340" s="4" t="inlineStr">
        <is>
          <t>ev</t>
        </is>
      </c>
      <c r="B340" s="4" t="inlineStr">
        <is>
          <t>alex</t>
        </is>
      </c>
      <c r="C340" s="4" t="inlineStr">
        <is>
          <t>2026-02-06 23:43</t>
        </is>
      </c>
      <c r="D340" s="4" t="n">
        <v>28436.4</v>
      </c>
      <c r="E340" s="4" t="inlineStr">
        <is>
          <t>ev</t>
        </is>
      </c>
      <c r="F340" s="4" t="n">
        <v>17.117</v>
      </c>
      <c r="G340" s="4" t="n">
        <v>0.075</v>
      </c>
      <c r="H340" s="4" t="n">
        <v>1.28</v>
      </c>
      <c r="I340" s="4" t="inlineStr">
        <is>
          <t>no</t>
        </is>
      </c>
      <c r="J340" s="4" t="inlineStr">
        <is>
          <t>Home</t>
        </is>
      </c>
      <c r="K340" s="2">
        <f>IF(A340&lt;&gt;A339,"",IF(I339="no",D339,K339))</f>
        <v/>
      </c>
      <c r="L340" s="2">
        <f>IF(OR(A340&lt;&gt;A339,K340=""),"",IF(I339="no",F340,L339+F340))</f>
        <v/>
      </c>
      <c r="M340" s="2">
        <f>IF(AND(I340="no",K340&lt;&gt;""),D340-K340,"")</f>
        <v/>
      </c>
      <c r="N340" s="19">
        <f>IF(M340="","",L340/M340*100)</f>
        <v/>
      </c>
      <c r="O340" s="2">
        <f>A340&amp;"|"&amp;C340</f>
        <v/>
      </c>
    </row>
    <row r="341">
      <c r="A341" s="4" t="inlineStr">
        <is>
          <t>ev</t>
        </is>
      </c>
      <c r="B341" s="4" t="inlineStr">
        <is>
          <t>alex</t>
        </is>
      </c>
      <c r="C341" s="4" t="inlineStr">
        <is>
          <t>2026-02-09 14:09</t>
        </is>
      </c>
      <c r="D341" s="4" t="n">
        <v>28479.6</v>
      </c>
      <c r="E341" s="4" t="inlineStr">
        <is>
          <t>ev</t>
        </is>
      </c>
      <c r="F341" s="4" t="n">
        <v>9.406000000000001</v>
      </c>
      <c r="G341" s="4" t="n">
        <v>0.52</v>
      </c>
      <c r="H341" s="4" t="n">
        <v>4.89</v>
      </c>
      <c r="I341" s="4" t="inlineStr">
        <is>
          <t>yes</t>
        </is>
      </c>
      <c r="J341" s="4" t="inlineStr">
        <is>
          <t>Leeds Council car park (AC)</t>
        </is>
      </c>
      <c r="K341" s="2">
        <f>IF(A341&lt;&gt;A340,"",IF(I340="no",D340,K340))</f>
        <v/>
      </c>
      <c r="L341" s="2">
        <f>IF(OR(A341&lt;&gt;A340,K341=""),"",IF(I340="no",F341,L340+F341))</f>
        <v/>
      </c>
      <c r="M341" s="2">
        <f>IF(AND(I341="no",K341&lt;&gt;""),D341-K341,"")</f>
        <v/>
      </c>
      <c r="N341" s="19">
        <f>IF(M341="","",L341/M341*100)</f>
        <v/>
      </c>
      <c r="O341" s="2">
        <f>A341&amp;"|"&amp;C341</f>
        <v/>
      </c>
    </row>
    <row r="342">
      <c r="A342" s="4" t="inlineStr">
        <is>
          <t>ev</t>
        </is>
      </c>
      <c r="B342" s="4" t="inlineStr">
        <is>
          <t>alex</t>
        </is>
      </c>
      <c r="C342" s="4" t="inlineStr">
        <is>
          <t>2026-02-11 23:30</t>
        </is>
      </c>
      <c r="D342" s="4" t="n">
        <v>28558.6</v>
      </c>
      <c r="E342" s="4" t="inlineStr">
        <is>
          <t>ev</t>
        </is>
      </c>
      <c r="F342" s="4" t="n">
        <v>12.471</v>
      </c>
      <c r="G342" s="4" t="n">
        <v>0.075</v>
      </c>
      <c r="H342" s="4" t="n">
        <v>0.9399999999999999</v>
      </c>
      <c r="I342" s="4" t="inlineStr">
        <is>
          <t>no</t>
        </is>
      </c>
      <c r="J342" s="4" t="inlineStr">
        <is>
          <t>Home</t>
        </is>
      </c>
      <c r="K342" s="2">
        <f>IF(A342&lt;&gt;A341,"",IF(I341="no",D341,K341))</f>
        <v/>
      </c>
      <c r="L342" s="2">
        <f>IF(OR(A342&lt;&gt;A341,K342=""),"",IF(I341="no",F342,L341+F342))</f>
        <v/>
      </c>
      <c r="M342" s="2">
        <f>IF(AND(I342="no",K342&lt;&gt;""),D342-K342,"")</f>
        <v/>
      </c>
      <c r="N342" s="19">
        <f>IF(M342="","",L342/M342*100)</f>
        <v/>
      </c>
      <c r="O342" s="2">
        <f>A342&amp;"|"&amp;C342</f>
        <v/>
      </c>
    </row>
    <row r="343">
      <c r="A343" s="4" t="inlineStr">
        <is>
          <t>ev</t>
        </is>
      </c>
      <c r="B343" s="4" t="inlineStr">
        <is>
          <t>alex</t>
        </is>
      </c>
      <c r="C343" s="4" t="inlineStr">
        <is>
          <t>2026-02-14 14:44</t>
        </is>
      </c>
      <c r="D343" s="4" t="n">
        <v>28636</v>
      </c>
      <c r="E343" s="4" t="inlineStr">
        <is>
          <t>ev</t>
        </is>
      </c>
      <c r="F343" s="4" t="n">
        <v>20.745</v>
      </c>
      <c r="G343" s="4" t="n">
        <v>0.79</v>
      </c>
      <c r="H343" s="4" t="n">
        <v>16.39</v>
      </c>
      <c r="I343" s="4" t="inlineStr">
        <is>
          <t>yes</t>
        </is>
      </c>
      <c r="J343" s="4" t="inlineStr">
        <is>
          <t>Ionity Woodall (DC)</t>
        </is>
      </c>
      <c r="K343" s="2">
        <f>IF(A343&lt;&gt;A342,"",IF(I342="no",D342,K342))</f>
        <v/>
      </c>
      <c r="L343" s="2">
        <f>IF(OR(A343&lt;&gt;A342,K343=""),"",IF(I342="no",F343,L342+F343))</f>
        <v/>
      </c>
      <c r="M343" s="2">
        <f>IF(AND(I343="no",K343&lt;&gt;""),D343-K343,"")</f>
        <v/>
      </c>
      <c r="N343" s="19">
        <f>IF(M343="","",L343/M343*100)</f>
        <v/>
      </c>
      <c r="O343" s="2">
        <f>A343&amp;"|"&amp;C343</f>
        <v/>
      </c>
    </row>
    <row r="344">
      <c r="A344" s="4" t="inlineStr">
        <is>
          <t>ev</t>
        </is>
      </c>
      <c r="B344" s="4" t="inlineStr">
        <is>
          <t>alex</t>
        </is>
      </c>
      <c r="C344" s="4" t="inlineStr">
        <is>
          <t>2026-02-17 23:49</t>
        </is>
      </c>
      <c r="D344" s="4" t="n">
        <v>28754</v>
      </c>
      <c r="E344" s="4" t="inlineStr">
        <is>
          <t>ev</t>
        </is>
      </c>
      <c r="F344" s="4" t="n">
        <v>19.207</v>
      </c>
      <c r="G344" s="4" t="n">
        <v>0.075</v>
      </c>
      <c r="H344" s="4" t="n">
        <v>1.44</v>
      </c>
      <c r="I344" s="4" t="inlineStr">
        <is>
          <t>no</t>
        </is>
      </c>
      <c r="J344" s="4" t="inlineStr">
        <is>
          <t>Home</t>
        </is>
      </c>
      <c r="K344" s="2">
        <f>IF(A344&lt;&gt;A343,"",IF(I343="no",D343,K343))</f>
        <v/>
      </c>
      <c r="L344" s="2">
        <f>IF(OR(A344&lt;&gt;A343,K344=""),"",IF(I343="no",F344,L343+F344))</f>
        <v/>
      </c>
      <c r="M344" s="2">
        <f>IF(AND(I344="no",K344&lt;&gt;""),D344-K344,"")</f>
        <v/>
      </c>
      <c r="N344" s="19">
        <f>IF(M344="","",L344/M344*100)</f>
        <v/>
      </c>
      <c r="O344" s="2">
        <f>A344&amp;"|"&amp;C344</f>
        <v/>
      </c>
    </row>
    <row r="345">
      <c r="A345" s="4" t="inlineStr">
        <is>
          <t>ev</t>
        </is>
      </c>
      <c r="B345" s="4" t="inlineStr">
        <is>
          <t>alex</t>
        </is>
      </c>
      <c r="C345" s="4" t="inlineStr">
        <is>
          <t>2026-02-19 23:42</t>
        </is>
      </c>
      <c r="D345" s="4" t="n">
        <v>28809.9</v>
      </c>
      <c r="E345" s="4" t="inlineStr">
        <is>
          <t>ev</t>
        </is>
      </c>
      <c r="F345" s="4" t="n">
        <v>9.955</v>
      </c>
      <c r="G345" s="4" t="n">
        <v>0.075</v>
      </c>
      <c r="H345" s="4" t="n">
        <v>0.75</v>
      </c>
      <c r="I345" s="4" t="inlineStr">
        <is>
          <t>no</t>
        </is>
      </c>
      <c r="J345" s="4" t="inlineStr">
        <is>
          <t>Home</t>
        </is>
      </c>
      <c r="K345" s="2">
        <f>IF(A345&lt;&gt;A344,"",IF(I344="no",D344,K344))</f>
        <v/>
      </c>
      <c r="L345" s="2">
        <f>IF(OR(A345&lt;&gt;A344,K345=""),"",IF(I344="no",F345,L344+F345))</f>
        <v/>
      </c>
      <c r="M345" s="2">
        <f>IF(AND(I345="no",K345&lt;&gt;""),D345-K345,"")</f>
        <v/>
      </c>
      <c r="N345" s="19">
        <f>IF(M345="","",L345/M345*100)</f>
        <v/>
      </c>
      <c r="O345" s="2">
        <f>A345&amp;"|"&amp;C345</f>
        <v/>
      </c>
    </row>
    <row r="346">
      <c r="A346" s="4" t="inlineStr">
        <is>
          <t>ev</t>
        </is>
      </c>
      <c r="B346" s="4" t="inlineStr">
        <is>
          <t>alex</t>
        </is>
      </c>
      <c r="C346" s="4" t="inlineStr">
        <is>
          <t>2026-02-23 18:13</t>
        </is>
      </c>
      <c r="D346" s="4" t="n">
        <v>28926.7</v>
      </c>
      <c r="E346" s="4" t="inlineStr">
        <is>
          <t>ev</t>
        </is>
      </c>
      <c r="F346" s="4" t="n">
        <v>20.211</v>
      </c>
      <c r="G346" s="4" t="n">
        <v>0.79</v>
      </c>
      <c r="H346" s="4" t="n">
        <v>15.97</v>
      </c>
      <c r="I346" s="4" t="inlineStr">
        <is>
          <t>yes</t>
        </is>
      </c>
      <c r="J346" s="4" t="inlineStr">
        <is>
          <t>Ionity Woodall (DC)</t>
        </is>
      </c>
      <c r="K346" s="2">
        <f>IF(A346&lt;&gt;A345,"",IF(I345="no",D345,K345))</f>
        <v/>
      </c>
      <c r="L346" s="2">
        <f>IF(OR(A346&lt;&gt;A345,K346=""),"",IF(I345="no",F346,L345+F346))</f>
        <v/>
      </c>
      <c r="M346" s="2">
        <f>IF(AND(I346="no",K346&lt;&gt;""),D346-K346,"")</f>
        <v/>
      </c>
      <c r="N346" s="19">
        <f>IF(M346="","",L346/M346*100)</f>
        <v/>
      </c>
      <c r="O346" s="2">
        <f>A346&amp;"|"&amp;C346</f>
        <v/>
      </c>
    </row>
    <row r="347">
      <c r="A347" s="4" t="inlineStr">
        <is>
          <t>ev</t>
        </is>
      </c>
      <c r="B347" s="4" t="inlineStr">
        <is>
          <t>alex</t>
        </is>
      </c>
      <c r="C347" s="4" t="inlineStr">
        <is>
          <t>2026-02-25 23:40</t>
        </is>
      </c>
      <c r="D347" s="4" t="n">
        <v>29023.8</v>
      </c>
      <c r="E347" s="4" t="inlineStr">
        <is>
          <t>ev</t>
        </is>
      </c>
      <c r="F347" s="4" t="n">
        <v>17.252</v>
      </c>
      <c r="G347" s="4" t="n">
        <v>0.075</v>
      </c>
      <c r="H347" s="4" t="n">
        <v>1.29</v>
      </c>
      <c r="I347" s="4" t="inlineStr">
        <is>
          <t>no</t>
        </is>
      </c>
      <c r="J347" s="4" t="inlineStr">
        <is>
          <t>Home</t>
        </is>
      </c>
      <c r="K347" s="2">
        <f>IF(A347&lt;&gt;A346,"",IF(I346="no",D346,K346))</f>
        <v/>
      </c>
      <c r="L347" s="2">
        <f>IF(OR(A347&lt;&gt;A346,K347=""),"",IF(I346="no",F347,L346+F347))</f>
        <v/>
      </c>
      <c r="M347" s="2">
        <f>IF(AND(I347="no",K347&lt;&gt;""),D347-K347,"")</f>
        <v/>
      </c>
      <c r="N347" s="19">
        <f>IF(M347="","",L347/M347*100)</f>
        <v/>
      </c>
      <c r="O347" s="2">
        <f>A347&amp;"|"&amp;C347</f>
        <v/>
      </c>
    </row>
    <row r="348">
      <c r="A348" s="4" t="inlineStr">
        <is>
          <t>ev</t>
        </is>
      </c>
      <c r="B348" s="4" t="inlineStr">
        <is>
          <t>alex</t>
        </is>
      </c>
      <c r="C348" s="4" t="inlineStr">
        <is>
          <t>2026-02-27 23:57</t>
        </is>
      </c>
      <c r="D348" s="4" t="n">
        <v>29108</v>
      </c>
      <c r="E348" s="4" t="inlineStr">
        <is>
          <t>ev</t>
        </is>
      </c>
      <c r="F348" s="4" t="n">
        <v>14.369</v>
      </c>
      <c r="G348" s="4" t="n">
        <v>0.075</v>
      </c>
      <c r="H348" s="4" t="n">
        <v>1.08</v>
      </c>
      <c r="I348" s="4" t="inlineStr">
        <is>
          <t>no</t>
        </is>
      </c>
      <c r="J348" s="4" t="inlineStr">
        <is>
          <t>Home</t>
        </is>
      </c>
      <c r="K348" s="2">
        <f>IF(A348&lt;&gt;A347,"",IF(I347="no",D347,K347))</f>
        <v/>
      </c>
      <c r="L348" s="2">
        <f>IF(OR(A348&lt;&gt;A347,K348=""),"",IF(I347="no",F348,L347+F348))</f>
        <v/>
      </c>
      <c r="M348" s="2">
        <f>IF(AND(I348="no",K348&lt;&gt;""),D348-K348,"")</f>
        <v/>
      </c>
      <c r="N348" s="19">
        <f>IF(M348="","",L348/M348*100)</f>
        <v/>
      </c>
      <c r="O348" s="2">
        <f>A348&amp;"|"&amp;C348</f>
        <v/>
      </c>
    </row>
    <row r="349">
      <c r="A349" s="4" t="inlineStr">
        <is>
          <t>ev</t>
        </is>
      </c>
      <c r="B349" s="4" t="inlineStr">
        <is>
          <t>alex</t>
        </is>
      </c>
      <c r="C349" s="4" t="inlineStr">
        <is>
          <t>2026-03-03 23:57</t>
        </is>
      </c>
      <c r="D349" s="4" t="n">
        <v>29228.9</v>
      </c>
      <c r="E349" s="4" t="inlineStr">
        <is>
          <t>ev</t>
        </is>
      </c>
      <c r="F349" s="4" t="n">
        <v>20.9</v>
      </c>
      <c r="G349" s="4" t="n">
        <v>0.075</v>
      </c>
      <c r="H349" s="4" t="n">
        <v>1.57</v>
      </c>
      <c r="I349" s="4" t="inlineStr">
        <is>
          <t>no</t>
        </is>
      </c>
      <c r="J349" s="4" t="inlineStr">
        <is>
          <t>Home</t>
        </is>
      </c>
      <c r="K349" s="2">
        <f>IF(A349&lt;&gt;A348,"",IF(I348="no",D348,K348))</f>
        <v/>
      </c>
      <c r="L349" s="2">
        <f>IF(OR(A349&lt;&gt;A348,K349=""),"",IF(I348="no",F349,L348+F349))</f>
        <v/>
      </c>
      <c r="M349" s="2">
        <f>IF(AND(I349="no",K349&lt;&gt;""),D349-K349,"")</f>
        <v/>
      </c>
      <c r="N349" s="19">
        <f>IF(M349="","",L349/M349*100)</f>
        <v/>
      </c>
      <c r="O349" s="2">
        <f>A349&amp;"|"&amp;C349</f>
        <v/>
      </c>
    </row>
    <row r="350">
      <c r="A350" s="4" t="inlineStr">
        <is>
          <t>ev</t>
        </is>
      </c>
      <c r="B350" s="4" t="inlineStr">
        <is>
          <t>alex</t>
        </is>
      </c>
      <c r="C350" s="4" t="inlineStr">
        <is>
          <t>2026-03-05 23:53</t>
        </is>
      </c>
      <c r="D350" s="4" t="n">
        <v>29285.5</v>
      </c>
      <c r="E350" s="4" t="inlineStr">
        <is>
          <t>ev</t>
        </is>
      </c>
      <c r="F350" s="4" t="n">
        <v>9.952999999999999</v>
      </c>
      <c r="G350" s="4" t="n">
        <v>0.075</v>
      </c>
      <c r="H350" s="4" t="n">
        <v>0.75</v>
      </c>
      <c r="I350" s="4" t="inlineStr">
        <is>
          <t>no</t>
        </is>
      </c>
      <c r="J350" s="4" t="inlineStr">
        <is>
          <t>Home</t>
        </is>
      </c>
      <c r="K350" s="2">
        <f>IF(A350&lt;&gt;A349,"",IF(I349="no",D349,K349))</f>
        <v/>
      </c>
      <c r="L350" s="2">
        <f>IF(OR(A350&lt;&gt;A349,K350=""),"",IF(I349="no",F350,L349+F350))</f>
        <v/>
      </c>
      <c r="M350" s="2">
        <f>IF(AND(I350="no",K350&lt;&gt;""),D350-K350,"")</f>
        <v/>
      </c>
      <c r="N350" s="19">
        <f>IF(M350="","",L350/M350*100)</f>
        <v/>
      </c>
      <c r="O350" s="2">
        <f>A350&amp;"|"&amp;C350</f>
        <v/>
      </c>
    </row>
    <row r="351">
      <c r="A351" s="4" t="inlineStr">
        <is>
          <t>ev</t>
        </is>
      </c>
      <c r="B351" s="4" t="inlineStr">
        <is>
          <t>alex</t>
        </is>
      </c>
      <c r="C351" s="4" t="inlineStr">
        <is>
          <t>2026-03-07 14:31</t>
        </is>
      </c>
      <c r="D351" s="4" t="n">
        <v>29331.3</v>
      </c>
      <c r="E351" s="4" t="inlineStr">
        <is>
          <t>ev</t>
        </is>
      </c>
      <c r="F351" s="4" t="n">
        <v>6.904</v>
      </c>
      <c r="G351" s="4" t="n">
        <v>0.52</v>
      </c>
      <c r="H351" s="4" t="n">
        <v>3.59</v>
      </c>
      <c r="I351" s="4" t="inlineStr">
        <is>
          <t>yes</t>
        </is>
      </c>
      <c r="J351" s="4" t="inlineStr">
        <is>
          <t>Leeds Council car park (AC)</t>
        </is>
      </c>
      <c r="K351" s="2">
        <f>IF(A351&lt;&gt;A350,"",IF(I350="no",D350,K350))</f>
        <v/>
      </c>
      <c r="L351" s="2">
        <f>IF(OR(A351&lt;&gt;A350,K351=""),"",IF(I350="no",F351,L350+F351))</f>
        <v/>
      </c>
      <c r="M351" s="2">
        <f>IF(AND(I351="no",K351&lt;&gt;""),D351-K351,"")</f>
        <v/>
      </c>
      <c r="N351" s="19">
        <f>IF(M351="","",L351/M351*100)</f>
        <v/>
      </c>
      <c r="O351" s="2">
        <f>A351&amp;"|"&amp;C351</f>
        <v/>
      </c>
    </row>
    <row r="352">
      <c r="A352" s="4" t="inlineStr">
        <is>
          <t>ev</t>
        </is>
      </c>
      <c r="B352" s="4" t="inlineStr">
        <is>
          <t>alex</t>
        </is>
      </c>
      <c r="C352" s="4" t="inlineStr">
        <is>
          <t>2026-03-09 10:02</t>
        </is>
      </c>
      <c r="D352" s="4" t="n">
        <v>29379.1</v>
      </c>
      <c r="E352" s="4" t="inlineStr">
        <is>
          <t>ev</t>
        </is>
      </c>
      <c r="F352" s="4" t="n">
        <v>6.243</v>
      </c>
      <c r="G352" s="4" t="n">
        <v>0.52</v>
      </c>
      <c r="H352" s="4" t="n">
        <v>3.25</v>
      </c>
      <c r="I352" s="4" t="inlineStr">
        <is>
          <t>yes</t>
        </is>
      </c>
      <c r="J352" s="4" t="inlineStr">
        <is>
          <t>Leeds Council car park (AC)</t>
        </is>
      </c>
      <c r="K352" s="2">
        <f>IF(A352&lt;&gt;A351,"",IF(I351="no",D351,K351))</f>
        <v/>
      </c>
      <c r="L352" s="2">
        <f>IF(OR(A352&lt;&gt;A351,K352=""),"",IF(I351="no",F352,L351+F352))</f>
        <v/>
      </c>
      <c r="M352" s="2">
        <f>IF(AND(I352="no",K352&lt;&gt;""),D352-K352,"")</f>
        <v/>
      </c>
      <c r="N352" s="19">
        <f>IF(M352="","",L352/M352*100)</f>
        <v/>
      </c>
      <c r="O352" s="2">
        <f>A352&amp;"|"&amp;C352</f>
        <v/>
      </c>
    </row>
    <row r="353">
      <c r="A353" s="4" t="inlineStr">
        <is>
          <t>ev</t>
        </is>
      </c>
      <c r="B353" s="4" t="inlineStr">
        <is>
          <t>alex</t>
        </is>
      </c>
      <c r="C353" s="4" t="inlineStr">
        <is>
          <t>2026-03-12 23:47</t>
        </is>
      </c>
      <c r="D353" s="4" t="n">
        <v>29455</v>
      </c>
      <c r="E353" s="4" t="inlineStr">
        <is>
          <t>ev</t>
        </is>
      </c>
      <c r="F353" s="4" t="n">
        <v>16.929</v>
      </c>
      <c r="G353" s="4" t="n">
        <v>0.075</v>
      </c>
      <c r="H353" s="4" t="n">
        <v>1.27</v>
      </c>
      <c r="I353" s="4" t="inlineStr">
        <is>
          <t>no</t>
        </is>
      </c>
      <c r="J353" s="4" t="inlineStr">
        <is>
          <t>Home</t>
        </is>
      </c>
      <c r="K353" s="2">
        <f>IF(A353&lt;&gt;A352,"",IF(I352="no",D352,K352))</f>
        <v/>
      </c>
      <c r="L353" s="2">
        <f>IF(OR(A353&lt;&gt;A352,K353=""),"",IF(I352="no",F353,L352+F353))</f>
        <v/>
      </c>
      <c r="M353" s="2">
        <f>IF(AND(I353="no",K353&lt;&gt;""),D353-K353,"")</f>
        <v/>
      </c>
      <c r="N353" s="19">
        <f>IF(M353="","",L353/M353*100)</f>
        <v/>
      </c>
      <c r="O353" s="2">
        <f>A353&amp;"|"&amp;C353</f>
        <v/>
      </c>
    </row>
    <row r="354">
      <c r="A354" s="4" t="inlineStr">
        <is>
          <t>ev</t>
        </is>
      </c>
      <c r="B354" s="4" t="inlineStr">
        <is>
          <t>alex</t>
        </is>
      </c>
      <c r="C354" s="4" t="inlineStr">
        <is>
          <t>2026-03-15 23:32</t>
        </is>
      </c>
      <c r="D354" s="4" t="n">
        <v>29546</v>
      </c>
      <c r="E354" s="4" t="inlineStr">
        <is>
          <t>ev</t>
        </is>
      </c>
      <c r="F354" s="4" t="n">
        <v>16.227</v>
      </c>
      <c r="G354" s="4" t="n">
        <v>0.075</v>
      </c>
      <c r="H354" s="4" t="n">
        <v>1.22</v>
      </c>
      <c r="I354" s="4" t="inlineStr">
        <is>
          <t>no</t>
        </is>
      </c>
      <c r="J354" s="4" t="inlineStr">
        <is>
          <t>Home</t>
        </is>
      </c>
      <c r="K354" s="2">
        <f>IF(A354&lt;&gt;A353,"",IF(I353="no",D353,K353))</f>
        <v/>
      </c>
      <c r="L354" s="2">
        <f>IF(OR(A354&lt;&gt;A353,K354=""),"",IF(I353="no",F354,L353+F354))</f>
        <v/>
      </c>
      <c r="M354" s="2">
        <f>IF(AND(I354="no",K354&lt;&gt;""),D354-K354,"")</f>
        <v/>
      </c>
      <c r="N354" s="19">
        <f>IF(M354="","",L354/M354*100)</f>
        <v/>
      </c>
      <c r="O354" s="2">
        <f>A354&amp;"|"&amp;C354</f>
        <v/>
      </c>
    </row>
    <row r="355">
      <c r="A355" s="4" t="inlineStr">
        <is>
          <t>ev</t>
        </is>
      </c>
      <c r="B355" s="4" t="inlineStr">
        <is>
          <t>alex</t>
        </is>
      </c>
      <c r="C355" s="4" t="inlineStr">
        <is>
          <t>2026-03-16 23:52</t>
        </is>
      </c>
      <c r="D355" s="4" t="n">
        <v>29592.9</v>
      </c>
      <c r="E355" s="4" t="inlineStr">
        <is>
          <t>ev</t>
        </is>
      </c>
      <c r="F355" s="4" t="n">
        <v>8.617000000000001</v>
      </c>
      <c r="G355" s="4" t="n">
        <v>0.075</v>
      </c>
      <c r="H355" s="4" t="n">
        <v>0.65</v>
      </c>
      <c r="I355" s="4" t="inlineStr">
        <is>
          <t>no</t>
        </is>
      </c>
      <c r="J355" s="4" t="inlineStr">
        <is>
          <t>Home</t>
        </is>
      </c>
      <c r="K355" s="2">
        <f>IF(A355&lt;&gt;A354,"",IF(I354="no",D354,K354))</f>
        <v/>
      </c>
      <c r="L355" s="2">
        <f>IF(OR(A355&lt;&gt;A354,K355=""),"",IF(I354="no",F355,L354+F355))</f>
        <v/>
      </c>
      <c r="M355" s="2">
        <f>IF(AND(I355="no",K355&lt;&gt;""),D355-K355,"")</f>
        <v/>
      </c>
      <c r="N355" s="19">
        <f>IF(M355="","",L355/M355*100)</f>
        <v/>
      </c>
      <c r="O355" s="2">
        <f>A355&amp;"|"&amp;C355</f>
        <v/>
      </c>
    </row>
    <row r="356">
      <c r="A356" s="4" t="inlineStr">
        <is>
          <t>ev</t>
        </is>
      </c>
      <c r="B356" s="4" t="inlineStr">
        <is>
          <t>alex</t>
        </is>
      </c>
      <c r="C356" s="4" t="inlineStr">
        <is>
          <t>2026-03-19 23:33</t>
        </is>
      </c>
      <c r="D356" s="4" t="n">
        <v>29687.4</v>
      </c>
      <c r="E356" s="4" t="inlineStr">
        <is>
          <t>ev</t>
        </is>
      </c>
      <c r="F356" s="4" t="n">
        <v>16.795</v>
      </c>
      <c r="G356" s="4" t="n">
        <v>0.075</v>
      </c>
      <c r="H356" s="4" t="n">
        <v>1.26</v>
      </c>
      <c r="I356" s="4" t="inlineStr">
        <is>
          <t>no</t>
        </is>
      </c>
      <c r="J356" s="4" t="inlineStr">
        <is>
          <t>Home</t>
        </is>
      </c>
      <c r="K356" s="2">
        <f>IF(A356&lt;&gt;A355,"",IF(I355="no",D355,K355))</f>
        <v/>
      </c>
      <c r="L356" s="2">
        <f>IF(OR(A356&lt;&gt;A355,K356=""),"",IF(I355="no",F356,L355+F356))</f>
        <v/>
      </c>
      <c r="M356" s="2">
        <f>IF(AND(I356="no",K356&lt;&gt;""),D356-K356,"")</f>
        <v/>
      </c>
      <c r="N356" s="19">
        <f>IF(M356="","",L356/M356*100)</f>
        <v/>
      </c>
      <c r="O356" s="2">
        <f>A356&amp;"|"&amp;C356</f>
        <v/>
      </c>
    </row>
    <row r="357">
      <c r="A357" s="4" t="inlineStr">
        <is>
          <t>ev</t>
        </is>
      </c>
      <c r="B357" s="4" t="inlineStr">
        <is>
          <t>alex</t>
        </is>
      </c>
      <c r="C357" s="4" t="inlineStr">
        <is>
          <t>2026-03-21 23:47</t>
        </is>
      </c>
      <c r="D357" s="4" t="n">
        <v>29732.1</v>
      </c>
      <c r="E357" s="4" t="inlineStr">
        <is>
          <t>ev</t>
        </is>
      </c>
      <c r="F357" s="4" t="n">
        <v>7.652</v>
      </c>
      <c r="G357" s="4" t="n">
        <v>0.075</v>
      </c>
      <c r="H357" s="4" t="n">
        <v>0.57</v>
      </c>
      <c r="I357" s="4" t="inlineStr">
        <is>
          <t>no</t>
        </is>
      </c>
      <c r="J357" s="4" t="inlineStr">
        <is>
          <t>Home</t>
        </is>
      </c>
      <c r="K357" s="2">
        <f>IF(A357&lt;&gt;A356,"",IF(I356="no",D356,K356))</f>
        <v/>
      </c>
      <c r="L357" s="2">
        <f>IF(OR(A357&lt;&gt;A356,K357=""),"",IF(I356="no",F357,L356+F357))</f>
        <v/>
      </c>
      <c r="M357" s="2">
        <f>IF(AND(I357="no",K357&lt;&gt;""),D357-K357,"")</f>
        <v/>
      </c>
      <c r="N357" s="19">
        <f>IF(M357="","",L357/M357*100)</f>
        <v/>
      </c>
      <c r="O357" s="2">
        <f>A357&amp;"|"&amp;C357</f>
        <v/>
      </c>
    </row>
    <row r="358">
      <c r="A358" s="4" t="inlineStr">
        <is>
          <t>ev</t>
        </is>
      </c>
      <c r="B358" s="4" t="inlineStr">
        <is>
          <t>alex</t>
        </is>
      </c>
      <c r="C358" s="4" t="inlineStr">
        <is>
          <t>2026-03-24 23:37</t>
        </is>
      </c>
      <c r="D358" s="4" t="n">
        <v>29827.4</v>
      </c>
      <c r="E358" s="4" t="inlineStr">
        <is>
          <t>ev</t>
        </is>
      </c>
      <c r="F358" s="4" t="n">
        <v>16.815</v>
      </c>
      <c r="G358" s="4" t="n">
        <v>0.075</v>
      </c>
      <c r="H358" s="4" t="n">
        <v>1.26</v>
      </c>
      <c r="I358" s="4" t="inlineStr">
        <is>
          <t>no</t>
        </is>
      </c>
      <c r="J358" s="4" t="inlineStr">
        <is>
          <t>Home</t>
        </is>
      </c>
      <c r="K358" s="2">
        <f>IF(A358&lt;&gt;A357,"",IF(I357="no",D357,K357))</f>
        <v/>
      </c>
      <c r="L358" s="2">
        <f>IF(OR(A358&lt;&gt;A357,K358=""),"",IF(I357="no",F358,L357+F358))</f>
        <v/>
      </c>
      <c r="M358" s="2">
        <f>IF(AND(I358="no",K358&lt;&gt;""),D358-K358,"")</f>
        <v/>
      </c>
      <c r="N358" s="19">
        <f>IF(M358="","",L358/M358*100)</f>
        <v/>
      </c>
      <c r="O358" s="2">
        <f>A358&amp;"|"&amp;C358</f>
        <v/>
      </c>
    </row>
    <row r="359">
      <c r="A359" s="4" t="inlineStr">
        <is>
          <t>ev</t>
        </is>
      </c>
      <c r="B359" s="4" t="inlineStr">
        <is>
          <t>alex</t>
        </is>
      </c>
      <c r="C359" s="4" t="inlineStr">
        <is>
          <t>2026-03-27 23:36</t>
        </is>
      </c>
      <c r="D359" s="4" t="n">
        <v>29928.7</v>
      </c>
      <c r="E359" s="4" t="inlineStr">
        <is>
          <t>ev</t>
        </is>
      </c>
      <c r="F359" s="4" t="n">
        <v>18.396</v>
      </c>
      <c r="G359" s="4" t="n">
        <v>0.075</v>
      </c>
      <c r="H359" s="4" t="n">
        <v>1.38</v>
      </c>
      <c r="I359" s="4" t="inlineStr">
        <is>
          <t>no</t>
        </is>
      </c>
      <c r="J359" s="4" t="inlineStr">
        <is>
          <t>Home</t>
        </is>
      </c>
      <c r="K359" s="2">
        <f>IF(A359&lt;&gt;A358,"",IF(I358="no",D358,K358))</f>
        <v/>
      </c>
      <c r="L359" s="2">
        <f>IF(OR(A359&lt;&gt;A358,K359=""),"",IF(I358="no",F359,L358+F359))</f>
        <v/>
      </c>
      <c r="M359" s="2">
        <f>IF(AND(I359="no",K359&lt;&gt;""),D359-K359,"")</f>
        <v/>
      </c>
      <c r="N359" s="19">
        <f>IF(M359="","",L359/M359*100)</f>
        <v/>
      </c>
      <c r="O359" s="2">
        <f>A359&amp;"|"&amp;C359</f>
        <v/>
      </c>
    </row>
    <row r="360">
      <c r="A360" s="4" t="inlineStr">
        <is>
          <t>ev</t>
        </is>
      </c>
      <c r="B360" s="4" t="inlineStr">
        <is>
          <t>alex</t>
        </is>
      </c>
      <c r="C360" s="4" t="inlineStr">
        <is>
          <t>2026-03-30 23:47</t>
        </is>
      </c>
      <c r="D360" s="4" t="n">
        <v>30034.4</v>
      </c>
      <c r="E360" s="4" t="inlineStr">
        <is>
          <t>ev</t>
        </is>
      </c>
      <c r="F360" s="4" t="n">
        <v>19.013</v>
      </c>
      <c r="G360" s="4" t="n">
        <v>0.075</v>
      </c>
      <c r="H360" s="4" t="n">
        <v>1.43</v>
      </c>
      <c r="I360" s="4" t="inlineStr">
        <is>
          <t>no</t>
        </is>
      </c>
      <c r="J360" s="4" t="inlineStr">
        <is>
          <t>Home</t>
        </is>
      </c>
      <c r="K360" s="2">
        <f>IF(A360&lt;&gt;A359,"",IF(I359="no",D359,K359))</f>
        <v/>
      </c>
      <c r="L360" s="2">
        <f>IF(OR(A360&lt;&gt;A359,K360=""),"",IF(I359="no",F360,L359+F360))</f>
        <v/>
      </c>
      <c r="M360" s="2">
        <f>IF(AND(I360="no",K360&lt;&gt;""),D360-K360,"")</f>
        <v/>
      </c>
      <c r="N360" s="19">
        <f>IF(M360="","",L360/M360*100)</f>
        <v/>
      </c>
      <c r="O360" s="2">
        <f>A360&amp;"|"&amp;C360</f>
        <v/>
      </c>
    </row>
    <row r="361">
      <c r="A361" s="4" t="inlineStr">
        <is>
          <t>ev</t>
        </is>
      </c>
      <c r="B361" s="4" t="inlineStr">
        <is>
          <t>alex</t>
        </is>
      </c>
      <c r="C361" s="4" t="inlineStr">
        <is>
          <t>2026-04-02 23:39</t>
        </is>
      </c>
      <c r="D361" s="4" t="n">
        <v>30117.5</v>
      </c>
      <c r="E361" s="4" t="inlineStr">
        <is>
          <t>ev</t>
        </is>
      </c>
      <c r="F361" s="4" t="n">
        <v>14.701</v>
      </c>
      <c r="G361" s="4" t="n">
        <v>0.075</v>
      </c>
      <c r="H361" s="4" t="n">
        <v>1.1</v>
      </c>
      <c r="I361" s="4" t="inlineStr">
        <is>
          <t>no</t>
        </is>
      </c>
      <c r="J361" s="4" t="inlineStr">
        <is>
          <t>Home</t>
        </is>
      </c>
      <c r="K361" s="2">
        <f>IF(A361&lt;&gt;A360,"",IF(I360="no",D360,K360))</f>
        <v/>
      </c>
      <c r="L361" s="2">
        <f>IF(OR(A361&lt;&gt;A360,K361=""),"",IF(I360="no",F361,L360+F361))</f>
        <v/>
      </c>
      <c r="M361" s="2">
        <f>IF(AND(I361="no",K361&lt;&gt;""),D361-K361,"")</f>
        <v/>
      </c>
      <c r="N361" s="19">
        <f>IF(M361="","",L361/M361*100)</f>
        <v/>
      </c>
      <c r="O361" s="2">
        <f>A361&amp;"|"&amp;C361</f>
        <v/>
      </c>
    </row>
    <row r="362">
      <c r="A362" s="4" t="inlineStr">
        <is>
          <t>ev</t>
        </is>
      </c>
      <c r="B362" s="4" t="inlineStr">
        <is>
          <t>alex</t>
        </is>
      </c>
      <c r="C362" s="4" t="inlineStr">
        <is>
          <t>2026-04-05 15:11</t>
        </is>
      </c>
      <c r="D362" s="4" t="n">
        <v>30189.6</v>
      </c>
      <c r="E362" s="4" t="inlineStr">
        <is>
          <t>ev</t>
        </is>
      </c>
      <c r="F362" s="4" t="n">
        <v>18.573</v>
      </c>
      <c r="G362" s="4" t="n">
        <v>0.79</v>
      </c>
      <c r="H362" s="4" t="n">
        <v>14.67</v>
      </c>
      <c r="I362" s="4" t="inlineStr">
        <is>
          <t>yes</t>
        </is>
      </c>
      <c r="J362" s="4" t="inlineStr">
        <is>
          <t>Ionity Woodall (DC)</t>
        </is>
      </c>
      <c r="K362" s="2">
        <f>IF(A362&lt;&gt;A361,"",IF(I361="no",D361,K361))</f>
        <v/>
      </c>
      <c r="L362" s="2">
        <f>IF(OR(A362&lt;&gt;A361,K362=""),"",IF(I361="no",F362,L361+F362))</f>
        <v/>
      </c>
      <c r="M362" s="2">
        <f>IF(AND(I362="no",K362&lt;&gt;""),D362-K362,"")</f>
        <v/>
      </c>
      <c r="N362" s="19">
        <f>IF(M362="","",L362/M362*100)</f>
        <v/>
      </c>
      <c r="O362" s="2">
        <f>A362&amp;"|"&amp;C362</f>
        <v/>
      </c>
    </row>
    <row r="363">
      <c r="A363" s="4" t="inlineStr">
        <is>
          <t>ev</t>
        </is>
      </c>
      <c r="B363" s="4" t="inlineStr">
        <is>
          <t>alex</t>
        </is>
      </c>
      <c r="C363" s="4" t="inlineStr">
        <is>
          <t>2026-04-06 23:45</t>
        </is>
      </c>
      <c r="D363" s="4" t="n">
        <v>30241.3</v>
      </c>
      <c r="E363" s="4" t="inlineStr">
        <is>
          <t>ev</t>
        </is>
      </c>
      <c r="F363" s="4" t="n">
        <v>8.355</v>
      </c>
      <c r="G363" s="4" t="n">
        <v>0.075</v>
      </c>
      <c r="H363" s="4" t="n">
        <v>0.63</v>
      </c>
      <c r="I363" s="4" t="inlineStr">
        <is>
          <t>no</t>
        </is>
      </c>
      <c r="J363" s="4" t="inlineStr">
        <is>
          <t>Home</t>
        </is>
      </c>
      <c r="K363" s="2">
        <f>IF(A363&lt;&gt;A362,"",IF(I362="no",D362,K362))</f>
        <v/>
      </c>
      <c r="L363" s="2">
        <f>IF(OR(A363&lt;&gt;A362,K363=""),"",IF(I362="no",F363,L362+F363))</f>
        <v/>
      </c>
      <c r="M363" s="2">
        <f>IF(AND(I363="no",K363&lt;&gt;""),D363-K363,"")</f>
        <v/>
      </c>
      <c r="N363" s="19">
        <f>IF(M363="","",L363/M363*100)</f>
        <v/>
      </c>
      <c r="O363" s="2">
        <f>A363&amp;"|"&amp;C363</f>
        <v/>
      </c>
    </row>
    <row r="364">
      <c r="A364" s="4" t="inlineStr">
        <is>
          <t>ev</t>
        </is>
      </c>
      <c r="B364" s="4" t="inlineStr">
        <is>
          <t>alex</t>
        </is>
      </c>
      <c r="C364" s="4" t="inlineStr">
        <is>
          <t>2026-04-09 23:53</t>
        </is>
      </c>
      <c r="D364" s="4" t="n">
        <v>30343.3</v>
      </c>
      <c r="E364" s="4" t="inlineStr">
        <is>
          <t>ev</t>
        </is>
      </c>
      <c r="F364" s="4" t="n">
        <v>18.476</v>
      </c>
      <c r="G364" s="4" t="n">
        <v>0.075</v>
      </c>
      <c r="H364" s="4" t="n">
        <v>1.39</v>
      </c>
      <c r="I364" s="4" t="inlineStr">
        <is>
          <t>no</t>
        </is>
      </c>
      <c r="J364" s="4" t="inlineStr">
        <is>
          <t>Home</t>
        </is>
      </c>
      <c r="K364" s="2">
        <f>IF(A364&lt;&gt;A363,"",IF(I363="no",D363,K363))</f>
        <v/>
      </c>
      <c r="L364" s="2">
        <f>IF(OR(A364&lt;&gt;A363,K364=""),"",IF(I363="no",F364,L363+F364))</f>
        <v/>
      </c>
      <c r="M364" s="2">
        <f>IF(AND(I364="no",K364&lt;&gt;""),D364-K364,"")</f>
        <v/>
      </c>
      <c r="N364" s="19">
        <f>IF(M364="","",L364/M364*100)</f>
        <v/>
      </c>
      <c r="O364" s="2">
        <f>A364&amp;"|"&amp;C364</f>
        <v/>
      </c>
    </row>
    <row r="365">
      <c r="A365" s="4" t="inlineStr">
        <is>
          <t>ev</t>
        </is>
      </c>
      <c r="B365" s="4" t="inlineStr">
        <is>
          <t>alex</t>
        </is>
      </c>
      <c r="C365" s="4" t="inlineStr">
        <is>
          <t>2026-04-11 23:59</t>
        </is>
      </c>
      <c r="D365" s="4" t="n">
        <v>30425</v>
      </c>
      <c r="E365" s="4" t="inlineStr">
        <is>
          <t>ev</t>
        </is>
      </c>
      <c r="F365" s="4" t="n">
        <v>15.198</v>
      </c>
      <c r="G365" s="4" t="n">
        <v>0.075</v>
      </c>
      <c r="H365" s="4" t="n">
        <v>1.14</v>
      </c>
      <c r="I365" s="4" t="inlineStr">
        <is>
          <t>no</t>
        </is>
      </c>
      <c r="J365" s="4" t="inlineStr">
        <is>
          <t>Home</t>
        </is>
      </c>
      <c r="K365" s="2">
        <f>IF(A365&lt;&gt;A364,"",IF(I364="no",D364,K364))</f>
        <v/>
      </c>
      <c r="L365" s="2">
        <f>IF(OR(A365&lt;&gt;A364,K365=""),"",IF(I364="no",F365,L364+F365))</f>
        <v/>
      </c>
      <c r="M365" s="2">
        <f>IF(AND(I365="no",K365&lt;&gt;""),D365-K365,"")</f>
        <v/>
      </c>
      <c r="N365" s="19">
        <f>IF(M365="","",L365/M365*100)</f>
        <v/>
      </c>
      <c r="O365" s="2">
        <f>A365&amp;"|"&amp;C365</f>
        <v/>
      </c>
    </row>
    <row r="366">
      <c r="A366" s="4" t="inlineStr">
        <is>
          <t>ev</t>
        </is>
      </c>
      <c r="B366" s="4" t="inlineStr">
        <is>
          <t>alex</t>
        </is>
      </c>
      <c r="C366" s="4" t="inlineStr">
        <is>
          <t>2026-04-14 23:46</t>
        </is>
      </c>
      <c r="D366" s="4" t="n">
        <v>30518</v>
      </c>
      <c r="E366" s="4" t="inlineStr">
        <is>
          <t>ev</t>
        </is>
      </c>
      <c r="F366" s="4" t="n">
        <v>15.704</v>
      </c>
      <c r="G366" s="4" t="n">
        <v>0.075</v>
      </c>
      <c r="H366" s="4" t="n">
        <v>1.18</v>
      </c>
      <c r="I366" s="4" t="inlineStr">
        <is>
          <t>no</t>
        </is>
      </c>
      <c r="J366" s="4" t="inlineStr">
        <is>
          <t>Home</t>
        </is>
      </c>
      <c r="K366" s="2">
        <f>IF(A366&lt;&gt;A365,"",IF(I365="no",D365,K365))</f>
        <v/>
      </c>
      <c r="L366" s="2">
        <f>IF(OR(A366&lt;&gt;A365,K366=""),"",IF(I365="no",F366,L365+F366))</f>
        <v/>
      </c>
      <c r="M366" s="2">
        <f>IF(AND(I366="no",K366&lt;&gt;""),D366-K366,"")</f>
        <v/>
      </c>
      <c r="N366" s="19">
        <f>IF(M366="","",L366/M366*100)</f>
        <v/>
      </c>
      <c r="O366" s="2">
        <f>A366&amp;"|"&amp;C366</f>
        <v/>
      </c>
    </row>
    <row r="367">
      <c r="A367" s="4" t="inlineStr">
        <is>
          <t>ev</t>
        </is>
      </c>
      <c r="B367" s="4" t="inlineStr">
        <is>
          <t>alex</t>
        </is>
      </c>
      <c r="C367" s="4" t="inlineStr">
        <is>
          <t>2026-04-16 23:55</t>
        </is>
      </c>
      <c r="D367" s="4" t="n">
        <v>30561.5</v>
      </c>
      <c r="E367" s="4" t="inlineStr">
        <is>
          <t>ev</t>
        </is>
      </c>
      <c r="F367" s="4" t="n">
        <v>7.568</v>
      </c>
      <c r="G367" s="4" t="n">
        <v>0.075</v>
      </c>
      <c r="H367" s="4" t="n">
        <v>0.57</v>
      </c>
      <c r="I367" s="4" t="inlineStr">
        <is>
          <t>no</t>
        </is>
      </c>
      <c r="J367" s="4" t="inlineStr">
        <is>
          <t>Home</t>
        </is>
      </c>
      <c r="K367" s="2">
        <f>IF(A367&lt;&gt;A366,"",IF(I366="no",D366,K366))</f>
        <v/>
      </c>
      <c r="L367" s="2">
        <f>IF(OR(A367&lt;&gt;A366,K367=""),"",IF(I366="no",F367,L366+F367))</f>
        <v/>
      </c>
      <c r="M367" s="2">
        <f>IF(AND(I367="no",K367&lt;&gt;""),D367-K367,"")</f>
        <v/>
      </c>
      <c r="N367" s="19">
        <f>IF(M367="","",L367/M367*100)</f>
        <v/>
      </c>
      <c r="O367" s="2">
        <f>A367&amp;"|"&amp;C367</f>
        <v/>
      </c>
    </row>
    <row r="368">
      <c r="A368" s="4" t="inlineStr">
        <is>
          <t>ev</t>
        </is>
      </c>
      <c r="B368" s="4" t="inlineStr">
        <is>
          <t>alex</t>
        </is>
      </c>
      <c r="C368" s="4" t="inlineStr">
        <is>
          <t>2026-04-19 23:50</t>
        </is>
      </c>
      <c r="D368" s="4" t="n">
        <v>30658.6</v>
      </c>
      <c r="E368" s="4" t="inlineStr">
        <is>
          <t>ev</t>
        </is>
      </c>
      <c r="F368" s="4" t="n">
        <v>16.057</v>
      </c>
      <c r="G368" s="4" t="n">
        <v>0.075</v>
      </c>
      <c r="H368" s="4" t="n">
        <v>1.2</v>
      </c>
      <c r="I368" s="4" t="inlineStr">
        <is>
          <t>no</t>
        </is>
      </c>
      <c r="J368" s="4" t="inlineStr">
        <is>
          <t>Home</t>
        </is>
      </c>
      <c r="K368" s="2">
        <f>IF(A368&lt;&gt;A367,"",IF(I367="no",D367,K367))</f>
        <v/>
      </c>
      <c r="L368" s="2">
        <f>IF(OR(A368&lt;&gt;A367,K368=""),"",IF(I367="no",F368,L367+F368))</f>
        <v/>
      </c>
      <c r="M368" s="2">
        <f>IF(AND(I368="no",K368&lt;&gt;""),D368-K368,"")</f>
        <v/>
      </c>
      <c r="N368" s="19">
        <f>IF(M368="","",L368/M368*100)</f>
        <v/>
      </c>
      <c r="O368" s="2">
        <f>A368&amp;"|"&amp;C368</f>
        <v/>
      </c>
    </row>
    <row r="369">
      <c r="A369" s="4" t="inlineStr">
        <is>
          <t>ev</t>
        </is>
      </c>
      <c r="B369" s="4" t="inlineStr">
        <is>
          <t>alex</t>
        </is>
      </c>
      <c r="C369" s="4" t="inlineStr">
        <is>
          <t>2026-04-23 12:35</t>
        </is>
      </c>
      <c r="D369" s="4" t="n">
        <v>30754.4</v>
      </c>
      <c r="E369" s="4" t="inlineStr">
        <is>
          <t>ev</t>
        </is>
      </c>
      <c r="F369" s="4" t="n">
        <v>7.933</v>
      </c>
      <c r="G369" s="4" t="n">
        <v>0.52</v>
      </c>
      <c r="H369" s="4" t="n">
        <v>4.13</v>
      </c>
      <c r="I369" s="4" t="inlineStr">
        <is>
          <t>yes</t>
        </is>
      </c>
      <c r="J369" s="4" t="inlineStr">
        <is>
          <t>Leeds Council car park (AC)</t>
        </is>
      </c>
      <c r="K369" s="2">
        <f>IF(A369&lt;&gt;A368,"",IF(I368="no",D368,K368))</f>
        <v/>
      </c>
      <c r="L369" s="2">
        <f>IF(OR(A369&lt;&gt;A368,K369=""),"",IF(I368="no",F369,L368+F369))</f>
        <v/>
      </c>
      <c r="M369" s="2">
        <f>IF(AND(I369="no",K369&lt;&gt;""),D369-K369,"")</f>
        <v/>
      </c>
      <c r="N369" s="19">
        <f>IF(M369="","",L369/M369*100)</f>
        <v/>
      </c>
      <c r="O369" s="2">
        <f>A369&amp;"|"&amp;C369</f>
        <v/>
      </c>
    </row>
    <row r="370">
      <c r="A370" s="4" t="inlineStr">
        <is>
          <t>ev</t>
        </is>
      </c>
      <c r="B370" s="4" t="inlineStr">
        <is>
          <t>alex</t>
        </is>
      </c>
      <c r="C370" s="4" t="inlineStr">
        <is>
          <t>2026-04-24 23:39</t>
        </is>
      </c>
      <c r="D370" s="4" t="n">
        <v>30815.6</v>
      </c>
      <c r="E370" s="4" t="inlineStr">
        <is>
          <t>ev</t>
        </is>
      </c>
      <c r="F370" s="4" t="n">
        <v>20.204</v>
      </c>
      <c r="G370" s="4" t="n">
        <v>0.075</v>
      </c>
      <c r="H370" s="4" t="n">
        <v>1.52</v>
      </c>
      <c r="I370" s="4" t="inlineStr">
        <is>
          <t>no</t>
        </is>
      </c>
      <c r="J370" s="4" t="inlineStr">
        <is>
          <t>Home</t>
        </is>
      </c>
      <c r="K370" s="2">
        <f>IF(A370&lt;&gt;A369,"",IF(I369="no",D369,K369))</f>
        <v/>
      </c>
      <c r="L370" s="2">
        <f>IF(OR(A370&lt;&gt;A369,K370=""),"",IF(I369="no",F370,L369+F370))</f>
        <v/>
      </c>
      <c r="M370" s="2">
        <f>IF(AND(I370="no",K370&lt;&gt;""),D370-K370,"")</f>
        <v/>
      </c>
      <c r="N370" s="19">
        <f>IF(M370="","",L370/M370*100)</f>
        <v/>
      </c>
      <c r="O370" s="2">
        <f>A370&amp;"|"&amp;C370</f>
        <v/>
      </c>
    </row>
    <row r="371">
      <c r="A371" s="4" t="inlineStr">
        <is>
          <t>ev</t>
        </is>
      </c>
      <c r="B371" s="4" t="inlineStr">
        <is>
          <t>alex</t>
        </is>
      </c>
      <c r="C371" s="4" t="inlineStr">
        <is>
          <t>2026-04-28 23:56</t>
        </is>
      </c>
      <c r="D371" s="4" t="n">
        <v>30935.5</v>
      </c>
      <c r="E371" s="4" t="inlineStr">
        <is>
          <t>ev</t>
        </is>
      </c>
      <c r="F371" s="4" t="n">
        <v>21.433</v>
      </c>
      <c r="G371" s="4" t="n">
        <v>0.075</v>
      </c>
      <c r="H371" s="4" t="n">
        <v>1.61</v>
      </c>
      <c r="I371" s="4" t="inlineStr">
        <is>
          <t>no</t>
        </is>
      </c>
      <c r="J371" s="4" t="inlineStr">
        <is>
          <t>Home</t>
        </is>
      </c>
      <c r="K371" s="2">
        <f>IF(A371&lt;&gt;A370,"",IF(I370="no",D370,K370))</f>
        <v/>
      </c>
      <c r="L371" s="2">
        <f>IF(OR(A371&lt;&gt;A370,K371=""),"",IF(I370="no",F371,L370+F371))</f>
        <v/>
      </c>
      <c r="M371" s="2">
        <f>IF(AND(I371="no",K371&lt;&gt;""),D371-K371,"")</f>
        <v/>
      </c>
      <c r="N371" s="19">
        <f>IF(M371="","",L371/M371*100)</f>
        <v/>
      </c>
      <c r="O371" s="2">
        <f>A371&amp;"|"&amp;C371</f>
        <v/>
      </c>
    </row>
    <row r="372">
      <c r="A372" s="4" t="inlineStr">
        <is>
          <t>ev</t>
        </is>
      </c>
      <c r="B372" s="4" t="inlineStr">
        <is>
          <t>alex</t>
        </is>
      </c>
      <c r="C372" s="4" t="inlineStr">
        <is>
          <t>2026-05-01 13:37</t>
        </is>
      </c>
      <c r="D372" s="4" t="n">
        <v>30984.9</v>
      </c>
      <c r="E372" s="4" t="inlineStr">
        <is>
          <t>ev</t>
        </is>
      </c>
      <c r="F372" s="4" t="n">
        <v>6.58</v>
      </c>
      <c r="G372" s="4" t="n">
        <v>0.52</v>
      </c>
      <c r="H372" s="4" t="n">
        <v>3.42</v>
      </c>
      <c r="I372" s="4" t="inlineStr">
        <is>
          <t>yes</t>
        </is>
      </c>
      <c r="J372" s="4" t="inlineStr">
        <is>
          <t>Leeds Council car park (AC)</t>
        </is>
      </c>
      <c r="K372" s="2">
        <f>IF(A372&lt;&gt;A371,"",IF(I371="no",D371,K371))</f>
        <v/>
      </c>
      <c r="L372" s="2">
        <f>IF(OR(A372&lt;&gt;A371,K372=""),"",IF(I371="no",F372,L371+F372))</f>
        <v/>
      </c>
      <c r="M372" s="2">
        <f>IF(AND(I372="no",K372&lt;&gt;""),D372-K372,"")</f>
        <v/>
      </c>
      <c r="N372" s="19">
        <f>IF(M372="","",L372/M372*100)</f>
        <v/>
      </c>
      <c r="O372" s="2">
        <f>A372&amp;"|"&amp;C372</f>
        <v/>
      </c>
    </row>
    <row r="373">
      <c r="A373" s="4" t="inlineStr">
        <is>
          <t>ev</t>
        </is>
      </c>
      <c r="B373" s="4" t="inlineStr">
        <is>
          <t>alex</t>
        </is>
      </c>
      <c r="C373" s="4" t="inlineStr">
        <is>
          <t>2026-05-02 23:43</t>
        </is>
      </c>
      <c r="D373" s="4" t="n">
        <v>31028.8</v>
      </c>
      <c r="E373" s="4" t="inlineStr">
        <is>
          <t>ev</t>
        </is>
      </c>
      <c r="F373" s="4" t="n">
        <v>10.396</v>
      </c>
      <c r="G373" s="4" t="n">
        <v>0.075</v>
      </c>
      <c r="H373" s="4" t="n">
        <v>0.78</v>
      </c>
      <c r="I373" s="4" t="inlineStr">
        <is>
          <t>no</t>
        </is>
      </c>
      <c r="J373" s="4" t="inlineStr">
        <is>
          <t>Home</t>
        </is>
      </c>
      <c r="K373" s="2">
        <f>IF(A373&lt;&gt;A372,"",IF(I372="no",D372,K372))</f>
        <v/>
      </c>
      <c r="L373" s="2">
        <f>IF(OR(A373&lt;&gt;A372,K373=""),"",IF(I372="no",F373,L372+F373))</f>
        <v/>
      </c>
      <c r="M373" s="2">
        <f>IF(AND(I373="no",K373&lt;&gt;""),D373-K373,"")</f>
        <v/>
      </c>
      <c r="N373" s="19">
        <f>IF(M373="","",L373/M373*100)</f>
        <v/>
      </c>
      <c r="O373" s="2">
        <f>A373&amp;"|"&amp;C373</f>
        <v/>
      </c>
    </row>
    <row r="374">
      <c r="A374" s="4" t="inlineStr">
        <is>
          <t>ev</t>
        </is>
      </c>
      <c r="B374" s="4" t="inlineStr">
        <is>
          <t>alex</t>
        </is>
      </c>
      <c r="C374" s="4" t="inlineStr">
        <is>
          <t>2026-05-05 15:17</t>
        </is>
      </c>
      <c r="D374" s="4" t="n">
        <v>31090.9</v>
      </c>
      <c r="E374" s="4" t="inlineStr">
        <is>
          <t>ev</t>
        </is>
      </c>
      <c r="F374" s="4" t="n">
        <v>22.015</v>
      </c>
      <c r="G374" s="4" t="n">
        <v>0.79</v>
      </c>
      <c r="H374" s="4" t="n">
        <v>17.39</v>
      </c>
      <c r="I374" s="4" t="inlineStr">
        <is>
          <t>yes</t>
        </is>
      </c>
      <c r="J374" s="4" t="inlineStr">
        <is>
          <t>Ionity Woodall (DC)</t>
        </is>
      </c>
      <c r="K374" s="2">
        <f>IF(A374&lt;&gt;A373,"",IF(I373="no",D373,K373))</f>
        <v/>
      </c>
      <c r="L374" s="2">
        <f>IF(OR(A374&lt;&gt;A373,K374=""),"",IF(I373="no",F374,L373+F374))</f>
        <v/>
      </c>
      <c r="M374" s="2">
        <f>IF(AND(I374="no",K374&lt;&gt;""),D374-K374,"")</f>
        <v/>
      </c>
      <c r="N374" s="19">
        <f>IF(M374="","",L374/M374*100)</f>
        <v/>
      </c>
      <c r="O374" s="2">
        <f>A374&amp;"|"&amp;C374</f>
        <v/>
      </c>
    </row>
    <row r="375">
      <c r="A375" s="4" t="inlineStr">
        <is>
          <t>ev</t>
        </is>
      </c>
      <c r="B375" s="4" t="inlineStr">
        <is>
          <t>alex</t>
        </is>
      </c>
      <c r="C375" s="4" t="inlineStr">
        <is>
          <t>2026-05-08 23:48</t>
        </is>
      </c>
      <c r="D375" s="4" t="n">
        <v>31197</v>
      </c>
      <c r="E375" s="4" t="inlineStr">
        <is>
          <t>ev</t>
        </is>
      </c>
      <c r="F375" s="4" t="n">
        <v>16.437</v>
      </c>
      <c r="G375" s="4" t="n">
        <v>0.075</v>
      </c>
      <c r="H375" s="4" t="n">
        <v>1.23</v>
      </c>
      <c r="I375" s="4" t="inlineStr">
        <is>
          <t>no</t>
        </is>
      </c>
      <c r="J375" s="4" t="inlineStr">
        <is>
          <t>Home</t>
        </is>
      </c>
      <c r="K375" s="2">
        <f>IF(A375&lt;&gt;A374,"",IF(I374="no",D374,K374))</f>
        <v/>
      </c>
      <c r="L375" s="2">
        <f>IF(OR(A375&lt;&gt;A374,K375=""),"",IF(I374="no",F375,L374+F375))</f>
        <v/>
      </c>
      <c r="M375" s="2">
        <f>IF(AND(I375="no",K375&lt;&gt;""),D375-K375,"")</f>
        <v/>
      </c>
      <c r="N375" s="19">
        <f>IF(M375="","",L375/M375*100)</f>
        <v/>
      </c>
      <c r="O375" s="2">
        <f>A375&amp;"|"&amp;C375</f>
        <v/>
      </c>
    </row>
    <row r="376">
      <c r="A376" s="4" t="inlineStr">
        <is>
          <t>ev</t>
        </is>
      </c>
      <c r="B376" s="4" t="inlineStr">
        <is>
          <t>alex</t>
        </is>
      </c>
      <c r="C376" s="4" t="inlineStr">
        <is>
          <t>2026-05-10 23:50</t>
        </is>
      </c>
      <c r="D376" s="4" t="n">
        <v>31255.3</v>
      </c>
      <c r="E376" s="4" t="inlineStr">
        <is>
          <t>ev</t>
        </is>
      </c>
      <c r="F376" s="4" t="n">
        <v>10.465</v>
      </c>
      <c r="G376" s="4" t="n">
        <v>0.075</v>
      </c>
      <c r="H376" s="4" t="n">
        <v>0.78</v>
      </c>
      <c r="I376" s="4" t="inlineStr">
        <is>
          <t>no</t>
        </is>
      </c>
      <c r="J376" s="4" t="inlineStr">
        <is>
          <t>Home</t>
        </is>
      </c>
      <c r="K376" s="2">
        <f>IF(A376&lt;&gt;A375,"",IF(I375="no",D375,K375))</f>
        <v/>
      </c>
      <c r="L376" s="2">
        <f>IF(OR(A376&lt;&gt;A375,K376=""),"",IF(I375="no",F376,L375+F376))</f>
        <v/>
      </c>
      <c r="M376" s="2">
        <f>IF(AND(I376="no",K376&lt;&gt;""),D376-K376,"")</f>
        <v/>
      </c>
      <c r="N376" s="19">
        <f>IF(M376="","",L376/M376*100)</f>
        <v/>
      </c>
      <c r="O376" s="2">
        <f>A376&amp;"|"&amp;C376</f>
        <v/>
      </c>
    </row>
    <row r="377">
      <c r="A377" s="4" t="inlineStr">
        <is>
          <t>ev</t>
        </is>
      </c>
      <c r="B377" s="4" t="inlineStr">
        <is>
          <t>alex</t>
        </is>
      </c>
      <c r="C377" s="4" t="inlineStr">
        <is>
          <t>2026-05-15 23:50</t>
        </is>
      </c>
      <c r="D377" s="4" t="n">
        <v>31363.1</v>
      </c>
      <c r="E377" s="4" t="inlineStr">
        <is>
          <t>ev</t>
        </is>
      </c>
      <c r="F377" s="4" t="n">
        <v>18.811</v>
      </c>
      <c r="G377" s="4" t="n">
        <v>0.075</v>
      </c>
      <c r="H377" s="4" t="n">
        <v>1.41</v>
      </c>
      <c r="I377" s="4" t="inlineStr">
        <is>
          <t>no</t>
        </is>
      </c>
      <c r="J377" s="4" t="inlineStr">
        <is>
          <t>Home</t>
        </is>
      </c>
      <c r="K377" s="2">
        <f>IF(A377&lt;&gt;A376,"",IF(I376="no",D376,K376))</f>
        <v/>
      </c>
      <c r="L377" s="2">
        <f>IF(OR(A377&lt;&gt;A376,K377=""),"",IF(I376="no",F377,L376+F377))</f>
        <v/>
      </c>
      <c r="M377" s="2">
        <f>IF(AND(I377="no",K377&lt;&gt;""),D377-K377,"")</f>
        <v/>
      </c>
      <c r="N377" s="19">
        <f>IF(M377="","",L377/M377*100)</f>
        <v/>
      </c>
      <c r="O377" s="2">
        <f>A377&amp;"|"&amp;C377</f>
        <v/>
      </c>
    </row>
    <row r="378">
      <c r="A378" s="4" t="inlineStr">
        <is>
          <t>ev</t>
        </is>
      </c>
      <c r="B378" s="4" t="inlineStr">
        <is>
          <t>alex</t>
        </is>
      </c>
      <c r="C378" s="4" t="inlineStr">
        <is>
          <t>2026-05-18 23:51</t>
        </is>
      </c>
      <c r="D378" s="4" t="n">
        <v>31434.2</v>
      </c>
      <c r="E378" s="4" t="inlineStr">
        <is>
          <t>ev</t>
        </is>
      </c>
      <c r="F378" s="4" t="n">
        <v>12.115</v>
      </c>
      <c r="G378" s="4" t="n">
        <v>0.075</v>
      </c>
      <c r="H378" s="4" t="n">
        <v>0.91</v>
      </c>
      <c r="I378" s="4" t="inlineStr">
        <is>
          <t>no</t>
        </is>
      </c>
      <c r="J378" s="4" t="inlineStr">
        <is>
          <t>Home</t>
        </is>
      </c>
      <c r="K378" s="2">
        <f>IF(A378&lt;&gt;A377,"",IF(I377="no",D377,K377))</f>
        <v/>
      </c>
      <c r="L378" s="2">
        <f>IF(OR(A378&lt;&gt;A377,K378=""),"",IF(I377="no",F378,L377+F378))</f>
        <v/>
      </c>
      <c r="M378" s="2">
        <f>IF(AND(I378="no",K378&lt;&gt;""),D378-K378,"")</f>
        <v/>
      </c>
      <c r="N378" s="19">
        <f>IF(M378="","",L378/M378*100)</f>
        <v/>
      </c>
      <c r="O378" s="2">
        <f>A378&amp;"|"&amp;C378</f>
        <v/>
      </c>
    </row>
    <row r="379">
      <c r="A379" s="4" t="inlineStr">
        <is>
          <t>ev</t>
        </is>
      </c>
      <c r="B379" s="4" t="inlineStr">
        <is>
          <t>alex</t>
        </is>
      </c>
      <c r="C379" s="4" t="inlineStr">
        <is>
          <t>2026-05-21 23:51</t>
        </is>
      </c>
      <c r="D379" s="4" t="n">
        <v>31518</v>
      </c>
      <c r="E379" s="4" t="inlineStr">
        <is>
          <t>ev</t>
        </is>
      </c>
      <c r="F379" s="4" t="n">
        <v>15.193</v>
      </c>
      <c r="G379" s="4" t="n">
        <v>0.075</v>
      </c>
      <c r="H379" s="4" t="n">
        <v>1.14</v>
      </c>
      <c r="I379" s="4" t="inlineStr">
        <is>
          <t>no</t>
        </is>
      </c>
      <c r="J379" s="4" t="inlineStr">
        <is>
          <t>Home</t>
        </is>
      </c>
      <c r="K379" s="2">
        <f>IF(A379&lt;&gt;A378,"",IF(I378="no",D378,K378))</f>
        <v/>
      </c>
      <c r="L379" s="2">
        <f>IF(OR(A379&lt;&gt;A378,K379=""),"",IF(I378="no",F379,L378+F379))</f>
        <v/>
      </c>
      <c r="M379" s="2">
        <f>IF(AND(I379="no",K379&lt;&gt;""),D379-K379,"")</f>
        <v/>
      </c>
      <c r="N379" s="19">
        <f>IF(M379="","",L379/M379*100)</f>
        <v/>
      </c>
      <c r="O379" s="2">
        <f>A379&amp;"|"&amp;C379</f>
        <v/>
      </c>
    </row>
    <row r="380">
      <c r="A380" s="4" t="inlineStr">
        <is>
          <t>ev</t>
        </is>
      </c>
      <c r="B380" s="4" t="inlineStr">
        <is>
          <t>alex</t>
        </is>
      </c>
      <c r="C380" s="4" t="inlineStr">
        <is>
          <t>2026-05-23 15:27</t>
        </is>
      </c>
      <c r="D380" s="4" t="n">
        <v>31578.3</v>
      </c>
      <c r="E380" s="4" t="inlineStr">
        <is>
          <t>ev</t>
        </is>
      </c>
      <c r="F380" s="4" t="n">
        <v>33.05</v>
      </c>
      <c r="G380" s="4" t="n">
        <v>0.79</v>
      </c>
      <c r="H380" s="4" t="n">
        <v>26.11</v>
      </c>
      <c r="I380" s="4" t="inlineStr">
        <is>
          <t>yes</t>
        </is>
      </c>
      <c r="J380" s="4" t="inlineStr">
        <is>
          <t>Ionity Woodall (DC)</t>
        </is>
      </c>
      <c r="K380" s="2">
        <f>IF(A380&lt;&gt;A379,"",IF(I379="no",D379,K379))</f>
        <v/>
      </c>
      <c r="L380" s="2">
        <f>IF(OR(A380&lt;&gt;A379,K380=""),"",IF(I379="no",F380,L379+F380))</f>
        <v/>
      </c>
      <c r="M380" s="2">
        <f>IF(AND(I380="no",K380&lt;&gt;""),D380-K380,"")</f>
        <v/>
      </c>
      <c r="N380" s="19">
        <f>IF(M380="","",L380/M380*100)</f>
        <v/>
      </c>
      <c r="O380" s="2">
        <f>A380&amp;"|"&amp;C380</f>
        <v/>
      </c>
    </row>
    <row r="381">
      <c r="A381" s="4" t="inlineStr">
        <is>
          <t>ev</t>
        </is>
      </c>
      <c r="B381" s="4" t="inlineStr">
        <is>
          <t>alex</t>
        </is>
      </c>
      <c r="C381" s="4" t="inlineStr">
        <is>
          <t>2026-05-26 23:39</t>
        </is>
      </c>
      <c r="D381" s="4" t="n">
        <v>31713.6</v>
      </c>
      <c r="E381" s="4" t="inlineStr">
        <is>
          <t>ev</t>
        </is>
      </c>
      <c r="F381" s="4" t="n">
        <v>20.194</v>
      </c>
      <c r="G381" s="4" t="n">
        <v>0.075</v>
      </c>
      <c r="H381" s="4" t="n">
        <v>1.51</v>
      </c>
      <c r="I381" s="4" t="inlineStr">
        <is>
          <t>no</t>
        </is>
      </c>
      <c r="J381" s="4" t="inlineStr">
        <is>
          <t>Home</t>
        </is>
      </c>
      <c r="K381" s="2">
        <f>IF(A381&lt;&gt;A380,"",IF(I380="no",D380,K380))</f>
        <v/>
      </c>
      <c r="L381" s="2">
        <f>IF(OR(A381&lt;&gt;A380,K381=""),"",IF(I380="no",F381,L380+F381))</f>
        <v/>
      </c>
      <c r="M381" s="2">
        <f>IF(AND(I381="no",K381&lt;&gt;""),D381-K381,"")</f>
        <v/>
      </c>
      <c r="N381" s="19">
        <f>IF(M381="","",L381/M381*100)</f>
        <v/>
      </c>
      <c r="O381" s="2">
        <f>A381&amp;"|"&amp;C381</f>
        <v/>
      </c>
    </row>
    <row r="382">
      <c r="A382" s="4" t="inlineStr">
        <is>
          <t>ev</t>
        </is>
      </c>
      <c r="B382" s="4" t="inlineStr">
        <is>
          <t>alex</t>
        </is>
      </c>
      <c r="C382" s="4" t="inlineStr">
        <is>
          <t>2026-05-29 15:59</t>
        </is>
      </c>
      <c r="D382" s="4" t="n">
        <v>31775</v>
      </c>
      <c r="E382" s="4" t="inlineStr">
        <is>
          <t>ev</t>
        </is>
      </c>
      <c r="F382" s="4" t="n">
        <v>18.97</v>
      </c>
      <c r="G382" s="4" t="n">
        <v>0.79</v>
      </c>
      <c r="H382" s="4" t="n">
        <v>14.99</v>
      </c>
      <c r="I382" s="4" t="inlineStr">
        <is>
          <t>yes</t>
        </is>
      </c>
      <c r="J382" s="4" t="inlineStr">
        <is>
          <t>Ionity Woodall (DC)</t>
        </is>
      </c>
      <c r="K382" s="2">
        <f>IF(A382&lt;&gt;A381,"",IF(I381="no",D381,K381))</f>
        <v/>
      </c>
      <c r="L382" s="2">
        <f>IF(OR(A382&lt;&gt;A381,K382=""),"",IF(I381="no",F382,L381+F382))</f>
        <v/>
      </c>
      <c r="M382" s="2">
        <f>IF(AND(I382="no",K382&lt;&gt;""),D382-K382,"")</f>
        <v/>
      </c>
      <c r="N382" s="19">
        <f>IF(M382="","",L382/M382*100)</f>
        <v/>
      </c>
      <c r="O382" s="2">
        <f>A382&amp;"|"&amp;C382</f>
        <v/>
      </c>
    </row>
    <row r="383">
      <c r="A383" s="4" t="inlineStr">
        <is>
          <t>ev</t>
        </is>
      </c>
      <c r="B383" s="4" t="inlineStr">
        <is>
          <t>alex</t>
        </is>
      </c>
      <c r="C383" s="4" t="inlineStr">
        <is>
          <t>2026-05-31 23:47</t>
        </is>
      </c>
      <c r="D383" s="4" t="n">
        <v>31853</v>
      </c>
      <c r="E383" s="4" t="inlineStr">
        <is>
          <t>ev</t>
        </is>
      </c>
      <c r="F383" s="4" t="n">
        <v>11.887</v>
      </c>
      <c r="G383" s="4" t="n">
        <v>0.075</v>
      </c>
      <c r="H383" s="4" t="n">
        <v>0.89</v>
      </c>
      <c r="I383" s="4" t="inlineStr">
        <is>
          <t>no</t>
        </is>
      </c>
      <c r="J383" s="4" t="inlineStr">
        <is>
          <t>Home</t>
        </is>
      </c>
      <c r="K383" s="2">
        <f>IF(A383&lt;&gt;A382,"",IF(I382="no",D382,K382))</f>
        <v/>
      </c>
      <c r="L383" s="2">
        <f>IF(OR(A383&lt;&gt;A382,K383=""),"",IF(I382="no",F383,L382+F383))</f>
        <v/>
      </c>
      <c r="M383" s="2">
        <f>IF(AND(I383="no",K383&lt;&gt;""),D383-K383,"")</f>
        <v/>
      </c>
      <c r="N383" s="19">
        <f>IF(M383="","",L383/M383*100)</f>
        <v/>
      </c>
      <c r="O383" s="2">
        <f>A383&amp;"|"&amp;C383</f>
        <v/>
      </c>
    </row>
    <row r="384">
      <c r="A384" s="4" t="inlineStr">
        <is>
          <t>ev</t>
        </is>
      </c>
      <c r="B384" s="4" t="inlineStr">
        <is>
          <t>alex</t>
        </is>
      </c>
      <c r="C384" s="4" t="inlineStr">
        <is>
          <t>2026-06-04 23:40</t>
        </is>
      </c>
      <c r="D384" s="4" t="n">
        <v>31944.4</v>
      </c>
      <c r="E384" s="4" t="inlineStr">
        <is>
          <t>ev</t>
        </is>
      </c>
      <c r="F384" s="4" t="n">
        <v>15.949</v>
      </c>
      <c r="G384" s="4" t="n">
        <v>0.075</v>
      </c>
      <c r="H384" s="4" t="n">
        <v>1.2</v>
      </c>
      <c r="I384" s="4" t="inlineStr">
        <is>
          <t>no</t>
        </is>
      </c>
      <c r="J384" s="4" t="inlineStr">
        <is>
          <t>Home</t>
        </is>
      </c>
      <c r="K384" s="2">
        <f>IF(A384&lt;&gt;A383,"",IF(I383="no",D383,K383))</f>
        <v/>
      </c>
      <c r="L384" s="2">
        <f>IF(OR(A384&lt;&gt;A383,K384=""),"",IF(I383="no",F384,L383+F384))</f>
        <v/>
      </c>
      <c r="M384" s="2">
        <f>IF(AND(I384="no",K384&lt;&gt;""),D384-K384,"")</f>
        <v/>
      </c>
      <c r="N384" s="19">
        <f>IF(M384="","",L384/M384*100)</f>
        <v/>
      </c>
      <c r="O384" s="2">
        <f>A384&amp;"|"&amp;C384</f>
        <v/>
      </c>
    </row>
    <row r="385">
      <c r="A385" s="4" t="inlineStr">
        <is>
          <t>ev</t>
        </is>
      </c>
      <c r="B385" s="4" t="inlineStr">
        <is>
          <t>alex</t>
        </is>
      </c>
      <c r="C385" s="4" t="inlineStr">
        <is>
          <t>2026-06-08 23:36</t>
        </is>
      </c>
      <c r="D385" s="4" t="n">
        <v>32030.9</v>
      </c>
      <c r="E385" s="4" t="inlineStr">
        <is>
          <t>ev</t>
        </is>
      </c>
      <c r="F385" s="4" t="n">
        <v>15.171</v>
      </c>
      <c r="G385" s="4" t="n">
        <v>0.075</v>
      </c>
      <c r="H385" s="4" t="n">
        <v>1.14</v>
      </c>
      <c r="I385" s="4" t="inlineStr">
        <is>
          <t>no</t>
        </is>
      </c>
      <c r="J385" s="4" t="inlineStr">
        <is>
          <t>Home</t>
        </is>
      </c>
      <c r="K385" s="2">
        <f>IF(A385&lt;&gt;A384,"",IF(I384="no",D384,K384))</f>
        <v/>
      </c>
      <c r="L385" s="2">
        <f>IF(OR(A385&lt;&gt;A384,K385=""),"",IF(I384="no",F385,L384+F385))</f>
        <v/>
      </c>
      <c r="M385" s="2">
        <f>IF(AND(I385="no",K385&lt;&gt;""),D385-K385,"")</f>
        <v/>
      </c>
      <c r="N385" s="19">
        <f>IF(M385="","",L385/M385*100)</f>
        <v/>
      </c>
      <c r="O385" s="2">
        <f>A385&amp;"|"&amp;C385</f>
        <v/>
      </c>
    </row>
    <row r="386">
      <c r="A386" s="4" t="inlineStr">
        <is>
          <t>ev</t>
        </is>
      </c>
      <c r="B386" s="4" t="inlineStr">
        <is>
          <t>alex</t>
        </is>
      </c>
      <c r="C386" s="4" t="inlineStr">
        <is>
          <t>2026-06-10 23:48</t>
        </is>
      </c>
      <c r="D386" s="4" t="n">
        <v>32078.1</v>
      </c>
      <c r="E386" s="4" t="inlineStr">
        <is>
          <t>ev</t>
        </is>
      </c>
      <c r="F386" s="4" t="n">
        <v>7.596</v>
      </c>
      <c r="G386" s="4" t="n">
        <v>0.075</v>
      </c>
      <c r="H386" s="4" t="n">
        <v>0.57</v>
      </c>
      <c r="I386" s="4" t="inlineStr">
        <is>
          <t>no</t>
        </is>
      </c>
      <c r="J386" s="4" t="inlineStr">
        <is>
          <t>Home</t>
        </is>
      </c>
      <c r="K386" s="2">
        <f>IF(A386&lt;&gt;A385,"",IF(I385="no",D385,K385))</f>
        <v/>
      </c>
      <c r="L386" s="2">
        <f>IF(OR(A386&lt;&gt;A385,K386=""),"",IF(I385="no",F386,L385+F386))</f>
        <v/>
      </c>
      <c r="M386" s="2">
        <f>IF(AND(I386="no",K386&lt;&gt;""),D386-K386,"")</f>
        <v/>
      </c>
      <c r="N386" s="19">
        <f>IF(M386="","",L386/M386*100)</f>
        <v/>
      </c>
      <c r="O386" s="2">
        <f>A386&amp;"|"&amp;C386</f>
        <v/>
      </c>
    </row>
    <row r="387">
      <c r="A387" s="4" t="inlineStr">
        <is>
          <t>ev</t>
        </is>
      </c>
      <c r="B387" s="4" t="inlineStr">
        <is>
          <t>alex</t>
        </is>
      </c>
      <c r="C387" s="4" t="inlineStr">
        <is>
          <t>2026-06-11 23:57</t>
        </is>
      </c>
      <c r="D387" s="4" t="n">
        <v>32119.7</v>
      </c>
      <c r="E387" s="4" t="inlineStr">
        <is>
          <t>ev</t>
        </is>
      </c>
      <c r="F387" s="4" t="n">
        <v>7.054</v>
      </c>
      <c r="G387" s="4" t="n">
        <v>0.075</v>
      </c>
      <c r="H387" s="4" t="n">
        <v>0.53</v>
      </c>
      <c r="I387" s="4" t="inlineStr">
        <is>
          <t>no</t>
        </is>
      </c>
      <c r="J387" s="4" t="inlineStr">
        <is>
          <t>Home</t>
        </is>
      </c>
      <c r="K387" s="2">
        <f>IF(A387&lt;&gt;A386,"",IF(I386="no",D386,K386))</f>
        <v/>
      </c>
      <c r="L387" s="2">
        <f>IF(OR(A387&lt;&gt;A386,K387=""),"",IF(I386="no",F387,L386+F387))</f>
        <v/>
      </c>
      <c r="M387" s="2">
        <f>IF(AND(I387="no",K387&lt;&gt;""),D387-K387,"")</f>
        <v/>
      </c>
      <c r="N387" s="19">
        <f>IF(M387="","",L387/M387*100)</f>
        <v/>
      </c>
      <c r="O387" s="2">
        <f>A387&amp;"|"&amp;C387</f>
        <v/>
      </c>
    </row>
    <row r="388">
      <c r="A388" s="4" t="inlineStr">
        <is>
          <t>ev</t>
        </is>
      </c>
      <c r="B388" s="4" t="inlineStr">
        <is>
          <t>alex</t>
        </is>
      </c>
      <c r="C388" s="4" t="inlineStr">
        <is>
          <t>2026-06-14 14:17</t>
        </is>
      </c>
      <c r="D388" s="4" t="n">
        <v>32209.3</v>
      </c>
      <c r="E388" s="4" t="inlineStr">
        <is>
          <t>ev</t>
        </is>
      </c>
      <c r="F388" s="4" t="n">
        <v>21.469</v>
      </c>
      <c r="G388" s="4" t="n">
        <v>0.79</v>
      </c>
      <c r="H388" s="4" t="n">
        <v>16.96</v>
      </c>
      <c r="I388" s="4" t="inlineStr">
        <is>
          <t>yes</t>
        </is>
      </c>
      <c r="J388" s="4" t="inlineStr">
        <is>
          <t>Ionity Woodall (DC)</t>
        </is>
      </c>
      <c r="K388" s="2">
        <f>IF(A388&lt;&gt;A387,"",IF(I387="no",D387,K387))</f>
        <v/>
      </c>
      <c r="L388" s="2">
        <f>IF(OR(A388&lt;&gt;A387,K388=""),"",IF(I387="no",F388,L387+F388))</f>
        <v/>
      </c>
      <c r="M388" s="2">
        <f>IF(AND(I388="no",K388&lt;&gt;""),D388-K388,"")</f>
        <v/>
      </c>
      <c r="N388" s="19">
        <f>IF(M388="","",L388/M388*100)</f>
        <v/>
      </c>
      <c r="O388" s="2">
        <f>A388&amp;"|"&amp;C388</f>
        <v/>
      </c>
    </row>
    <row r="389">
      <c r="A389" s="4" t="inlineStr">
        <is>
          <t>ev</t>
        </is>
      </c>
      <c r="B389" s="4" t="inlineStr">
        <is>
          <t>alex</t>
        </is>
      </c>
      <c r="C389" s="4" t="inlineStr">
        <is>
          <t>2026-06-17 23:58</t>
        </is>
      </c>
      <c r="D389" s="4" t="n">
        <v>32339</v>
      </c>
      <c r="E389" s="4" t="inlineStr">
        <is>
          <t>ev</t>
        </is>
      </c>
      <c r="F389" s="4" t="n">
        <v>21.376</v>
      </c>
      <c r="G389" s="4" t="n">
        <v>0.075</v>
      </c>
      <c r="H389" s="4" t="n">
        <v>1.6</v>
      </c>
      <c r="I389" s="4" t="inlineStr">
        <is>
          <t>no</t>
        </is>
      </c>
      <c r="J389" s="4" t="inlineStr">
        <is>
          <t>Home</t>
        </is>
      </c>
      <c r="K389" s="2">
        <f>IF(A389&lt;&gt;A388,"",IF(I388="no",D388,K388))</f>
        <v/>
      </c>
      <c r="L389" s="2">
        <f>IF(OR(A389&lt;&gt;A388,K389=""),"",IF(I388="no",F389,L388+F389))</f>
        <v/>
      </c>
      <c r="M389" s="2">
        <f>IF(AND(I389="no",K389&lt;&gt;""),D389-K389,"")</f>
        <v/>
      </c>
      <c r="N389" s="19">
        <f>IF(M389="","",L389/M389*100)</f>
        <v/>
      </c>
      <c r="O389" s="2">
        <f>A389&amp;"|"&amp;C389</f>
        <v/>
      </c>
    </row>
    <row r="390">
      <c r="A390" s="4" t="inlineStr">
        <is>
          <t>ev</t>
        </is>
      </c>
      <c r="B390" s="4" t="inlineStr">
        <is>
          <t>alex</t>
        </is>
      </c>
      <c r="C390" s="4" t="inlineStr">
        <is>
          <t>2026-06-19 23:58</t>
        </is>
      </c>
      <c r="D390" s="4" t="n">
        <v>32386.4</v>
      </c>
      <c r="E390" s="4" t="inlineStr">
        <is>
          <t>ev</t>
        </is>
      </c>
      <c r="F390" s="4" t="n">
        <v>8.366</v>
      </c>
      <c r="G390" s="4" t="n">
        <v>0.075</v>
      </c>
      <c r="H390" s="4" t="n">
        <v>0.63</v>
      </c>
      <c r="I390" s="4" t="inlineStr">
        <is>
          <t>no</t>
        </is>
      </c>
      <c r="J390" s="4" t="inlineStr">
        <is>
          <t>Home</t>
        </is>
      </c>
      <c r="K390" s="2">
        <f>IF(A390&lt;&gt;A389,"",IF(I389="no",D389,K389))</f>
        <v/>
      </c>
      <c r="L390" s="2">
        <f>IF(OR(A390&lt;&gt;A389,K390=""),"",IF(I389="no",F390,L389+F390))</f>
        <v/>
      </c>
      <c r="M390" s="2">
        <f>IF(AND(I390="no",K390&lt;&gt;""),D390-K390,"")</f>
        <v/>
      </c>
      <c r="N390" s="19">
        <f>IF(M390="","",L390/M390*100)</f>
        <v/>
      </c>
      <c r="O390" s="2">
        <f>A390&amp;"|"&amp;C390</f>
        <v/>
      </c>
    </row>
    <row r="391">
      <c r="A391" s="4" t="inlineStr">
        <is>
          <t>ev</t>
        </is>
      </c>
      <c r="B391" s="4" t="inlineStr">
        <is>
          <t>alex</t>
        </is>
      </c>
      <c r="C391" s="4" t="inlineStr">
        <is>
          <t>2026-06-20 23:51</t>
        </is>
      </c>
      <c r="D391" s="4" t="n">
        <v>32430.3</v>
      </c>
      <c r="E391" s="4" t="inlineStr">
        <is>
          <t>ev</t>
        </is>
      </c>
      <c r="F391" s="4" t="n">
        <v>7.486</v>
      </c>
      <c r="G391" s="4" t="n">
        <v>0.075</v>
      </c>
      <c r="H391" s="4" t="n">
        <v>0.5600000000000001</v>
      </c>
      <c r="I391" s="4" t="inlineStr">
        <is>
          <t>no</t>
        </is>
      </c>
      <c r="J391" s="4" t="inlineStr">
        <is>
          <t>Home</t>
        </is>
      </c>
      <c r="K391" s="2">
        <f>IF(A391&lt;&gt;A390,"",IF(I390="no",D390,K390))</f>
        <v/>
      </c>
      <c r="L391" s="2">
        <f>IF(OR(A391&lt;&gt;A390,K391=""),"",IF(I390="no",F391,L390+F391))</f>
        <v/>
      </c>
      <c r="M391" s="2">
        <f>IF(AND(I391="no",K391&lt;&gt;""),D391-K391,"")</f>
        <v/>
      </c>
      <c r="N391" s="19">
        <f>IF(M391="","",L391/M391*100)</f>
        <v/>
      </c>
      <c r="O391" s="2">
        <f>A391&amp;"|"&amp;C391</f>
        <v/>
      </c>
    </row>
    <row r="392">
      <c r="A392" s="4" t="inlineStr">
        <is>
          <t>ev</t>
        </is>
      </c>
      <c r="B392" s="4" t="inlineStr">
        <is>
          <t>alex</t>
        </is>
      </c>
      <c r="C392" s="4" t="inlineStr">
        <is>
          <t>2026-06-23 23:52</t>
        </is>
      </c>
      <c r="D392" s="4" t="n">
        <v>32543.7</v>
      </c>
      <c r="E392" s="4" t="inlineStr">
        <is>
          <t>ev</t>
        </is>
      </c>
      <c r="F392" s="4" t="n">
        <v>19.32</v>
      </c>
      <c r="G392" s="4" t="n">
        <v>0.075</v>
      </c>
      <c r="H392" s="4" t="n">
        <v>1.45</v>
      </c>
      <c r="I392" s="4" t="inlineStr">
        <is>
          <t>no</t>
        </is>
      </c>
      <c r="J392" s="4" t="inlineStr">
        <is>
          <t>Home</t>
        </is>
      </c>
      <c r="K392" s="2">
        <f>IF(A392&lt;&gt;A391,"",IF(I391="no",D391,K391))</f>
        <v/>
      </c>
      <c r="L392" s="2">
        <f>IF(OR(A392&lt;&gt;A391,K392=""),"",IF(I391="no",F392,L391+F392))</f>
        <v/>
      </c>
      <c r="M392" s="2">
        <f>IF(AND(I392="no",K392&lt;&gt;""),D392-K392,"")</f>
        <v/>
      </c>
      <c r="N392" s="19">
        <f>IF(M392="","",L392/M392*100)</f>
        <v/>
      </c>
      <c r="O392" s="2">
        <f>A392&amp;"|"&amp;C392</f>
        <v/>
      </c>
    </row>
    <row r="393">
      <c r="A393" s="4" t="inlineStr">
        <is>
          <t>ev</t>
        </is>
      </c>
      <c r="B393" s="4" t="inlineStr">
        <is>
          <t>alex</t>
        </is>
      </c>
      <c r="C393" s="4" t="inlineStr">
        <is>
          <t>2026-06-26 23:34</t>
        </is>
      </c>
      <c r="D393" s="4" t="n">
        <v>32634.1</v>
      </c>
      <c r="E393" s="4" t="inlineStr">
        <is>
          <t>ev</t>
        </is>
      </c>
      <c r="F393" s="4" t="n">
        <v>15.598</v>
      </c>
      <c r="G393" s="4" t="n">
        <v>0.075</v>
      </c>
      <c r="H393" s="4" t="n">
        <v>1.17</v>
      </c>
      <c r="I393" s="4" t="inlineStr">
        <is>
          <t>no</t>
        </is>
      </c>
      <c r="J393" s="4" t="inlineStr">
        <is>
          <t>Home</t>
        </is>
      </c>
      <c r="K393" s="2">
        <f>IF(A393&lt;&gt;A392,"",IF(I392="no",D392,K392))</f>
        <v/>
      </c>
      <c r="L393" s="2">
        <f>IF(OR(A393&lt;&gt;A392,K393=""),"",IF(I392="no",F393,L392+F393))</f>
        <v/>
      </c>
      <c r="M393" s="2">
        <f>IF(AND(I393="no",K393&lt;&gt;""),D393-K393,"")</f>
        <v/>
      </c>
      <c r="N393" s="19">
        <f>IF(M393="","",L393/M393*100)</f>
        <v/>
      </c>
      <c r="O393" s="2">
        <f>A393&amp;"|"&amp;C393</f>
        <v/>
      </c>
    </row>
    <row r="394">
      <c r="A394" s="4" t="inlineStr">
        <is>
          <t>ev</t>
        </is>
      </c>
      <c r="B394" s="4" t="inlineStr">
        <is>
          <t>alex</t>
        </is>
      </c>
      <c r="C394" s="4" t="inlineStr">
        <is>
          <t>2026-06-29 23:37</t>
        </is>
      </c>
      <c r="D394" s="4" t="n">
        <v>32712.5</v>
      </c>
      <c r="E394" s="4" t="inlineStr">
        <is>
          <t>ev</t>
        </is>
      </c>
      <c r="F394" s="4" t="n">
        <v>13.384</v>
      </c>
      <c r="G394" s="4" t="n">
        <v>0.075</v>
      </c>
      <c r="H394" s="4" t="n">
        <v>1</v>
      </c>
      <c r="I394" s="4" t="inlineStr">
        <is>
          <t>no</t>
        </is>
      </c>
      <c r="J394" s="4" t="inlineStr">
        <is>
          <t>Home</t>
        </is>
      </c>
      <c r="K394" s="2">
        <f>IF(A394&lt;&gt;A393,"",IF(I393="no",D393,K393))</f>
        <v/>
      </c>
      <c r="L394" s="2">
        <f>IF(OR(A394&lt;&gt;A393,K394=""),"",IF(I393="no",F394,L393+F394))</f>
        <v/>
      </c>
      <c r="M394" s="2">
        <f>IF(AND(I394="no",K394&lt;&gt;""),D394-K394,"")</f>
        <v/>
      </c>
      <c r="N394" s="19">
        <f>IF(M394="","",L394/M394*100)</f>
        <v/>
      </c>
      <c r="O394" s="2">
        <f>A394&amp;"|"&amp;C394</f>
        <v/>
      </c>
    </row>
    <row r="395">
      <c r="A395" s="4" t="inlineStr">
        <is>
          <t>ev</t>
        </is>
      </c>
      <c r="B395" s="4" t="inlineStr">
        <is>
          <t>alex</t>
        </is>
      </c>
      <c r="C395" s="4" t="inlineStr">
        <is>
          <t>2026-07-02 23:50</t>
        </is>
      </c>
      <c r="D395" s="4" t="n">
        <v>32807.9</v>
      </c>
      <c r="E395" s="4" t="inlineStr">
        <is>
          <t>ev</t>
        </is>
      </c>
      <c r="F395" s="4" t="n">
        <v>16.903</v>
      </c>
      <c r="G395" s="4" t="n">
        <v>0.075</v>
      </c>
      <c r="H395" s="4" t="n">
        <v>1.27</v>
      </c>
      <c r="I395" s="4" t="inlineStr">
        <is>
          <t>no</t>
        </is>
      </c>
      <c r="J395" s="4" t="inlineStr">
        <is>
          <t>Home</t>
        </is>
      </c>
      <c r="K395" s="2">
        <f>IF(A395&lt;&gt;A394,"",IF(I394="no",D394,K394))</f>
        <v/>
      </c>
      <c r="L395" s="2">
        <f>IF(OR(A395&lt;&gt;A394,K395=""),"",IF(I394="no",F395,L394+F395))</f>
        <v/>
      </c>
      <c r="M395" s="2">
        <f>IF(AND(I395="no",K395&lt;&gt;""),D395-K395,"")</f>
        <v/>
      </c>
      <c r="N395" s="19">
        <f>IF(M395="","",L395/M395*100)</f>
        <v/>
      </c>
      <c r="O395" s="2">
        <f>A395&amp;"|"&amp;C395</f>
        <v/>
      </c>
    </row>
    <row r="396">
      <c r="A396" s="4" t="inlineStr">
        <is>
          <t>ev</t>
        </is>
      </c>
      <c r="B396" s="4" t="inlineStr">
        <is>
          <t>alex</t>
        </is>
      </c>
      <c r="C396" s="4" t="inlineStr">
        <is>
          <t>2026-07-03 23:34</t>
        </is>
      </c>
      <c r="D396" s="4" t="n">
        <v>32851.8</v>
      </c>
      <c r="E396" s="4" t="inlineStr">
        <is>
          <t>ev</t>
        </is>
      </c>
      <c r="F396" s="4" t="n">
        <v>8.44</v>
      </c>
      <c r="G396" s="4" t="n">
        <v>0.075</v>
      </c>
      <c r="H396" s="4" t="n">
        <v>0.63</v>
      </c>
      <c r="I396" s="4" t="inlineStr">
        <is>
          <t>no</t>
        </is>
      </c>
      <c r="J396" s="4" t="inlineStr">
        <is>
          <t>Home</t>
        </is>
      </c>
      <c r="K396" s="2">
        <f>IF(A396&lt;&gt;A395,"",IF(I395="no",D395,K395))</f>
        <v/>
      </c>
      <c r="L396" s="2">
        <f>IF(OR(A396&lt;&gt;A395,K396=""),"",IF(I395="no",F396,L395+F396))</f>
        <v/>
      </c>
      <c r="M396" s="2">
        <f>IF(AND(I396="no",K396&lt;&gt;""),D396-K396,"")</f>
        <v/>
      </c>
      <c r="N396" s="19">
        <f>IF(M396="","",L396/M396*100)</f>
        <v/>
      </c>
      <c r="O396" s="2">
        <f>A396&amp;"|"&amp;C396</f>
        <v/>
      </c>
    </row>
    <row r="397">
      <c r="A397" s="4" t="inlineStr">
        <is>
          <t>ev</t>
        </is>
      </c>
      <c r="B397" s="4" t="inlineStr">
        <is>
          <t>alex</t>
        </is>
      </c>
      <c r="C397" s="4" t="inlineStr">
        <is>
          <t>2026-07-06 23:38</t>
        </is>
      </c>
      <c r="D397" s="4" t="n">
        <v>32937.6</v>
      </c>
      <c r="E397" s="4" t="inlineStr">
        <is>
          <t>ev</t>
        </is>
      </c>
      <c r="F397" s="4" t="n">
        <v>15.266</v>
      </c>
      <c r="G397" s="4" t="n">
        <v>0.075</v>
      </c>
      <c r="H397" s="4" t="n">
        <v>1.14</v>
      </c>
      <c r="I397" s="4" t="inlineStr">
        <is>
          <t>no</t>
        </is>
      </c>
      <c r="J397" s="4" t="inlineStr">
        <is>
          <t>Home</t>
        </is>
      </c>
      <c r="K397" s="2">
        <f>IF(A397&lt;&gt;A396,"",IF(I396="no",D396,K396))</f>
        <v/>
      </c>
      <c r="L397" s="2">
        <f>IF(OR(A397&lt;&gt;A396,K397=""),"",IF(I396="no",F397,L396+F397))</f>
        <v/>
      </c>
      <c r="M397" s="2">
        <f>IF(AND(I397="no",K397&lt;&gt;""),D397-K397,"")</f>
        <v/>
      </c>
      <c r="N397" s="19">
        <f>IF(M397="","",L397/M397*100)</f>
        <v/>
      </c>
      <c r="O397" s="2">
        <f>A397&amp;"|"&amp;C397</f>
        <v/>
      </c>
    </row>
    <row r="398">
      <c r="A398" s="4" t="inlineStr">
        <is>
          <t>ev</t>
        </is>
      </c>
      <c r="B398" s="4" t="inlineStr">
        <is>
          <t>alex</t>
        </is>
      </c>
      <c r="C398" s="4" t="inlineStr">
        <is>
          <t>2026-07-09 23:52</t>
        </is>
      </c>
      <c r="D398" s="4" t="n">
        <v>33036.1</v>
      </c>
      <c r="E398" s="4" t="inlineStr">
        <is>
          <t>ev</t>
        </is>
      </c>
      <c r="F398" s="4" t="n">
        <v>17.181</v>
      </c>
      <c r="G398" s="4" t="n">
        <v>0.075</v>
      </c>
      <c r="H398" s="4" t="n">
        <v>1.29</v>
      </c>
      <c r="I398" s="4" t="inlineStr">
        <is>
          <t>no</t>
        </is>
      </c>
      <c r="J398" s="4" t="inlineStr">
        <is>
          <t>Home</t>
        </is>
      </c>
      <c r="K398" s="2">
        <f>IF(A398&lt;&gt;A397,"",IF(I397="no",D397,K397))</f>
        <v/>
      </c>
      <c r="L398" s="2">
        <f>IF(OR(A398&lt;&gt;A397,K398=""),"",IF(I397="no",F398,L397+F398))</f>
        <v/>
      </c>
      <c r="M398" s="2">
        <f>IF(AND(I398="no",K398&lt;&gt;""),D398-K398,"")</f>
        <v/>
      </c>
      <c r="N398" s="19">
        <f>IF(M398="","",L398/M398*100)</f>
        <v/>
      </c>
      <c r="O398" s="2">
        <f>A398&amp;"|"&amp;C398</f>
        <v/>
      </c>
    </row>
    <row r="399">
      <c r="A399" s="4" t="inlineStr">
        <is>
          <t>ev</t>
        </is>
      </c>
      <c r="B399" s="4" t="inlineStr">
        <is>
          <t>alex</t>
        </is>
      </c>
      <c r="C399" s="4" t="inlineStr">
        <is>
          <t>2026-07-13 23:34</t>
        </is>
      </c>
      <c r="D399" s="4" t="n">
        <v>33125.9</v>
      </c>
      <c r="E399" s="4" t="inlineStr">
        <is>
          <t>ev</t>
        </is>
      </c>
      <c r="F399" s="4" t="n">
        <v>16.027</v>
      </c>
      <c r="G399" s="4" t="n">
        <v>0.075</v>
      </c>
      <c r="H399" s="4" t="n">
        <v>1.2</v>
      </c>
      <c r="I399" s="4" t="inlineStr">
        <is>
          <t>no</t>
        </is>
      </c>
      <c r="J399" s="4" t="inlineStr">
        <is>
          <t>Home</t>
        </is>
      </c>
      <c r="K399" s="2">
        <f>IF(A399&lt;&gt;A398,"",IF(I398="no",D398,K398))</f>
        <v/>
      </c>
      <c r="L399" s="2">
        <f>IF(OR(A399&lt;&gt;A398,K399=""),"",IF(I398="no",F399,L398+F399))</f>
        <v/>
      </c>
      <c r="M399" s="2">
        <f>IF(AND(I399="no",K399&lt;&gt;""),D399-K399,"")</f>
        <v/>
      </c>
      <c r="N399" s="19">
        <f>IF(M399="","",L399/M399*100)</f>
        <v/>
      </c>
      <c r="O399" s="2">
        <f>A399&amp;"|"&amp;C399</f>
        <v/>
      </c>
    </row>
    <row r="400">
      <c r="A400" s="4" t="inlineStr">
        <is>
          <t>ev</t>
        </is>
      </c>
      <c r="B400" s="4" t="inlineStr">
        <is>
          <t>alex</t>
        </is>
      </c>
      <c r="C400" s="4" t="inlineStr">
        <is>
          <t>2026-07-14 23:53</t>
        </is>
      </c>
      <c r="D400" s="4" t="n">
        <v>33173.1</v>
      </c>
      <c r="E400" s="4" t="inlineStr">
        <is>
          <t>ev</t>
        </is>
      </c>
      <c r="F400" s="4" t="n">
        <v>8.718</v>
      </c>
      <c r="G400" s="4" t="n">
        <v>0.075</v>
      </c>
      <c r="H400" s="4" t="n">
        <v>0.65</v>
      </c>
      <c r="I400" s="4" t="inlineStr">
        <is>
          <t>no</t>
        </is>
      </c>
      <c r="J400" s="4" t="inlineStr">
        <is>
          <t>Home</t>
        </is>
      </c>
      <c r="K400" s="2">
        <f>IF(A400&lt;&gt;A399,"",IF(I399="no",D399,K399))</f>
        <v/>
      </c>
      <c r="L400" s="2">
        <f>IF(OR(A400&lt;&gt;A399,K400=""),"",IF(I399="no",F400,L399+F400))</f>
        <v/>
      </c>
      <c r="M400" s="2">
        <f>IF(AND(I400="no",K400&lt;&gt;""),D400-K400,"")</f>
        <v/>
      </c>
      <c r="N400" s="19">
        <f>IF(M400="","",L400/M400*100)</f>
        <v/>
      </c>
      <c r="O400" s="2">
        <f>A400&amp;"|"&amp;C400</f>
        <v/>
      </c>
    </row>
    <row r="401">
      <c r="A401" s="4" t="inlineStr">
        <is>
          <t>ev</t>
        </is>
      </c>
      <c r="B401" s="4" t="inlineStr">
        <is>
          <t>alex</t>
        </is>
      </c>
      <c r="C401" s="4" t="inlineStr">
        <is>
          <t>2026-07-16 23:59</t>
        </is>
      </c>
      <c r="D401" s="4" t="n">
        <v>33215.3</v>
      </c>
      <c r="E401" s="4" t="inlineStr">
        <is>
          <t>ev</t>
        </is>
      </c>
      <c r="F401" s="4" t="n">
        <v>7.52</v>
      </c>
      <c r="G401" s="4" t="n">
        <v>0.075</v>
      </c>
      <c r="H401" s="4" t="n">
        <v>0.5600000000000001</v>
      </c>
      <c r="I401" s="4" t="inlineStr">
        <is>
          <t>no</t>
        </is>
      </c>
      <c r="J401" s="4" t="inlineStr">
        <is>
          <t>Home</t>
        </is>
      </c>
      <c r="K401" s="2">
        <f>IF(A401&lt;&gt;A400,"",IF(I400="no",D400,K400))</f>
        <v/>
      </c>
      <c r="L401" s="2">
        <f>IF(OR(A401&lt;&gt;A400,K401=""),"",IF(I400="no",F401,L400+F401))</f>
        <v/>
      </c>
      <c r="M401" s="2">
        <f>IF(AND(I401="no",K401&lt;&gt;""),D401-K401,"")</f>
        <v/>
      </c>
      <c r="N401" s="19">
        <f>IF(M401="","",L401/M401*100)</f>
        <v/>
      </c>
      <c r="O401" s="2">
        <f>A401&amp;"|"&amp;C401</f>
        <v/>
      </c>
    </row>
    <row r="402">
      <c r="A402" s="4" t="inlineStr">
        <is>
          <t>ev</t>
        </is>
      </c>
      <c r="B402" s="4" t="inlineStr">
        <is>
          <t>alex</t>
        </is>
      </c>
      <c r="C402" s="4" t="inlineStr">
        <is>
          <t>2026-07-18 16:19</t>
        </is>
      </c>
      <c r="D402" s="4" t="n">
        <v>33277.7</v>
      </c>
      <c r="E402" s="4" t="inlineStr">
        <is>
          <t>ev</t>
        </is>
      </c>
      <c r="F402" s="4" t="n">
        <v>29.218</v>
      </c>
      <c r="G402" s="4" t="n">
        <v>0.79</v>
      </c>
      <c r="H402" s="4" t="n">
        <v>23.08</v>
      </c>
      <c r="I402" s="4" t="inlineStr">
        <is>
          <t>yes</t>
        </is>
      </c>
      <c r="J402" s="4" t="inlineStr">
        <is>
          <t>Ionity Woodall (DC)</t>
        </is>
      </c>
      <c r="K402" s="2">
        <f>IF(A402&lt;&gt;A401,"",IF(I401="no",D401,K401))</f>
        <v/>
      </c>
      <c r="L402" s="2">
        <f>IF(OR(A402&lt;&gt;A401,K402=""),"",IF(I401="no",F402,L401+F402))</f>
        <v/>
      </c>
      <c r="M402" s="2">
        <f>IF(AND(I402="no",K402&lt;&gt;""),D402-K402,"")</f>
        <v/>
      </c>
      <c r="N402" s="19">
        <f>IF(M402="","",L402/M402*100)</f>
        <v/>
      </c>
      <c r="O402" s="2">
        <f>A402&amp;"|"&amp;C402</f>
        <v/>
      </c>
    </row>
    <row r="403">
      <c r="A403" s="4" t="inlineStr">
        <is>
          <t>ev</t>
        </is>
      </c>
      <c r="B403" s="4" t="inlineStr">
        <is>
          <t>alex</t>
        </is>
      </c>
      <c r="C403" s="4" t="inlineStr">
        <is>
          <t>2026-07-21 23:35</t>
        </is>
      </c>
      <c r="D403" s="4" t="n">
        <v>33371.4</v>
      </c>
      <c r="E403" s="4" t="inlineStr">
        <is>
          <t>ev</t>
        </is>
      </c>
      <c r="F403" s="4" t="n">
        <v>15.053</v>
      </c>
      <c r="G403" s="4" t="n">
        <v>0.075</v>
      </c>
      <c r="H403" s="4" t="n">
        <v>1.13</v>
      </c>
      <c r="I403" s="4" t="inlineStr">
        <is>
          <t>no</t>
        </is>
      </c>
      <c r="J403" s="4" t="inlineStr">
        <is>
          <t>Home</t>
        </is>
      </c>
      <c r="K403" s="2">
        <f>IF(A403&lt;&gt;A402,"",IF(I402="no",D402,K402))</f>
        <v/>
      </c>
      <c r="L403" s="2">
        <f>IF(OR(A403&lt;&gt;A402,K403=""),"",IF(I402="no",F403,L402+F403))</f>
        <v/>
      </c>
      <c r="M403" s="2">
        <f>IF(AND(I403="no",K403&lt;&gt;""),D403-K403,"")</f>
        <v/>
      </c>
      <c r="N403" s="19">
        <f>IF(M403="","",L403/M403*100)</f>
        <v/>
      </c>
      <c r="O403" s="2">
        <f>A403&amp;"|"&amp;C403</f>
        <v/>
      </c>
    </row>
    <row r="404">
      <c r="A404" s="4" t="inlineStr">
        <is>
          <t>ev</t>
        </is>
      </c>
      <c r="B404" s="4" t="inlineStr">
        <is>
          <t>alex</t>
        </is>
      </c>
      <c r="C404" s="4" t="inlineStr">
        <is>
          <t>2026-07-25 23:55</t>
        </is>
      </c>
      <c r="D404" s="4" t="n">
        <v>33479.9</v>
      </c>
      <c r="E404" s="4" t="inlineStr">
        <is>
          <t>ev</t>
        </is>
      </c>
      <c r="F404" s="4" t="n">
        <v>18.424</v>
      </c>
      <c r="G404" s="4" t="n">
        <v>0.075</v>
      </c>
      <c r="H404" s="4" t="n">
        <v>1.38</v>
      </c>
      <c r="I404" s="4" t="inlineStr">
        <is>
          <t>no</t>
        </is>
      </c>
      <c r="J404" s="4" t="inlineStr">
        <is>
          <t>Home</t>
        </is>
      </c>
      <c r="K404" s="2">
        <f>IF(A404&lt;&gt;A403,"",IF(I403="no",D403,K403))</f>
        <v/>
      </c>
      <c r="L404" s="2">
        <f>IF(OR(A404&lt;&gt;A403,K404=""),"",IF(I403="no",F404,L403+F404))</f>
        <v/>
      </c>
      <c r="M404" s="2">
        <f>IF(AND(I404="no",K404&lt;&gt;""),D404-K404,"")</f>
        <v/>
      </c>
      <c r="N404" s="19">
        <f>IF(M404="","",L404/M404*100)</f>
        <v/>
      </c>
      <c r="O404" s="2">
        <f>A404&amp;"|"&amp;C404</f>
        <v/>
      </c>
    </row>
    <row r="405">
      <c r="A405" s="4" t="inlineStr">
        <is>
          <t>ev</t>
        </is>
      </c>
      <c r="B405" s="4" t="inlineStr">
        <is>
          <t>alex</t>
        </is>
      </c>
      <c r="C405" s="4" t="inlineStr">
        <is>
          <t>2026-07-27 23:36</t>
        </is>
      </c>
      <c r="D405" s="4" t="n">
        <v>33551.4</v>
      </c>
      <c r="E405" s="4" t="inlineStr">
        <is>
          <t>ev</t>
        </is>
      </c>
      <c r="F405" s="4" t="n">
        <v>12.638</v>
      </c>
      <c r="G405" s="4" t="n">
        <v>0.075</v>
      </c>
      <c r="H405" s="4" t="n">
        <v>0.95</v>
      </c>
      <c r="I405" s="4" t="inlineStr">
        <is>
          <t>no</t>
        </is>
      </c>
      <c r="J405" s="4" t="inlineStr">
        <is>
          <t>Home</t>
        </is>
      </c>
      <c r="K405" s="2">
        <f>IF(A405&lt;&gt;A404,"",IF(I404="no",D404,K404))</f>
        <v/>
      </c>
      <c r="L405" s="2">
        <f>IF(OR(A405&lt;&gt;A404,K405=""),"",IF(I404="no",F405,L404+F405))</f>
        <v/>
      </c>
      <c r="M405" s="2">
        <f>IF(AND(I405="no",K405&lt;&gt;""),D405-K405,"")</f>
        <v/>
      </c>
      <c r="N405" s="19">
        <f>IF(M405="","",L405/M405*100)</f>
        <v/>
      </c>
      <c r="O405" s="2">
        <f>A405&amp;"|"&amp;C405</f>
        <v/>
      </c>
    </row>
    <row r="406">
      <c r="A406" s="4" t="inlineStr">
        <is>
          <t>ev</t>
        </is>
      </c>
      <c r="B406" s="4" t="inlineStr">
        <is>
          <t>alex</t>
        </is>
      </c>
      <c r="C406" s="4" t="inlineStr">
        <is>
          <t>2026-07-30 14:33</t>
        </is>
      </c>
      <c r="D406" s="4" t="n">
        <v>33651.5</v>
      </c>
      <c r="E406" s="4" t="inlineStr">
        <is>
          <t>ev</t>
        </is>
      </c>
      <c r="F406" s="4" t="n">
        <v>11.995</v>
      </c>
      <c r="G406" s="4" t="n">
        <v>0.52</v>
      </c>
      <c r="H406" s="4" t="n">
        <v>6.24</v>
      </c>
      <c r="I406" s="4" t="inlineStr">
        <is>
          <t>yes</t>
        </is>
      </c>
      <c r="J406" s="4" t="inlineStr">
        <is>
          <t>Leeds Council car park (AC)</t>
        </is>
      </c>
      <c r="K406" s="2">
        <f>IF(A406&lt;&gt;A405,"",IF(I405="no",D405,K405))</f>
        <v/>
      </c>
      <c r="L406" s="2">
        <f>IF(OR(A406&lt;&gt;A405,K406=""),"",IF(I405="no",F406,L405+F406))</f>
        <v/>
      </c>
      <c r="M406" s="2">
        <f>IF(AND(I406="no",K406&lt;&gt;""),D406-K406,"")</f>
        <v/>
      </c>
      <c r="N406" s="19">
        <f>IF(M406="","",L406/M406*100)</f>
        <v/>
      </c>
      <c r="O406" s="2">
        <f>A406&amp;"|"&amp;C406</f>
        <v/>
      </c>
    </row>
    <row r="407">
      <c r="A407" s="4" t="inlineStr">
        <is>
          <t>ev</t>
        </is>
      </c>
      <c r="B407" s="4" t="inlineStr">
        <is>
          <t>alex</t>
        </is>
      </c>
      <c r="C407" s="4" t="inlineStr">
        <is>
          <t>2026-08-01 13:13</t>
        </is>
      </c>
      <c r="D407" s="4" t="n">
        <v>33717.8</v>
      </c>
      <c r="E407" s="4" t="inlineStr">
        <is>
          <t>ev</t>
        </is>
      </c>
      <c r="F407" s="4" t="n">
        <v>6.747</v>
      </c>
      <c r="G407" s="4" t="n">
        <v>0.52</v>
      </c>
      <c r="H407" s="4" t="n">
        <v>3.51</v>
      </c>
      <c r="I407" s="4" t="inlineStr">
        <is>
          <t>yes</t>
        </is>
      </c>
      <c r="J407" s="4" t="inlineStr">
        <is>
          <t>Leeds Council car park (AC)</t>
        </is>
      </c>
      <c r="K407" s="2">
        <f>IF(A407&lt;&gt;A406,"",IF(I406="no",D406,K406))</f>
        <v/>
      </c>
      <c r="L407" s="2">
        <f>IF(OR(A407&lt;&gt;A406,K407=""),"",IF(I406="no",F407,L406+F407))</f>
        <v/>
      </c>
      <c r="M407" s="2">
        <f>IF(AND(I407="no",K407&lt;&gt;""),D407-K407,"")</f>
        <v/>
      </c>
      <c r="N407" s="19">
        <f>IF(M407="","",L407/M407*100)</f>
        <v/>
      </c>
      <c r="O407" s="2">
        <f>A407&amp;"|"&amp;C407</f>
        <v/>
      </c>
    </row>
    <row r="408">
      <c r="A408" s="4" t="inlineStr">
        <is>
          <t>ev</t>
        </is>
      </c>
      <c r="B408" s="4" t="inlineStr">
        <is>
          <t>alex</t>
        </is>
      </c>
      <c r="C408" s="4" t="inlineStr">
        <is>
          <t>2026-08-02 18:06</t>
        </is>
      </c>
      <c r="D408" s="4" t="n">
        <v>33751.5</v>
      </c>
      <c r="E408" s="4" t="inlineStr">
        <is>
          <t>ev</t>
        </is>
      </c>
      <c r="F408" s="4" t="n">
        <v>22.124</v>
      </c>
      <c r="G408" s="4" t="n">
        <v>0.79</v>
      </c>
      <c r="H408" s="4" t="n">
        <v>17.48</v>
      </c>
      <c r="I408" s="4" t="inlineStr">
        <is>
          <t>yes</t>
        </is>
      </c>
      <c r="J408" s="4" t="inlineStr">
        <is>
          <t>Ionity Woodall (DC)</t>
        </is>
      </c>
      <c r="K408" s="2">
        <f>IF(A408&lt;&gt;A407,"",IF(I407="no",D407,K407))</f>
        <v/>
      </c>
      <c r="L408" s="2">
        <f>IF(OR(A408&lt;&gt;A407,K408=""),"",IF(I407="no",F408,L407+F408))</f>
        <v/>
      </c>
      <c r="M408" s="2">
        <f>IF(AND(I408="no",K408&lt;&gt;""),D408-K408,"")</f>
        <v/>
      </c>
      <c r="N408" s="19">
        <f>IF(M408="","",L408/M408*100)</f>
        <v/>
      </c>
      <c r="O408" s="2">
        <f>A408&amp;"|"&amp;C408</f>
        <v/>
      </c>
    </row>
    <row r="409">
      <c r="A409" s="4" t="inlineStr">
        <is>
          <t>ev</t>
        </is>
      </c>
      <c r="B409" s="4" t="inlineStr">
        <is>
          <t>alex</t>
        </is>
      </c>
      <c r="C409" s="4" t="inlineStr">
        <is>
          <t>2026-08-04 23:52</t>
        </is>
      </c>
      <c r="D409" s="4" t="n">
        <v>33819.9</v>
      </c>
      <c r="E409" s="4" t="inlineStr">
        <is>
          <t>ev</t>
        </is>
      </c>
      <c r="F409" s="4" t="n">
        <v>12.202</v>
      </c>
      <c r="G409" s="4" t="n">
        <v>0.075</v>
      </c>
      <c r="H409" s="4" t="n">
        <v>0.92</v>
      </c>
      <c r="I409" s="4" t="inlineStr">
        <is>
          <t>no</t>
        </is>
      </c>
      <c r="J409" s="4" t="inlineStr">
        <is>
          <t>Home</t>
        </is>
      </c>
      <c r="K409" s="2">
        <f>IF(A409&lt;&gt;A408,"",IF(I408="no",D408,K408))</f>
        <v/>
      </c>
      <c r="L409" s="2">
        <f>IF(OR(A409&lt;&gt;A408,K409=""),"",IF(I408="no",F409,L408+F409))</f>
        <v/>
      </c>
      <c r="M409" s="2">
        <f>IF(AND(I409="no",K409&lt;&gt;""),D409-K409,"")</f>
        <v/>
      </c>
      <c r="N409" s="19">
        <f>IF(M409="","",L409/M409*100)</f>
        <v/>
      </c>
      <c r="O409" s="2">
        <f>A409&amp;"|"&amp;C409</f>
        <v/>
      </c>
    </row>
    <row r="410">
      <c r="A410" s="4" t="inlineStr">
        <is>
          <t>ev</t>
        </is>
      </c>
      <c r="B410" s="4" t="inlineStr">
        <is>
          <t>alex</t>
        </is>
      </c>
      <c r="C410" s="4" t="inlineStr">
        <is>
          <t>2026-08-08 14:22</t>
        </is>
      </c>
      <c r="D410" s="4" t="n">
        <v>33903.5</v>
      </c>
      <c r="E410" s="4" t="inlineStr">
        <is>
          <t>ev</t>
        </is>
      </c>
      <c r="F410" s="4" t="n">
        <v>11.81</v>
      </c>
      <c r="G410" s="4" t="n">
        <v>0.52</v>
      </c>
      <c r="H410" s="4" t="n">
        <v>6.14</v>
      </c>
      <c r="I410" s="4" t="inlineStr">
        <is>
          <t>yes</t>
        </is>
      </c>
      <c r="J410" s="4" t="inlineStr">
        <is>
          <t>Leeds Council car park (AC)</t>
        </is>
      </c>
      <c r="K410" s="2">
        <f>IF(A410&lt;&gt;A409,"",IF(I409="no",D409,K409))</f>
        <v/>
      </c>
      <c r="L410" s="2">
        <f>IF(OR(A410&lt;&gt;A409,K410=""),"",IF(I409="no",F410,L409+F410))</f>
        <v/>
      </c>
      <c r="M410" s="2">
        <f>IF(AND(I410="no",K410&lt;&gt;""),D410-K410,"")</f>
        <v/>
      </c>
      <c r="N410" s="19">
        <f>IF(M410="","",L410/M410*100)</f>
        <v/>
      </c>
      <c r="O410" s="2">
        <f>A410&amp;"|"&amp;C410</f>
        <v/>
      </c>
    </row>
    <row r="411">
      <c r="A411" s="4" t="inlineStr">
        <is>
          <t>ev</t>
        </is>
      </c>
      <c r="B411" s="4" t="inlineStr">
        <is>
          <t>alex</t>
        </is>
      </c>
      <c r="C411" s="4" t="inlineStr">
        <is>
          <t>2026-08-10 23:51</t>
        </is>
      </c>
      <c r="D411" s="4" t="n">
        <v>33962.5</v>
      </c>
      <c r="E411" s="4" t="inlineStr">
        <is>
          <t>ev</t>
        </is>
      </c>
      <c r="F411" s="4" t="n">
        <v>14.133</v>
      </c>
      <c r="G411" s="4" t="n">
        <v>0.075</v>
      </c>
      <c r="H411" s="4" t="n">
        <v>1.06</v>
      </c>
      <c r="I411" s="4" t="inlineStr">
        <is>
          <t>no</t>
        </is>
      </c>
      <c r="J411" s="4" t="inlineStr">
        <is>
          <t>Home</t>
        </is>
      </c>
      <c r="K411" s="2">
        <f>IF(A411&lt;&gt;A410,"",IF(I410="no",D410,K410))</f>
        <v/>
      </c>
      <c r="L411" s="2">
        <f>IF(OR(A411&lt;&gt;A410,K411=""),"",IF(I410="no",F411,L410+F411))</f>
        <v/>
      </c>
      <c r="M411" s="2">
        <f>IF(AND(I411="no",K411&lt;&gt;""),D411-K411,"")</f>
        <v/>
      </c>
      <c r="N411" s="19">
        <f>IF(M411="","",L411/M411*100)</f>
        <v/>
      </c>
      <c r="O411" s="2">
        <f>A411&amp;"|"&amp;C411</f>
        <v/>
      </c>
    </row>
    <row r="412">
      <c r="A412" s="4" t="inlineStr">
        <is>
          <t>ev</t>
        </is>
      </c>
      <c r="B412" s="4" t="inlineStr">
        <is>
          <t>alex</t>
        </is>
      </c>
      <c r="C412" s="4" t="inlineStr">
        <is>
          <t>2026-08-14 23:45</t>
        </is>
      </c>
      <c r="D412" s="4" t="n">
        <v>34077.4</v>
      </c>
      <c r="E412" s="4" t="inlineStr">
        <is>
          <t>ev</t>
        </is>
      </c>
      <c r="F412" s="4" t="n">
        <v>20.645</v>
      </c>
      <c r="G412" s="4" t="n">
        <v>0.075</v>
      </c>
      <c r="H412" s="4" t="n">
        <v>1.55</v>
      </c>
      <c r="I412" s="4" t="inlineStr">
        <is>
          <t>no</t>
        </is>
      </c>
      <c r="J412" s="4" t="inlineStr">
        <is>
          <t>Home</t>
        </is>
      </c>
      <c r="K412" s="2">
        <f>IF(A412&lt;&gt;A411,"",IF(I411="no",D411,K411))</f>
        <v/>
      </c>
      <c r="L412" s="2">
        <f>IF(OR(A412&lt;&gt;A411,K412=""),"",IF(I411="no",F412,L411+F412))</f>
        <v/>
      </c>
      <c r="M412" s="2">
        <f>IF(AND(I412="no",K412&lt;&gt;""),D412-K412,"")</f>
        <v/>
      </c>
      <c r="N412" s="19">
        <f>IF(M412="","",L412/M412*100)</f>
        <v/>
      </c>
      <c r="O412" s="2">
        <f>A412&amp;"|"&amp;C412</f>
        <v/>
      </c>
    </row>
    <row r="413">
      <c r="A413" s="4" t="inlineStr">
        <is>
          <t>ev</t>
        </is>
      </c>
      <c r="B413" s="4" t="inlineStr">
        <is>
          <t>alex</t>
        </is>
      </c>
      <c r="C413" s="4" t="inlineStr">
        <is>
          <t>2026-08-15 23:52</t>
        </is>
      </c>
      <c r="D413" s="4" t="n">
        <v>34123.8</v>
      </c>
      <c r="E413" s="4" t="inlineStr">
        <is>
          <t>ev</t>
        </is>
      </c>
      <c r="F413" s="4" t="n">
        <v>8.238</v>
      </c>
      <c r="G413" s="4" t="n">
        <v>0.075</v>
      </c>
      <c r="H413" s="4" t="n">
        <v>0.62</v>
      </c>
      <c r="I413" s="4" t="inlineStr">
        <is>
          <t>no</t>
        </is>
      </c>
      <c r="J413" s="4" t="inlineStr">
        <is>
          <t>Home</t>
        </is>
      </c>
      <c r="K413" s="2">
        <f>IF(A413&lt;&gt;A412,"",IF(I412="no",D412,K412))</f>
        <v/>
      </c>
      <c r="L413" s="2">
        <f>IF(OR(A413&lt;&gt;A412,K413=""),"",IF(I412="no",F413,L412+F413))</f>
        <v/>
      </c>
      <c r="M413" s="2">
        <f>IF(AND(I413="no",K413&lt;&gt;""),D413-K413,"")</f>
        <v/>
      </c>
      <c r="N413" s="19">
        <f>IF(M413="","",L413/M413*100)</f>
        <v/>
      </c>
      <c r="O413" s="2">
        <f>A413&amp;"|"&amp;C413</f>
        <v/>
      </c>
    </row>
    <row r="414">
      <c r="A414" s="4" t="inlineStr">
        <is>
          <t>ev</t>
        </is>
      </c>
      <c r="B414" s="4" t="inlineStr">
        <is>
          <t>alex</t>
        </is>
      </c>
      <c r="C414" s="4" t="inlineStr">
        <is>
          <t>2026-08-18 23:40</t>
        </is>
      </c>
      <c r="D414" s="4" t="n">
        <v>34227</v>
      </c>
      <c r="E414" s="4" t="inlineStr">
        <is>
          <t>ev</t>
        </is>
      </c>
      <c r="F414" s="4" t="n">
        <v>17.246</v>
      </c>
      <c r="G414" s="4" t="n">
        <v>0.075</v>
      </c>
      <c r="H414" s="4" t="n">
        <v>1.29</v>
      </c>
      <c r="I414" s="4" t="inlineStr">
        <is>
          <t>no</t>
        </is>
      </c>
      <c r="J414" s="4" t="inlineStr">
        <is>
          <t>Home</t>
        </is>
      </c>
      <c r="K414" s="2">
        <f>IF(A414&lt;&gt;A413,"",IF(I413="no",D413,K413))</f>
        <v/>
      </c>
      <c r="L414" s="2">
        <f>IF(OR(A414&lt;&gt;A413,K414=""),"",IF(I413="no",F414,L413+F414))</f>
        <v/>
      </c>
      <c r="M414" s="2">
        <f>IF(AND(I414="no",K414&lt;&gt;""),D414-K414,"")</f>
        <v/>
      </c>
      <c r="N414" s="19">
        <f>IF(M414="","",L414/M414*100)</f>
        <v/>
      </c>
      <c r="O414" s="2">
        <f>A414&amp;"|"&amp;C414</f>
        <v/>
      </c>
    </row>
    <row r="415">
      <c r="A415" s="4" t="inlineStr">
        <is>
          <t>ev</t>
        </is>
      </c>
      <c r="B415" s="4" t="inlineStr">
        <is>
          <t>alex</t>
        </is>
      </c>
      <c r="C415" s="4" t="inlineStr">
        <is>
          <t>2026-08-19 23:51</t>
        </is>
      </c>
      <c r="D415" s="4" t="n">
        <v>34271.1</v>
      </c>
      <c r="E415" s="4" t="inlineStr">
        <is>
          <t>ev</t>
        </is>
      </c>
      <c r="F415" s="4" t="n">
        <v>8.31</v>
      </c>
      <c r="G415" s="4" t="n">
        <v>0.075</v>
      </c>
      <c r="H415" s="4" t="n">
        <v>0.62</v>
      </c>
      <c r="I415" s="4" t="inlineStr">
        <is>
          <t>no</t>
        </is>
      </c>
      <c r="J415" s="4" t="inlineStr">
        <is>
          <t>Home</t>
        </is>
      </c>
      <c r="K415" s="2">
        <f>IF(A415&lt;&gt;A414,"",IF(I414="no",D414,K414))</f>
        <v/>
      </c>
      <c r="L415" s="2">
        <f>IF(OR(A415&lt;&gt;A414,K415=""),"",IF(I414="no",F415,L414+F415))</f>
        <v/>
      </c>
      <c r="M415" s="2">
        <f>IF(AND(I415="no",K415&lt;&gt;""),D415-K415,"")</f>
        <v/>
      </c>
      <c r="N415" s="19">
        <f>IF(M415="","",L415/M415*100)</f>
        <v/>
      </c>
      <c r="O415" s="2">
        <f>A415&amp;"|"&amp;C415</f>
        <v/>
      </c>
    </row>
    <row r="416">
      <c r="A416" s="4" t="inlineStr">
        <is>
          <t>ev</t>
        </is>
      </c>
      <c r="B416" s="4" t="inlineStr">
        <is>
          <t>alex</t>
        </is>
      </c>
      <c r="C416" s="4" t="inlineStr">
        <is>
          <t>2026-08-22 23:34</t>
        </is>
      </c>
      <c r="D416" s="4" t="n">
        <v>34400.4</v>
      </c>
      <c r="E416" s="4" t="inlineStr">
        <is>
          <t>ev</t>
        </is>
      </c>
      <c r="F416" s="4" t="n">
        <v>23.564</v>
      </c>
      <c r="G416" s="4" t="n">
        <v>0.075</v>
      </c>
      <c r="H416" s="4" t="n">
        <v>1.77</v>
      </c>
      <c r="I416" s="4" t="inlineStr">
        <is>
          <t>no</t>
        </is>
      </c>
      <c r="J416" s="4" t="inlineStr">
        <is>
          <t>Home</t>
        </is>
      </c>
      <c r="K416" s="2">
        <f>IF(A416&lt;&gt;A415,"",IF(I415="no",D415,K415))</f>
        <v/>
      </c>
      <c r="L416" s="2">
        <f>IF(OR(A416&lt;&gt;A415,K416=""),"",IF(I415="no",F416,L415+F416))</f>
        <v/>
      </c>
      <c r="M416" s="2">
        <f>IF(AND(I416="no",K416&lt;&gt;""),D416-K416,"")</f>
        <v/>
      </c>
      <c r="N416" s="19">
        <f>IF(M416="","",L416/M416*100)</f>
        <v/>
      </c>
      <c r="O416" s="2">
        <f>A416&amp;"|"&amp;C416</f>
        <v/>
      </c>
    </row>
    <row r="417">
      <c r="A417" s="4" t="inlineStr">
        <is>
          <t>ev</t>
        </is>
      </c>
      <c r="B417" s="4" t="inlineStr">
        <is>
          <t>alex</t>
        </is>
      </c>
      <c r="C417" s="4" t="inlineStr">
        <is>
          <t>2026-08-24 23:35</t>
        </is>
      </c>
      <c r="D417" s="4" t="n">
        <v>34487.4</v>
      </c>
      <c r="E417" s="4" t="inlineStr">
        <is>
          <t>ev</t>
        </is>
      </c>
      <c r="F417" s="4" t="n">
        <v>15.887</v>
      </c>
      <c r="G417" s="4" t="n">
        <v>0.075</v>
      </c>
      <c r="H417" s="4" t="n">
        <v>1.19</v>
      </c>
      <c r="I417" s="4" t="inlineStr">
        <is>
          <t>no</t>
        </is>
      </c>
      <c r="J417" s="4" t="inlineStr">
        <is>
          <t>Home</t>
        </is>
      </c>
      <c r="K417" s="2">
        <f>IF(A417&lt;&gt;A416,"",IF(I416="no",D416,K416))</f>
        <v/>
      </c>
      <c r="L417" s="2">
        <f>IF(OR(A417&lt;&gt;A416,K417=""),"",IF(I416="no",F417,L416+F417))</f>
        <v/>
      </c>
      <c r="M417" s="2">
        <f>IF(AND(I417="no",K417&lt;&gt;""),D417-K417,"")</f>
        <v/>
      </c>
      <c r="N417" s="19">
        <f>IF(M417="","",L417/M417*100)</f>
        <v/>
      </c>
      <c r="O417" s="2">
        <f>A417&amp;"|"&amp;C417</f>
        <v/>
      </c>
    </row>
    <row r="418">
      <c r="A418" s="4" t="inlineStr">
        <is>
          <t>ev</t>
        </is>
      </c>
      <c r="B418" s="4" t="inlineStr">
        <is>
          <t>alex</t>
        </is>
      </c>
      <c r="C418" s="4" t="inlineStr">
        <is>
          <t>2026-08-27 23:50</t>
        </is>
      </c>
      <c r="D418" s="4" t="n">
        <v>34580.1</v>
      </c>
      <c r="E418" s="4" t="inlineStr">
        <is>
          <t>ev</t>
        </is>
      </c>
      <c r="F418" s="4" t="n">
        <v>15.987</v>
      </c>
      <c r="G418" s="4" t="n">
        <v>0.075</v>
      </c>
      <c r="H418" s="4" t="n">
        <v>1.2</v>
      </c>
      <c r="I418" s="4" t="inlineStr">
        <is>
          <t>no</t>
        </is>
      </c>
      <c r="J418" s="4" t="inlineStr">
        <is>
          <t>Home</t>
        </is>
      </c>
      <c r="K418" s="2">
        <f>IF(A418&lt;&gt;A417,"",IF(I417="no",D417,K417))</f>
        <v/>
      </c>
      <c r="L418" s="2">
        <f>IF(OR(A418&lt;&gt;A417,K418=""),"",IF(I417="no",F418,L417+F418))</f>
        <v/>
      </c>
      <c r="M418" s="2">
        <f>IF(AND(I418="no",K418&lt;&gt;""),D418-K418,"")</f>
        <v/>
      </c>
      <c r="N418" s="19">
        <f>IF(M418="","",L418/M418*100)</f>
        <v/>
      </c>
      <c r="O418" s="2">
        <f>A418&amp;"|"&amp;C418</f>
        <v/>
      </c>
    </row>
    <row r="419">
      <c r="A419" s="4" t="inlineStr">
        <is>
          <t>ev</t>
        </is>
      </c>
      <c r="B419" s="4" t="inlineStr">
        <is>
          <t>alex</t>
        </is>
      </c>
      <c r="C419" s="4" t="inlineStr">
        <is>
          <t>2026-08-30 23:48</t>
        </is>
      </c>
      <c r="D419" s="4" t="n">
        <v>34675.8</v>
      </c>
      <c r="E419" s="4" t="inlineStr">
        <is>
          <t>ev</t>
        </is>
      </c>
      <c r="F419" s="4" t="n">
        <v>17.283</v>
      </c>
      <c r="G419" s="4" t="n">
        <v>0.075</v>
      </c>
      <c r="H419" s="4" t="n">
        <v>1.3</v>
      </c>
      <c r="I419" s="4" t="inlineStr">
        <is>
          <t>no</t>
        </is>
      </c>
      <c r="J419" s="4" t="inlineStr">
        <is>
          <t>Home</t>
        </is>
      </c>
      <c r="K419" s="2">
        <f>IF(A419&lt;&gt;A418,"",IF(I418="no",D418,K418))</f>
        <v/>
      </c>
      <c r="L419" s="2">
        <f>IF(OR(A419&lt;&gt;A418,K419=""),"",IF(I418="no",F419,L418+F419))</f>
        <v/>
      </c>
      <c r="M419" s="2">
        <f>IF(AND(I419="no",K419&lt;&gt;""),D419-K419,"")</f>
        <v/>
      </c>
      <c r="N419" s="19">
        <f>IF(M419="","",L419/M419*100)</f>
        <v/>
      </c>
      <c r="O419" s="2">
        <f>A419&amp;"|"&amp;C419</f>
        <v/>
      </c>
    </row>
    <row r="420">
      <c r="A420" s="4" t="inlineStr">
        <is>
          <t>ev</t>
        </is>
      </c>
      <c r="B420" s="4" t="inlineStr">
        <is>
          <t>alex</t>
        </is>
      </c>
      <c r="C420" s="4" t="inlineStr">
        <is>
          <t>2026-09-02 23:50</t>
        </is>
      </c>
      <c r="D420" s="4" t="n">
        <v>34735.2</v>
      </c>
      <c r="E420" s="4" t="inlineStr">
        <is>
          <t>ev</t>
        </is>
      </c>
      <c r="F420" s="4" t="n">
        <v>9.942</v>
      </c>
      <c r="G420" s="4" t="n">
        <v>0.075</v>
      </c>
      <c r="H420" s="4" t="n">
        <v>0.75</v>
      </c>
      <c r="I420" s="4" t="inlineStr">
        <is>
          <t>no</t>
        </is>
      </c>
      <c r="J420" s="4" t="inlineStr">
        <is>
          <t>Home</t>
        </is>
      </c>
      <c r="K420" s="2">
        <f>IF(A420&lt;&gt;A419,"",IF(I419="no",D419,K419))</f>
        <v/>
      </c>
      <c r="L420" s="2">
        <f>IF(OR(A420&lt;&gt;A419,K420=""),"",IF(I419="no",F420,L419+F420))</f>
        <v/>
      </c>
      <c r="M420" s="2">
        <f>IF(AND(I420="no",K420&lt;&gt;""),D420-K420,"")</f>
        <v/>
      </c>
      <c r="N420" s="19">
        <f>IF(M420="","",L420/M420*100)</f>
        <v/>
      </c>
      <c r="O420" s="2">
        <f>A420&amp;"|"&amp;C420</f>
        <v/>
      </c>
    </row>
    <row r="421">
      <c r="A421" s="4" t="inlineStr">
        <is>
          <t>ev</t>
        </is>
      </c>
      <c r="B421" s="4" t="inlineStr">
        <is>
          <t>alex</t>
        </is>
      </c>
      <c r="C421" s="4" t="inlineStr">
        <is>
          <t>2026-09-06 23:46</t>
        </is>
      </c>
      <c r="D421" s="4" t="n">
        <v>34846.7</v>
      </c>
      <c r="E421" s="4" t="inlineStr">
        <is>
          <t>ev</t>
        </is>
      </c>
      <c r="F421" s="4" t="n">
        <v>19.357</v>
      </c>
      <c r="G421" s="4" t="n">
        <v>0.075</v>
      </c>
      <c r="H421" s="4" t="n">
        <v>1.45</v>
      </c>
      <c r="I421" s="4" t="inlineStr">
        <is>
          <t>no</t>
        </is>
      </c>
      <c r="J421" s="4" t="inlineStr">
        <is>
          <t>Home</t>
        </is>
      </c>
      <c r="K421" s="2">
        <f>IF(A421&lt;&gt;A420,"",IF(I420="no",D420,K420))</f>
        <v/>
      </c>
      <c r="L421" s="2">
        <f>IF(OR(A421&lt;&gt;A420,K421=""),"",IF(I420="no",F421,L420+F421))</f>
        <v/>
      </c>
      <c r="M421" s="2">
        <f>IF(AND(I421="no",K421&lt;&gt;""),D421-K421,"")</f>
        <v/>
      </c>
      <c r="N421" s="19">
        <f>IF(M421="","",L421/M421*100)</f>
        <v/>
      </c>
      <c r="O421" s="2">
        <f>A421&amp;"|"&amp;C421</f>
        <v/>
      </c>
    </row>
    <row r="422">
      <c r="A422" s="4" t="inlineStr">
        <is>
          <t>ev</t>
        </is>
      </c>
      <c r="B422" s="4" t="inlineStr">
        <is>
          <t>alex</t>
        </is>
      </c>
      <c r="C422" s="4" t="inlineStr">
        <is>
          <t>2026-09-08 23:35</t>
        </is>
      </c>
      <c r="D422" s="4" t="n">
        <v>34929</v>
      </c>
      <c r="E422" s="4" t="inlineStr">
        <is>
          <t>ev</t>
        </is>
      </c>
      <c r="F422" s="4" t="n">
        <v>14.805</v>
      </c>
      <c r="G422" s="4" t="n">
        <v>0.075</v>
      </c>
      <c r="H422" s="4" t="n">
        <v>1.11</v>
      </c>
      <c r="I422" s="4" t="inlineStr">
        <is>
          <t>no</t>
        </is>
      </c>
      <c r="J422" s="4" t="inlineStr">
        <is>
          <t>Home</t>
        </is>
      </c>
      <c r="K422" s="2">
        <f>IF(A422&lt;&gt;A421,"",IF(I421="no",D421,K421))</f>
        <v/>
      </c>
      <c r="L422" s="2">
        <f>IF(OR(A422&lt;&gt;A421,K422=""),"",IF(I421="no",F422,L421+F422))</f>
        <v/>
      </c>
      <c r="M422" s="2">
        <f>IF(AND(I422="no",K422&lt;&gt;""),D422-K422,"")</f>
        <v/>
      </c>
      <c r="N422" s="19">
        <f>IF(M422="","",L422/M422*100)</f>
        <v/>
      </c>
      <c r="O422" s="2">
        <f>A422&amp;"|"&amp;C422</f>
        <v/>
      </c>
    </row>
    <row r="423">
      <c r="A423" s="4" t="inlineStr">
        <is>
          <t>ev</t>
        </is>
      </c>
      <c r="B423" s="4" t="inlineStr">
        <is>
          <t>alex</t>
        </is>
      </c>
      <c r="C423" s="4" t="inlineStr">
        <is>
          <t>2026-09-11 23:31</t>
        </is>
      </c>
      <c r="D423" s="4" t="n">
        <v>34999.9</v>
      </c>
      <c r="E423" s="4" t="inlineStr">
        <is>
          <t>ev</t>
        </is>
      </c>
      <c r="F423" s="4" t="n">
        <v>11.818</v>
      </c>
      <c r="G423" s="4" t="n">
        <v>0.075</v>
      </c>
      <c r="H423" s="4" t="n">
        <v>0.89</v>
      </c>
      <c r="I423" s="4" t="inlineStr">
        <is>
          <t>no</t>
        </is>
      </c>
      <c r="J423" s="4" t="inlineStr">
        <is>
          <t>Home</t>
        </is>
      </c>
      <c r="K423" s="2">
        <f>IF(A423&lt;&gt;A422,"",IF(I422="no",D422,K422))</f>
        <v/>
      </c>
      <c r="L423" s="2">
        <f>IF(OR(A423&lt;&gt;A422,K423=""),"",IF(I422="no",F423,L422+F423))</f>
        <v/>
      </c>
      <c r="M423" s="2">
        <f>IF(AND(I423="no",K423&lt;&gt;""),D423-K423,"")</f>
        <v/>
      </c>
      <c r="N423" s="19">
        <f>IF(M423="","",L423/M423*100)</f>
        <v/>
      </c>
      <c r="O423" s="2">
        <f>A423&amp;"|"&amp;C423</f>
        <v/>
      </c>
    </row>
    <row r="424">
      <c r="A424" s="4" t="inlineStr">
        <is>
          <t>ev</t>
        </is>
      </c>
      <c r="B424" s="4" t="inlineStr">
        <is>
          <t>alex</t>
        </is>
      </c>
      <c r="C424" s="4" t="inlineStr">
        <is>
          <t>2026-09-14 23:34</t>
        </is>
      </c>
      <c r="D424" s="4" t="n">
        <v>35106.5</v>
      </c>
      <c r="E424" s="4" t="inlineStr">
        <is>
          <t>ev</t>
        </is>
      </c>
      <c r="F424" s="4" t="n">
        <v>17.868</v>
      </c>
      <c r="G424" s="4" t="n">
        <v>0.075</v>
      </c>
      <c r="H424" s="4" t="n">
        <v>1.34</v>
      </c>
      <c r="I424" s="4" t="inlineStr">
        <is>
          <t>no</t>
        </is>
      </c>
      <c r="J424" s="4" t="inlineStr">
        <is>
          <t>Home</t>
        </is>
      </c>
      <c r="K424" s="2">
        <f>IF(A424&lt;&gt;A423,"",IF(I423="no",D423,K423))</f>
        <v/>
      </c>
      <c r="L424" s="2">
        <f>IF(OR(A424&lt;&gt;A423,K424=""),"",IF(I423="no",F424,L423+F424))</f>
        <v/>
      </c>
      <c r="M424" s="2">
        <f>IF(AND(I424="no",K424&lt;&gt;""),D424-K424,"")</f>
        <v/>
      </c>
      <c r="N424" s="19">
        <f>IF(M424="","",L424/M424*100)</f>
        <v/>
      </c>
      <c r="O424" s="2">
        <f>A424&amp;"|"&amp;C424</f>
        <v/>
      </c>
    </row>
    <row r="425">
      <c r="A425" s="4" t="inlineStr">
        <is>
          <t>focus</t>
        </is>
      </c>
      <c r="B425" s="4" t="inlineStr">
        <is>
          <t>alex</t>
        </is>
      </c>
      <c r="C425" s="4" t="inlineStr">
        <is>
          <t>2023-10-09 17:23</t>
        </is>
      </c>
      <c r="D425" s="4" t="n">
        <v>96877.60000000001</v>
      </c>
      <c r="E425" s="4" t="inlineStr">
        <is>
          <t>diesel</t>
        </is>
      </c>
      <c r="F425" s="4" t="n">
        <v>30.516</v>
      </c>
      <c r="G425" s="4" t="n">
        <v>1.585</v>
      </c>
      <c r="H425" s="4" t="n">
        <v>48.37</v>
      </c>
      <c r="I425" s="4" t="inlineStr">
        <is>
          <t>no</t>
        </is>
      </c>
      <c r="J425" s="4" t="inlineStr">
        <is>
          <t>Morrisons Leeds</t>
        </is>
      </c>
      <c r="K425" s="2">
        <f>IF(A425&lt;&gt;A424,"",IF(I424="no",D424,K424))</f>
        <v/>
      </c>
      <c r="L425" s="2">
        <f>IF(OR(A425&lt;&gt;A424,K425=""),"",IF(I424="no",F425,L424+F425))</f>
        <v/>
      </c>
      <c r="M425" s="2">
        <f>IF(AND(I425="no",K425&lt;&gt;""),D425-K425,"")</f>
        <v/>
      </c>
      <c r="N425" s="19">
        <f>IF(M425="","",L425/M425*100)</f>
        <v/>
      </c>
      <c r="O425" s="2">
        <f>A425&amp;"|"&amp;C425</f>
        <v/>
      </c>
    </row>
    <row r="426">
      <c r="A426" s="4" t="inlineStr">
        <is>
          <t>focus</t>
        </is>
      </c>
      <c r="B426" s="4" t="inlineStr">
        <is>
          <t>alex</t>
        </is>
      </c>
      <c r="C426" s="4" t="inlineStr">
        <is>
          <t>2023-10-29 12:28</t>
        </is>
      </c>
      <c r="D426" s="4" t="n">
        <v>97664.2</v>
      </c>
      <c r="E426" s="4" t="inlineStr">
        <is>
          <t>diesel</t>
        </is>
      </c>
      <c r="F426" s="4" t="n">
        <v>41.088</v>
      </c>
      <c r="G426" s="4" t="n">
        <v>1.582</v>
      </c>
      <c r="H426" s="4" t="n">
        <v>65</v>
      </c>
      <c r="I426" s="4" t="inlineStr">
        <is>
          <t>no</t>
        </is>
      </c>
      <c r="J426" s="4" t="inlineStr">
        <is>
          <t>Morrisons Leeds</t>
        </is>
      </c>
      <c r="K426" s="2">
        <f>IF(A426&lt;&gt;A425,"",IF(I425="no",D425,K425))</f>
        <v/>
      </c>
      <c r="L426" s="2">
        <f>IF(OR(A426&lt;&gt;A425,K426=""),"",IF(I425="no",F426,L425+F426))</f>
        <v/>
      </c>
      <c r="M426" s="2">
        <f>IF(AND(I426="no",K426&lt;&gt;""),D426-K426,"")</f>
        <v/>
      </c>
      <c r="N426" s="19">
        <f>IF(M426="","",L426/M426*100)</f>
        <v/>
      </c>
      <c r="O426" s="2">
        <f>A426&amp;"|"&amp;C426</f>
        <v/>
      </c>
    </row>
    <row r="427">
      <c r="A427" s="4" t="inlineStr">
        <is>
          <t>focus</t>
        </is>
      </c>
      <c r="B427" s="4" t="inlineStr">
        <is>
          <t>alex</t>
        </is>
      </c>
      <c r="C427" s="4" t="inlineStr">
        <is>
          <t>2023-11-17 08:48</t>
        </is>
      </c>
      <c r="D427" s="4" t="n">
        <v>98400.39999999999</v>
      </c>
      <c r="E427" s="4" t="inlineStr">
        <is>
          <t>diesel</t>
        </is>
      </c>
      <c r="F427" s="4" t="n">
        <v>38.623</v>
      </c>
      <c r="G427" s="4" t="n">
        <v>1.573</v>
      </c>
      <c r="H427" s="4" t="n">
        <v>60.75</v>
      </c>
      <c r="I427" s="4" t="inlineStr">
        <is>
          <t>no</t>
        </is>
      </c>
      <c r="J427" s="4" t="inlineStr">
        <is>
          <t>Morrisons Leeds</t>
        </is>
      </c>
      <c r="K427" s="2">
        <f>IF(A427&lt;&gt;A426,"",IF(I426="no",D426,K426))</f>
        <v/>
      </c>
      <c r="L427" s="2">
        <f>IF(OR(A427&lt;&gt;A426,K427=""),"",IF(I426="no",F427,L426+F427))</f>
        <v/>
      </c>
      <c r="M427" s="2">
        <f>IF(AND(I427="no",K427&lt;&gt;""),D427-K427,"")</f>
        <v/>
      </c>
      <c r="N427" s="19">
        <f>IF(M427="","",L427/M427*100)</f>
        <v/>
      </c>
      <c r="O427" s="2">
        <f>A427&amp;"|"&amp;C427</f>
        <v/>
      </c>
    </row>
    <row r="428">
      <c r="A428" s="4" t="inlineStr">
        <is>
          <t>focus</t>
        </is>
      </c>
      <c r="B428" s="4" t="inlineStr">
        <is>
          <t>alex</t>
        </is>
      </c>
      <c r="C428" s="4" t="inlineStr">
        <is>
          <t>2023-12-08 11:02</t>
        </is>
      </c>
      <c r="D428" s="4" t="n">
        <v>99224</v>
      </c>
      <c r="E428" s="4" t="inlineStr">
        <is>
          <t>diesel</t>
        </is>
      </c>
      <c r="F428" s="4" t="n">
        <v>42.43</v>
      </c>
      <c r="G428" s="4" t="n">
        <v>1.577</v>
      </c>
      <c r="H428" s="4" t="n">
        <v>66.91</v>
      </c>
      <c r="I428" s="4" t="inlineStr">
        <is>
          <t>no</t>
        </is>
      </c>
      <c r="J428" s="4" t="inlineStr">
        <is>
          <t>Morrisons Leeds</t>
        </is>
      </c>
      <c r="K428" s="2">
        <f>IF(A428&lt;&gt;A427,"",IF(I427="no",D427,K427))</f>
        <v/>
      </c>
      <c r="L428" s="2">
        <f>IF(OR(A428&lt;&gt;A427,K428=""),"",IF(I427="no",F428,L427+F428))</f>
        <v/>
      </c>
      <c r="M428" s="2">
        <f>IF(AND(I428="no",K428&lt;&gt;""),D428-K428,"")</f>
        <v/>
      </c>
      <c r="N428" s="19">
        <f>IF(M428="","",L428/M428*100)</f>
        <v/>
      </c>
      <c r="O428" s="2">
        <f>A428&amp;"|"&amp;C428</f>
        <v/>
      </c>
    </row>
    <row r="429">
      <c r="A429" s="4" t="inlineStr">
        <is>
          <t>focus</t>
        </is>
      </c>
      <c r="B429" s="4" t="inlineStr">
        <is>
          <t>alex</t>
        </is>
      </c>
      <c r="C429" s="4" t="inlineStr">
        <is>
          <t>2024-01-01 08:52</t>
        </is>
      </c>
      <c r="D429" s="4" t="n">
        <v>100044.9</v>
      </c>
      <c r="E429" s="4" t="inlineStr">
        <is>
          <t>diesel</t>
        </is>
      </c>
      <c r="F429" s="4" t="n">
        <v>42.426</v>
      </c>
      <c r="G429" s="4" t="n">
        <v>1.566</v>
      </c>
      <c r="H429" s="4" t="n">
        <v>66.44</v>
      </c>
      <c r="I429" s="4" t="inlineStr">
        <is>
          <t>no</t>
        </is>
      </c>
      <c r="J429" s="4" t="inlineStr">
        <is>
          <t>Asda Killingbeck</t>
        </is>
      </c>
      <c r="K429" s="2">
        <f>IF(A429&lt;&gt;A428,"",IF(I428="no",D428,K428))</f>
        <v/>
      </c>
      <c r="L429" s="2">
        <f>IF(OR(A429&lt;&gt;A428,K429=""),"",IF(I428="no",F429,L428+F429))</f>
        <v/>
      </c>
      <c r="M429" s="2">
        <f>IF(AND(I429="no",K429&lt;&gt;""),D429-K429,"")</f>
        <v/>
      </c>
      <c r="N429" s="19">
        <f>IF(M429="","",L429/M429*100)</f>
        <v/>
      </c>
      <c r="O429" s="2">
        <f>A429&amp;"|"&amp;C429</f>
        <v/>
      </c>
    </row>
    <row r="430">
      <c r="A430" s="4" t="inlineStr">
        <is>
          <t>focus</t>
        </is>
      </c>
      <c r="B430" s="4" t="inlineStr">
        <is>
          <t>alex</t>
        </is>
      </c>
      <c r="C430" s="4" t="inlineStr">
        <is>
          <t>2024-01-19 14:02</t>
        </is>
      </c>
      <c r="D430" s="4" t="n">
        <v>100714.3</v>
      </c>
      <c r="E430" s="4" t="inlineStr">
        <is>
          <t>diesel</t>
        </is>
      </c>
      <c r="F430" s="4" t="n">
        <v>33.351</v>
      </c>
      <c r="G430" s="4" t="n">
        <v>1.565</v>
      </c>
      <c r="H430" s="4" t="n">
        <v>52.19</v>
      </c>
      <c r="I430" s="4" t="inlineStr">
        <is>
          <t>no</t>
        </is>
      </c>
      <c r="J430" s="4" t="inlineStr">
        <is>
          <t>Asda Killingbeck</t>
        </is>
      </c>
      <c r="K430" s="2">
        <f>IF(A430&lt;&gt;A429,"",IF(I429="no",D429,K429))</f>
        <v/>
      </c>
      <c r="L430" s="2">
        <f>IF(OR(A430&lt;&gt;A429,K430=""),"",IF(I429="no",F430,L429+F430))</f>
        <v/>
      </c>
      <c r="M430" s="2">
        <f>IF(AND(I430="no",K430&lt;&gt;""),D430-K430,"")</f>
        <v/>
      </c>
      <c r="N430" s="19">
        <f>IF(M430="","",L430/M430*100)</f>
        <v/>
      </c>
      <c r="O430" s="2">
        <f>A430&amp;"|"&amp;C430</f>
        <v/>
      </c>
    </row>
    <row r="431">
      <c r="A431" s="4" t="inlineStr">
        <is>
          <t>focus</t>
        </is>
      </c>
      <c r="B431" s="4" t="inlineStr">
        <is>
          <t>alex</t>
        </is>
      </c>
      <c r="C431" s="4" t="inlineStr">
        <is>
          <t>2024-02-12 11:52</t>
        </is>
      </c>
      <c r="D431" s="4" t="n">
        <v>101491.2</v>
      </c>
      <c r="E431" s="4" t="inlineStr">
        <is>
          <t>diesel</t>
        </is>
      </c>
      <c r="F431" s="4" t="n">
        <v>39.674</v>
      </c>
      <c r="G431" s="4" t="n">
        <v>1.565</v>
      </c>
      <c r="H431" s="4" t="n">
        <v>62.09</v>
      </c>
      <c r="I431" s="4" t="inlineStr">
        <is>
          <t>no</t>
        </is>
      </c>
      <c r="J431" s="4" t="inlineStr">
        <is>
          <t>Asda Killingbeck</t>
        </is>
      </c>
      <c r="K431" s="2">
        <f>IF(A431&lt;&gt;A430,"",IF(I430="no",D430,K430))</f>
        <v/>
      </c>
      <c r="L431" s="2">
        <f>IF(OR(A431&lt;&gt;A430,K431=""),"",IF(I430="no",F431,L430+F431))</f>
        <v/>
      </c>
      <c r="M431" s="2">
        <f>IF(AND(I431="no",K431&lt;&gt;""),D431-K431,"")</f>
        <v/>
      </c>
      <c r="N431" s="19">
        <f>IF(M431="","",L431/M431*100)</f>
        <v/>
      </c>
      <c r="O431" s="2">
        <f>A431&amp;"|"&amp;C431</f>
        <v/>
      </c>
    </row>
    <row r="432">
      <c r="A432" s="4" t="inlineStr">
        <is>
          <t>focus</t>
        </is>
      </c>
      <c r="B432" s="4" t="inlineStr">
        <is>
          <t>alex</t>
        </is>
      </c>
      <c r="C432" s="4" t="inlineStr">
        <is>
          <t>2024-02-27 19:30</t>
        </is>
      </c>
      <c r="D432" s="4" t="n">
        <v>102077</v>
      </c>
      <c r="E432" s="4" t="inlineStr">
        <is>
          <t>diesel</t>
        </is>
      </c>
      <c r="F432" s="4" t="n">
        <v>17.056</v>
      </c>
      <c r="G432" s="4" t="n">
        <v>1.563</v>
      </c>
      <c r="H432" s="4" t="n">
        <v>26.66</v>
      </c>
      <c r="I432" s="4" t="inlineStr">
        <is>
          <t>yes</t>
        </is>
      </c>
      <c r="J432" s="4" t="inlineStr">
        <is>
          <t>Asda Killingbeck</t>
        </is>
      </c>
      <c r="K432" s="2">
        <f>IF(A432&lt;&gt;A431,"",IF(I431="no",D431,K431))</f>
        <v/>
      </c>
      <c r="L432" s="2">
        <f>IF(OR(A432&lt;&gt;A431,K432=""),"",IF(I431="no",F432,L431+F432))</f>
        <v/>
      </c>
      <c r="M432" s="2">
        <f>IF(AND(I432="no",K432&lt;&gt;""),D432-K432,"")</f>
        <v/>
      </c>
      <c r="N432" s="19">
        <f>IF(M432="","",L432/M432*100)</f>
        <v/>
      </c>
      <c r="O432" s="2">
        <f>A432&amp;"|"&amp;C432</f>
        <v/>
      </c>
    </row>
    <row r="433">
      <c r="A433" s="4" t="inlineStr">
        <is>
          <t>focus</t>
        </is>
      </c>
      <c r="B433" s="4" t="inlineStr">
        <is>
          <t>alex</t>
        </is>
      </c>
      <c r="C433" s="4" t="inlineStr">
        <is>
          <t>2024-03-06 17:45</t>
        </is>
      </c>
      <c r="D433" s="4" t="n">
        <v>102406.3</v>
      </c>
      <c r="E433" s="4" t="inlineStr">
        <is>
          <t>diesel</t>
        </is>
      </c>
      <c r="F433" s="4" t="n">
        <v>30.895</v>
      </c>
      <c r="G433" s="4" t="n">
        <v>1.555</v>
      </c>
      <c r="H433" s="4" t="n">
        <v>48.04</v>
      </c>
      <c r="I433" s="4" t="inlineStr">
        <is>
          <t>no</t>
        </is>
      </c>
      <c r="J433" s="4" t="inlineStr">
        <is>
          <t>Asda Killingbeck</t>
        </is>
      </c>
      <c r="K433" s="2">
        <f>IF(A433&lt;&gt;A432,"",IF(I432="no",D432,K432))</f>
        <v/>
      </c>
      <c r="L433" s="2">
        <f>IF(OR(A433&lt;&gt;A432,K433=""),"",IF(I432="no",F433,L432+F433))</f>
        <v/>
      </c>
      <c r="M433" s="2">
        <f>IF(AND(I433="no",K433&lt;&gt;""),D433-K433,"")</f>
        <v/>
      </c>
      <c r="N433" s="19">
        <f>IF(M433="","",L433/M433*100)</f>
        <v/>
      </c>
      <c r="O433" s="2">
        <f>A433&amp;"|"&amp;C433</f>
        <v/>
      </c>
    </row>
    <row r="434">
      <c r="A434" s="4" t="inlineStr">
        <is>
          <t>focus</t>
        </is>
      </c>
      <c r="B434" s="4" t="inlineStr">
        <is>
          <t>alex</t>
        </is>
      </c>
      <c r="C434" s="4" t="inlineStr">
        <is>
          <t>2024-03-24 19:59</t>
        </is>
      </c>
      <c r="D434" s="4" t="n">
        <v>103111.6</v>
      </c>
      <c r="E434" s="4" t="inlineStr">
        <is>
          <t>diesel</t>
        </is>
      </c>
      <c r="F434" s="4" t="n">
        <v>35.433</v>
      </c>
      <c r="G434" s="4" t="n">
        <v>1.555</v>
      </c>
      <c r="H434" s="4" t="n">
        <v>55.1</v>
      </c>
      <c r="I434" s="4" t="inlineStr">
        <is>
          <t>no</t>
        </is>
      </c>
      <c r="J434" s="4" t="inlineStr">
        <is>
          <t>Shell Leeds Road</t>
        </is>
      </c>
      <c r="K434" s="2">
        <f>IF(A434&lt;&gt;A433,"",IF(I433="no",D433,K433))</f>
        <v/>
      </c>
      <c r="L434" s="2">
        <f>IF(OR(A434&lt;&gt;A433,K434=""),"",IF(I433="no",F434,L433+F434))</f>
        <v/>
      </c>
      <c r="M434" s="2">
        <f>IF(AND(I434="no",K434&lt;&gt;""),D434-K434,"")</f>
        <v/>
      </c>
      <c r="N434" s="19">
        <f>IF(M434="","",L434/M434*100)</f>
        <v/>
      </c>
      <c r="O434" s="2">
        <f>A434&amp;"|"&amp;C434</f>
        <v/>
      </c>
    </row>
    <row r="435">
      <c r="A435" s="4" t="inlineStr">
        <is>
          <t>focus</t>
        </is>
      </c>
      <c r="B435" s="4" t="inlineStr">
        <is>
          <t>alex</t>
        </is>
      </c>
      <c r="C435" s="4" t="inlineStr">
        <is>
          <t>2024-04-08 20:18</t>
        </is>
      </c>
      <c r="D435" s="4" t="n">
        <v>103705</v>
      </c>
      <c r="E435" s="4" t="inlineStr">
        <is>
          <t>diesel</t>
        </is>
      </c>
      <c r="F435" s="4" t="n">
        <v>30.37</v>
      </c>
      <c r="G435" s="4" t="n">
        <v>1.54</v>
      </c>
      <c r="H435" s="4" t="n">
        <v>46.77</v>
      </c>
      <c r="I435" s="4" t="inlineStr">
        <is>
          <t>no</t>
        </is>
      </c>
      <c r="J435" s="4" t="inlineStr">
        <is>
          <t>Asda Killingbeck</t>
        </is>
      </c>
      <c r="K435" s="2">
        <f>IF(A435&lt;&gt;A434,"",IF(I434="no",D434,K434))</f>
        <v/>
      </c>
      <c r="L435" s="2">
        <f>IF(OR(A435&lt;&gt;A434,K435=""),"",IF(I434="no",F435,L434+F435))</f>
        <v/>
      </c>
      <c r="M435" s="2">
        <f>IF(AND(I435="no",K435&lt;&gt;""),D435-K435,"")</f>
        <v/>
      </c>
      <c r="N435" s="19">
        <f>IF(M435="","",L435/M435*100)</f>
        <v/>
      </c>
      <c r="O435" s="2">
        <f>A435&amp;"|"&amp;C435</f>
        <v/>
      </c>
    </row>
    <row r="436">
      <c r="A436" s="4" t="inlineStr">
        <is>
          <t>focus</t>
        </is>
      </c>
      <c r="B436" s="4" t="inlineStr">
        <is>
          <t>alex</t>
        </is>
      </c>
      <c r="C436" s="4" t="inlineStr">
        <is>
          <t>2024-04-29 11:09</t>
        </is>
      </c>
      <c r="D436" s="4" t="n">
        <v>104492.7</v>
      </c>
      <c r="E436" s="4" t="inlineStr">
        <is>
          <t>diesel</t>
        </is>
      </c>
      <c r="F436" s="4" t="n">
        <v>41.646</v>
      </c>
      <c r="G436" s="4" t="n">
        <v>1.533</v>
      </c>
      <c r="H436" s="4" t="n">
        <v>63.84</v>
      </c>
      <c r="I436" s="4" t="inlineStr">
        <is>
          <t>no</t>
        </is>
      </c>
      <c r="J436" s="4" t="inlineStr">
        <is>
          <t>Morrisons Leeds</t>
        </is>
      </c>
      <c r="K436" s="2">
        <f>IF(A436&lt;&gt;A435,"",IF(I435="no",D435,K435))</f>
        <v/>
      </c>
      <c r="L436" s="2">
        <f>IF(OR(A436&lt;&gt;A435,K436=""),"",IF(I435="no",F436,L435+F436))</f>
        <v/>
      </c>
      <c r="M436" s="2">
        <f>IF(AND(I436="no",K436&lt;&gt;""),D436-K436,"")</f>
        <v/>
      </c>
      <c r="N436" s="19">
        <f>IF(M436="","",L436/M436*100)</f>
        <v/>
      </c>
      <c r="O436" s="2">
        <f>A436&amp;"|"&amp;C436</f>
        <v/>
      </c>
    </row>
    <row r="437">
      <c r="A437" s="4" t="inlineStr">
        <is>
          <t>focus</t>
        </is>
      </c>
      <c r="B437" s="4" t="inlineStr">
        <is>
          <t>alex</t>
        </is>
      </c>
      <c r="C437" s="4" t="inlineStr">
        <is>
          <t>2024-05-16 10:45</t>
        </is>
      </c>
      <c r="D437" s="4" t="n">
        <v>105142.2</v>
      </c>
      <c r="E437" s="4" t="inlineStr">
        <is>
          <t>diesel</t>
        </is>
      </c>
      <c r="F437" s="4" t="n">
        <v>33.685</v>
      </c>
      <c r="G437" s="4" t="n">
        <v>1.53</v>
      </c>
      <c r="H437" s="4" t="n">
        <v>51.54</v>
      </c>
      <c r="I437" s="4" t="inlineStr">
        <is>
          <t>no</t>
        </is>
      </c>
      <c r="J437" s="4" t="inlineStr">
        <is>
          <t>Morrisons Leeds</t>
        </is>
      </c>
      <c r="K437" s="2">
        <f>IF(A437&lt;&gt;A436,"",IF(I436="no",D436,K436))</f>
        <v/>
      </c>
      <c r="L437" s="2">
        <f>IF(OR(A437&lt;&gt;A436,K437=""),"",IF(I436="no",F437,L436+F437))</f>
        <v/>
      </c>
      <c r="M437" s="2">
        <f>IF(AND(I437="no",K437&lt;&gt;""),D437-K437,"")</f>
        <v/>
      </c>
      <c r="N437" s="19">
        <f>IF(M437="","",L437/M437*100)</f>
        <v/>
      </c>
      <c r="O437" s="2">
        <f>A437&amp;"|"&amp;C437</f>
        <v/>
      </c>
    </row>
    <row r="438">
      <c r="A438" s="4" t="inlineStr">
        <is>
          <t>focus</t>
        </is>
      </c>
      <c r="B438" s="4" t="inlineStr">
        <is>
          <t>alex</t>
        </is>
      </c>
      <c r="C438" s="4" t="inlineStr">
        <is>
          <t>2024-06-09 13:00</t>
        </is>
      </c>
      <c r="D438" s="4" t="n">
        <v>106032.1</v>
      </c>
      <c r="E438" s="4" t="inlineStr">
        <is>
          <t>diesel</t>
        </is>
      </c>
      <c r="F438" s="4" t="n">
        <v>44.312</v>
      </c>
      <c r="G438" s="4" t="n">
        <v>1.504</v>
      </c>
      <c r="H438" s="4" t="n">
        <v>66.65000000000001</v>
      </c>
      <c r="I438" s="4" t="inlineStr">
        <is>
          <t>no</t>
        </is>
      </c>
      <c r="J438" s="4" t="inlineStr">
        <is>
          <t>Asda Killingbeck</t>
        </is>
      </c>
      <c r="K438" s="2">
        <f>IF(A438&lt;&gt;A437,"",IF(I437="no",D437,K437))</f>
        <v/>
      </c>
      <c r="L438" s="2">
        <f>IF(OR(A438&lt;&gt;A437,K438=""),"",IF(I437="no",F438,L437+F438))</f>
        <v/>
      </c>
      <c r="M438" s="2">
        <f>IF(AND(I438="no",K438&lt;&gt;""),D438-K438,"")</f>
        <v/>
      </c>
      <c r="N438" s="19">
        <f>IF(M438="","",L438/M438*100)</f>
        <v/>
      </c>
      <c r="O438" s="2">
        <f>A438&amp;"|"&amp;C438</f>
        <v/>
      </c>
    </row>
    <row r="439">
      <c r="A439" s="4" t="inlineStr">
        <is>
          <t>focus</t>
        </is>
      </c>
      <c r="B439" s="4" t="inlineStr">
        <is>
          <t>alex</t>
        </is>
      </c>
      <c r="C439" s="4" t="inlineStr">
        <is>
          <t>2024-07-01 12:48</t>
        </is>
      </c>
      <c r="D439" s="4" t="n">
        <v>106736.9</v>
      </c>
      <c r="E439" s="4" t="inlineStr">
        <is>
          <t>diesel</t>
        </is>
      </c>
      <c r="F439" s="4" t="n">
        <v>35.45</v>
      </c>
      <c r="G439" s="4" t="n">
        <v>1.487</v>
      </c>
      <c r="H439" s="4" t="n">
        <v>52.71</v>
      </c>
      <c r="I439" s="4" t="inlineStr">
        <is>
          <t>no</t>
        </is>
      </c>
      <c r="J439" s="4" t="inlineStr">
        <is>
          <t>Morrisons Leeds</t>
        </is>
      </c>
      <c r="K439" s="2">
        <f>IF(A439&lt;&gt;A438,"",IF(I438="no",D438,K438))</f>
        <v/>
      </c>
      <c r="L439" s="2">
        <f>IF(OR(A439&lt;&gt;A438,K439=""),"",IF(I438="no",F439,L438+F439))</f>
        <v/>
      </c>
      <c r="M439" s="2">
        <f>IF(AND(I439="no",K439&lt;&gt;""),D439-K439,"")</f>
        <v/>
      </c>
      <c r="N439" s="19">
        <f>IF(M439="","",L439/M439*100)</f>
        <v/>
      </c>
      <c r="O439" s="2">
        <f>A439&amp;"|"&amp;C439</f>
        <v/>
      </c>
    </row>
    <row r="440">
      <c r="A440" s="4" t="inlineStr">
        <is>
          <t>focus</t>
        </is>
      </c>
      <c r="B440" s="4" t="inlineStr">
        <is>
          <t>alex</t>
        </is>
      </c>
      <c r="C440" s="4" t="inlineStr">
        <is>
          <t>2024-07-16 15:35</t>
        </is>
      </c>
      <c r="D440" s="4" t="n">
        <v>107336.6</v>
      </c>
      <c r="E440" s="4" t="inlineStr">
        <is>
          <t>diesel</t>
        </is>
      </c>
      <c r="F440" s="4" t="n">
        <v>31.296</v>
      </c>
      <c r="G440" s="4" t="n">
        <v>1.506</v>
      </c>
      <c r="H440" s="4" t="n">
        <v>47.13</v>
      </c>
      <c r="I440" s="4" t="inlineStr">
        <is>
          <t>no</t>
        </is>
      </c>
      <c r="J440" s="4" t="inlineStr">
        <is>
          <t>Shell Leeds Road</t>
        </is>
      </c>
      <c r="K440" s="2">
        <f>IF(A440&lt;&gt;A439,"",IF(I439="no",D439,K439))</f>
        <v/>
      </c>
      <c r="L440" s="2">
        <f>IF(OR(A440&lt;&gt;A439,K440=""),"",IF(I439="no",F440,L439+F440))</f>
        <v/>
      </c>
      <c r="M440" s="2">
        <f>IF(AND(I440="no",K440&lt;&gt;""),D440-K440,"")</f>
        <v/>
      </c>
      <c r="N440" s="19">
        <f>IF(M440="","",L440/M440*100)</f>
        <v/>
      </c>
      <c r="O440" s="2">
        <f>A440&amp;"|"&amp;C440</f>
        <v/>
      </c>
    </row>
    <row r="441">
      <c r="A441" s="4" t="inlineStr">
        <is>
          <t>focus</t>
        </is>
      </c>
      <c r="B441" s="4" t="inlineStr">
        <is>
          <t>alex</t>
        </is>
      </c>
      <c r="C441" s="4" t="inlineStr">
        <is>
          <t>2024-08-03 17:13</t>
        </is>
      </c>
      <c r="D441" s="4" t="n">
        <v>108059.5</v>
      </c>
      <c r="E441" s="4" t="inlineStr">
        <is>
          <t>diesel</t>
        </is>
      </c>
      <c r="F441" s="4" t="n">
        <v>36.446</v>
      </c>
      <c r="G441" s="4" t="n">
        <v>1.494</v>
      </c>
      <c r="H441" s="4" t="n">
        <v>54.45</v>
      </c>
      <c r="I441" s="4" t="inlineStr">
        <is>
          <t>no</t>
        </is>
      </c>
      <c r="J441" s="4" t="inlineStr">
        <is>
          <t>Shell Leeds Road</t>
        </is>
      </c>
      <c r="K441" s="2">
        <f>IF(A441&lt;&gt;A440,"",IF(I440="no",D440,K440))</f>
        <v/>
      </c>
      <c r="L441" s="2">
        <f>IF(OR(A441&lt;&gt;A440,K441=""),"",IF(I440="no",F441,L440+F441))</f>
        <v/>
      </c>
      <c r="M441" s="2">
        <f>IF(AND(I441="no",K441&lt;&gt;""),D441-K441,"")</f>
        <v/>
      </c>
      <c r="N441" s="19">
        <f>IF(M441="","",L441/M441*100)</f>
        <v/>
      </c>
      <c r="O441" s="2">
        <f>A441&amp;"|"&amp;C441</f>
        <v/>
      </c>
    </row>
    <row r="442">
      <c r="A442" s="4" t="inlineStr">
        <is>
          <t>focus</t>
        </is>
      </c>
      <c r="B442" s="4" t="inlineStr">
        <is>
          <t>alex</t>
        </is>
      </c>
      <c r="C442" s="4" t="inlineStr">
        <is>
          <t>2024-08-15 16:26</t>
        </is>
      </c>
      <c r="D442" s="4" t="n">
        <v>108631.3</v>
      </c>
      <c r="E442" s="4" t="inlineStr">
        <is>
          <t>diesel</t>
        </is>
      </c>
      <c r="F442" s="4" t="n">
        <v>28.68</v>
      </c>
      <c r="G442" s="4" t="n">
        <v>1.478</v>
      </c>
      <c r="H442" s="4" t="n">
        <v>42.39</v>
      </c>
      <c r="I442" s="4" t="inlineStr">
        <is>
          <t>no</t>
        </is>
      </c>
      <c r="J442" s="4" t="inlineStr">
        <is>
          <t>Asda Killingbeck</t>
        </is>
      </c>
      <c r="K442" s="2">
        <f>IF(A442&lt;&gt;A441,"",IF(I441="no",D441,K441))</f>
        <v/>
      </c>
      <c r="L442" s="2">
        <f>IF(OR(A442&lt;&gt;A441,K442=""),"",IF(I441="no",F442,L441+F442))</f>
        <v/>
      </c>
      <c r="M442" s="2">
        <f>IF(AND(I442="no",K442&lt;&gt;""),D442-K442,"")</f>
        <v/>
      </c>
      <c r="N442" s="19">
        <f>IF(M442="","",L442/M442*100)</f>
        <v/>
      </c>
      <c r="O442" s="2">
        <f>A442&amp;"|"&amp;C442</f>
        <v/>
      </c>
    </row>
    <row r="443">
      <c r="A443" s="4" t="inlineStr">
        <is>
          <t>focus</t>
        </is>
      </c>
      <c r="B443" s="4" t="inlineStr">
        <is>
          <t>alex</t>
        </is>
      </c>
      <c r="C443" s="4" t="inlineStr">
        <is>
          <t>2024-09-08 15:39</t>
        </is>
      </c>
      <c r="D443" s="4" t="n">
        <v>109465.8</v>
      </c>
      <c r="E443" s="4" t="inlineStr">
        <is>
          <t>diesel</t>
        </is>
      </c>
      <c r="F443" s="4" t="n">
        <v>43.473</v>
      </c>
      <c r="G443" s="4" t="n">
        <v>1.466</v>
      </c>
      <c r="H443" s="4" t="n">
        <v>63.73</v>
      </c>
      <c r="I443" s="4" t="inlineStr">
        <is>
          <t>no</t>
        </is>
      </c>
      <c r="J443" s="4" t="inlineStr">
        <is>
          <t>Morrisons Leeds</t>
        </is>
      </c>
      <c r="K443" s="2">
        <f>IF(A443&lt;&gt;A442,"",IF(I442="no",D442,K442))</f>
        <v/>
      </c>
      <c r="L443" s="2">
        <f>IF(OR(A443&lt;&gt;A442,K443=""),"",IF(I442="no",F443,L442+F443))</f>
        <v/>
      </c>
      <c r="M443" s="2">
        <f>IF(AND(I443="no",K443&lt;&gt;""),D443-K443,"")</f>
        <v/>
      </c>
      <c r="N443" s="19">
        <f>IF(M443="","",L443/M443*100)</f>
        <v/>
      </c>
      <c r="O443" s="2">
        <f>A443&amp;"|"&amp;C443</f>
        <v/>
      </c>
    </row>
    <row r="444">
      <c r="A444" s="4" t="inlineStr">
        <is>
          <t>focus</t>
        </is>
      </c>
      <c r="B444" s="4" t="inlineStr">
        <is>
          <t>alex</t>
        </is>
      </c>
      <c r="C444" s="4" t="inlineStr">
        <is>
          <t>2024-09-23 14:08</t>
        </is>
      </c>
      <c r="D444" s="4" t="n">
        <v>110025.8</v>
      </c>
      <c r="E444" s="4" t="inlineStr">
        <is>
          <t>diesel</t>
        </is>
      </c>
      <c r="F444" s="4" t="n">
        <v>28.838</v>
      </c>
      <c r="G444" s="4" t="n">
        <v>1.464</v>
      </c>
      <c r="H444" s="4" t="n">
        <v>42.22</v>
      </c>
      <c r="I444" s="4" t="inlineStr">
        <is>
          <t>no</t>
        </is>
      </c>
      <c r="J444" s="4" t="inlineStr">
        <is>
          <t>Shell Leeds Road</t>
        </is>
      </c>
      <c r="K444" s="2">
        <f>IF(A444&lt;&gt;A443,"",IF(I443="no",D443,K443))</f>
        <v/>
      </c>
      <c r="L444" s="2">
        <f>IF(OR(A444&lt;&gt;A443,K444=""),"",IF(I443="no",F444,L443+F444))</f>
        <v/>
      </c>
      <c r="M444" s="2">
        <f>IF(AND(I444="no",K444&lt;&gt;""),D444-K444,"")</f>
        <v/>
      </c>
      <c r="N444" s="19">
        <f>IF(M444="","",L444/M444*100)</f>
        <v/>
      </c>
      <c r="O444" s="2">
        <f>A444&amp;"|"&amp;C444</f>
        <v/>
      </c>
    </row>
    <row r="445">
      <c r="A445" s="4" t="inlineStr">
        <is>
          <t>focus</t>
        </is>
      </c>
      <c r="B445" s="4" t="inlineStr">
        <is>
          <t>alex</t>
        </is>
      </c>
      <c r="C445" s="4" t="inlineStr">
        <is>
          <t>2024-10-16 08:44</t>
        </is>
      </c>
      <c r="D445" s="4" t="n">
        <v>110872.7</v>
      </c>
      <c r="E445" s="4" t="inlineStr">
        <is>
          <t>diesel</t>
        </is>
      </c>
      <c r="F445" s="4" t="n">
        <v>43.933</v>
      </c>
      <c r="G445" s="4" t="n">
        <v>1.453</v>
      </c>
      <c r="H445" s="4" t="n">
        <v>63.83</v>
      </c>
      <c r="I445" s="4" t="inlineStr">
        <is>
          <t>no</t>
        </is>
      </c>
      <c r="J445" s="4" t="inlineStr">
        <is>
          <t>Shell Leeds Road</t>
        </is>
      </c>
      <c r="K445" s="2">
        <f>IF(A445&lt;&gt;A444,"",IF(I444="no",D444,K444))</f>
        <v/>
      </c>
      <c r="L445" s="2">
        <f>IF(OR(A445&lt;&gt;A444,K445=""),"",IF(I444="no",F445,L444+F445))</f>
        <v/>
      </c>
      <c r="M445" s="2">
        <f>IF(AND(I445="no",K445&lt;&gt;""),D445-K445,"")</f>
        <v/>
      </c>
      <c r="N445" s="19">
        <f>IF(M445="","",L445/M445*100)</f>
        <v/>
      </c>
      <c r="O445" s="2">
        <f>A445&amp;"|"&amp;C445</f>
        <v/>
      </c>
    </row>
    <row r="446">
      <c r="A446" s="4" t="inlineStr">
        <is>
          <t>focus</t>
        </is>
      </c>
      <c r="B446" s="4" t="inlineStr">
        <is>
          <t>alex</t>
        </is>
      </c>
      <c r="C446" s="4" t="inlineStr">
        <is>
          <t>2024-11-04 20:02</t>
        </is>
      </c>
      <c r="D446" s="4" t="n">
        <v>111614.4</v>
      </c>
      <c r="E446" s="4" t="inlineStr">
        <is>
          <t>diesel</t>
        </is>
      </c>
      <c r="F446" s="4" t="n">
        <v>37.05</v>
      </c>
      <c r="G446" s="4" t="n">
        <v>1.459</v>
      </c>
      <c r="H446" s="4" t="n">
        <v>54.06</v>
      </c>
      <c r="I446" s="4" t="inlineStr">
        <is>
          <t>no</t>
        </is>
      </c>
      <c r="J446" s="4" t="inlineStr">
        <is>
          <t>Asda Killingbeck</t>
        </is>
      </c>
      <c r="K446" s="2">
        <f>IF(A446&lt;&gt;A445,"",IF(I445="no",D445,K445))</f>
        <v/>
      </c>
      <c r="L446" s="2">
        <f>IF(OR(A446&lt;&gt;A445,K446=""),"",IF(I445="no",F446,L445+F446))</f>
        <v/>
      </c>
      <c r="M446" s="2">
        <f>IF(AND(I446="no",K446&lt;&gt;""),D446-K446,"")</f>
        <v/>
      </c>
      <c r="N446" s="19">
        <f>IF(M446="","",L446/M446*100)</f>
        <v/>
      </c>
      <c r="O446" s="2">
        <f>A446&amp;"|"&amp;C446</f>
        <v/>
      </c>
    </row>
    <row r="447">
      <c r="A447" s="4" t="inlineStr">
        <is>
          <t>focus</t>
        </is>
      </c>
      <c r="B447" s="4" t="inlineStr">
        <is>
          <t>alex</t>
        </is>
      </c>
      <c r="C447" s="4" t="inlineStr">
        <is>
          <t>2024-11-22 15:31</t>
        </is>
      </c>
      <c r="D447" s="4" t="n">
        <v>112341.2</v>
      </c>
      <c r="E447" s="4" t="inlineStr">
        <is>
          <t>diesel</t>
        </is>
      </c>
      <c r="F447" s="4" t="n">
        <v>37.07</v>
      </c>
      <c r="G447" s="4" t="n">
        <v>1.462</v>
      </c>
      <c r="H447" s="4" t="n">
        <v>54.2</v>
      </c>
      <c r="I447" s="4" t="inlineStr">
        <is>
          <t>no</t>
        </is>
      </c>
      <c r="J447" s="4" t="inlineStr">
        <is>
          <t>Asda Killingbeck</t>
        </is>
      </c>
      <c r="K447" s="2">
        <f>IF(A447&lt;&gt;A446,"",IF(I446="no",D446,K446))</f>
        <v/>
      </c>
      <c r="L447" s="2">
        <f>IF(OR(A447&lt;&gt;A446,K447=""),"",IF(I446="no",F447,L446+F447))</f>
        <v/>
      </c>
      <c r="M447" s="2">
        <f>IF(AND(I447="no",K447&lt;&gt;""),D447-K447,"")</f>
        <v/>
      </c>
      <c r="N447" s="19">
        <f>IF(M447="","",L447/M447*100)</f>
        <v/>
      </c>
      <c r="O447" s="2">
        <f>A447&amp;"|"&amp;C447</f>
        <v/>
      </c>
    </row>
    <row r="448">
      <c r="A448" s="4" t="inlineStr">
        <is>
          <t>focus</t>
        </is>
      </c>
      <c r="B448" s="4" t="inlineStr">
        <is>
          <t>alex</t>
        </is>
      </c>
      <c r="C448" s="4" t="inlineStr">
        <is>
          <t>2024-12-15 12:26</t>
        </is>
      </c>
      <c r="D448" s="4" t="n">
        <v>113177.5</v>
      </c>
      <c r="E448" s="4" t="inlineStr">
        <is>
          <t>diesel</t>
        </is>
      </c>
      <c r="F448" s="4" t="n">
        <v>43.253</v>
      </c>
      <c r="G448" s="4" t="n">
        <v>1.453</v>
      </c>
      <c r="H448" s="4" t="n">
        <v>62.85</v>
      </c>
      <c r="I448" s="4" t="inlineStr">
        <is>
          <t>no</t>
        </is>
      </c>
      <c r="J448" s="4" t="inlineStr">
        <is>
          <t>Shell Leeds Road</t>
        </is>
      </c>
      <c r="K448" s="2">
        <f>IF(A448&lt;&gt;A447,"",IF(I447="no",D447,K447))</f>
        <v/>
      </c>
      <c r="L448" s="2">
        <f>IF(OR(A448&lt;&gt;A447,K448=""),"",IF(I447="no",F448,L447+F448))</f>
        <v/>
      </c>
      <c r="M448" s="2">
        <f>IF(AND(I448="no",K448&lt;&gt;""),D448-K448,"")</f>
        <v/>
      </c>
      <c r="N448" s="19">
        <f>IF(M448="","",L448/M448*100)</f>
        <v/>
      </c>
      <c r="O448" s="2">
        <f>A448&amp;"|"&amp;C448</f>
        <v/>
      </c>
    </row>
    <row r="449">
      <c r="A449" s="4" t="inlineStr">
        <is>
          <t>focus</t>
        </is>
      </c>
      <c r="B449" s="4" t="inlineStr">
        <is>
          <t>alex</t>
        </is>
      </c>
      <c r="C449" s="4" t="inlineStr">
        <is>
          <t>2025-01-05 12:26</t>
        </is>
      </c>
      <c r="D449" s="4" t="n">
        <v>113905.5</v>
      </c>
      <c r="E449" s="4" t="inlineStr">
        <is>
          <t>diesel</t>
        </is>
      </c>
      <c r="F449" s="4" t="n">
        <v>36.913</v>
      </c>
      <c r="G449" s="4" t="n">
        <v>1.453</v>
      </c>
      <c r="H449" s="4" t="n">
        <v>53.63</v>
      </c>
      <c r="I449" s="4" t="inlineStr">
        <is>
          <t>no</t>
        </is>
      </c>
      <c r="J449" s="4" t="inlineStr">
        <is>
          <t>Morrisons Leeds</t>
        </is>
      </c>
      <c r="K449" s="2">
        <f>IF(A449&lt;&gt;A448,"",IF(I448="no",D448,K448))</f>
        <v/>
      </c>
      <c r="L449" s="2">
        <f>IF(OR(A449&lt;&gt;A448,K449=""),"",IF(I448="no",F449,L448+F449))</f>
        <v/>
      </c>
      <c r="M449" s="2">
        <f>IF(AND(I449="no",K449&lt;&gt;""),D449-K449,"")</f>
        <v/>
      </c>
      <c r="N449" s="19">
        <f>IF(M449="","",L449/M449*100)</f>
        <v/>
      </c>
      <c r="O449" s="2">
        <f>A449&amp;"|"&amp;C449</f>
        <v/>
      </c>
    </row>
    <row r="450">
      <c r="A450" s="4" t="inlineStr">
        <is>
          <t>focus</t>
        </is>
      </c>
      <c r="B450" s="4" t="inlineStr">
        <is>
          <t>alex</t>
        </is>
      </c>
      <c r="C450" s="4" t="inlineStr">
        <is>
          <t>2025-01-23 11:40</t>
        </is>
      </c>
      <c r="D450" s="4" t="n">
        <v>114641.4</v>
      </c>
      <c r="E450" s="4" t="inlineStr">
        <is>
          <t>diesel</t>
        </is>
      </c>
      <c r="F450" s="4" t="n">
        <v>38.527</v>
      </c>
      <c r="G450" s="4" t="n">
        <v>1.447</v>
      </c>
      <c r="H450" s="4" t="n">
        <v>55.75</v>
      </c>
      <c r="I450" s="4" t="inlineStr">
        <is>
          <t>no</t>
        </is>
      </c>
      <c r="J450" s="4" t="inlineStr">
        <is>
          <t>Morrisons Leeds</t>
        </is>
      </c>
      <c r="K450" s="2">
        <f>IF(A450&lt;&gt;A449,"",IF(I449="no",D449,K449))</f>
        <v/>
      </c>
      <c r="L450" s="2">
        <f>IF(OR(A450&lt;&gt;A449,K450=""),"",IF(I449="no",F450,L449+F450))</f>
        <v/>
      </c>
      <c r="M450" s="2">
        <f>IF(AND(I450="no",K450&lt;&gt;""),D450-K450,"")</f>
        <v/>
      </c>
      <c r="N450" s="19">
        <f>IF(M450="","",L450/M450*100)</f>
        <v/>
      </c>
      <c r="O450" s="2">
        <f>A450&amp;"|"&amp;C450</f>
        <v/>
      </c>
    </row>
    <row r="451">
      <c r="A451" s="4" t="inlineStr">
        <is>
          <t>focus</t>
        </is>
      </c>
      <c r="B451" s="4" t="inlineStr">
        <is>
          <t>alex</t>
        </is>
      </c>
      <c r="C451" s="4" t="inlineStr">
        <is>
          <t>2025-02-09 13:39</t>
        </is>
      </c>
      <c r="D451" s="4" t="n">
        <v>115243.1</v>
      </c>
      <c r="E451" s="4" t="inlineStr">
        <is>
          <t>diesel</t>
        </is>
      </c>
      <c r="F451" s="4" t="n">
        <v>31.068</v>
      </c>
      <c r="G451" s="4" t="n">
        <v>1.452</v>
      </c>
      <c r="H451" s="4" t="n">
        <v>45.11</v>
      </c>
      <c r="I451" s="4" t="inlineStr">
        <is>
          <t>no</t>
        </is>
      </c>
      <c r="J451" s="4" t="inlineStr">
        <is>
          <t>Asda Killingbeck</t>
        </is>
      </c>
      <c r="K451" s="2">
        <f>IF(A451&lt;&gt;A450,"",IF(I450="no",D450,K450))</f>
        <v/>
      </c>
      <c r="L451" s="2">
        <f>IF(OR(A451&lt;&gt;A450,K451=""),"",IF(I450="no",F451,L450+F451))</f>
        <v/>
      </c>
      <c r="M451" s="2">
        <f>IF(AND(I451="no",K451&lt;&gt;""),D451-K451,"")</f>
        <v/>
      </c>
      <c r="N451" s="19">
        <f>IF(M451="","",L451/M451*100)</f>
        <v/>
      </c>
      <c r="O451" s="2">
        <f>A451&amp;"|"&amp;C451</f>
        <v/>
      </c>
    </row>
    <row r="452">
      <c r="A452" s="4" t="inlineStr">
        <is>
          <t>focus</t>
        </is>
      </c>
      <c r="B452" s="4" t="inlineStr">
        <is>
          <t>alex</t>
        </is>
      </c>
      <c r="C452" s="4" t="inlineStr">
        <is>
          <t>2025-02-27 10:19</t>
        </is>
      </c>
      <c r="D452" s="4" t="n">
        <v>115938</v>
      </c>
      <c r="E452" s="4" t="inlineStr">
        <is>
          <t>diesel</t>
        </is>
      </c>
      <c r="F452" s="4" t="n">
        <v>36.599</v>
      </c>
      <c r="G452" s="4" t="n">
        <v>1.465</v>
      </c>
      <c r="H452" s="4" t="n">
        <v>53.62</v>
      </c>
      <c r="I452" s="4" t="inlineStr">
        <is>
          <t>no</t>
        </is>
      </c>
      <c r="J452" s="4" t="inlineStr">
        <is>
          <t>Asda Killingbeck</t>
        </is>
      </c>
      <c r="K452" s="2">
        <f>IF(A452&lt;&gt;A451,"",IF(I451="no",D451,K451))</f>
        <v/>
      </c>
      <c r="L452" s="2">
        <f>IF(OR(A452&lt;&gt;A451,K452=""),"",IF(I451="no",F452,L451+F452))</f>
        <v/>
      </c>
      <c r="M452" s="2">
        <f>IF(AND(I452="no",K452&lt;&gt;""),D452-K452,"")</f>
        <v/>
      </c>
      <c r="N452" s="19">
        <f>IF(M452="","",L452/M452*100)</f>
        <v/>
      </c>
      <c r="O452" s="2">
        <f>A452&amp;"|"&amp;C452</f>
        <v/>
      </c>
    </row>
    <row r="453">
      <c r="A453" s="4" t="inlineStr">
        <is>
          <t>focus</t>
        </is>
      </c>
      <c r="B453" s="4" t="inlineStr">
        <is>
          <t>alex</t>
        </is>
      </c>
      <c r="C453" s="4" t="inlineStr">
        <is>
          <t>2025-03-16 09:42</t>
        </is>
      </c>
      <c r="D453" s="4" t="n">
        <v>116543</v>
      </c>
      <c r="E453" s="4" t="inlineStr">
        <is>
          <t>diesel</t>
        </is>
      </c>
      <c r="F453" s="4" t="n">
        <v>31.109</v>
      </c>
      <c r="G453" s="4" t="n">
        <v>1.446</v>
      </c>
      <c r="H453" s="4" t="n">
        <v>44.98</v>
      </c>
      <c r="I453" s="4" t="inlineStr">
        <is>
          <t>no</t>
        </is>
      </c>
      <c r="J453" s="4" t="inlineStr">
        <is>
          <t>Morrisons Leeds</t>
        </is>
      </c>
      <c r="K453" s="2">
        <f>IF(A453&lt;&gt;A452,"",IF(I452="no",D452,K452))</f>
        <v/>
      </c>
      <c r="L453" s="2">
        <f>IF(OR(A453&lt;&gt;A452,K453=""),"",IF(I452="no",F453,L452+F453))</f>
        <v/>
      </c>
      <c r="M453" s="2">
        <f>IF(AND(I453="no",K453&lt;&gt;""),D453-K453,"")</f>
        <v/>
      </c>
      <c r="N453" s="19">
        <f>IF(M453="","",L453/M453*100)</f>
        <v/>
      </c>
      <c r="O453" s="2">
        <f>A453&amp;"|"&amp;C453</f>
        <v/>
      </c>
    </row>
    <row r="454">
      <c r="A454" s="4" t="inlineStr">
        <is>
          <t>focus</t>
        </is>
      </c>
      <c r="B454" s="4" t="inlineStr">
        <is>
          <t>alex</t>
        </is>
      </c>
      <c r="C454" s="4" t="inlineStr">
        <is>
          <t>2025-04-03 09:10</t>
        </is>
      </c>
      <c r="D454" s="4" t="n">
        <v>117242.1</v>
      </c>
      <c r="E454" s="4" t="inlineStr">
        <is>
          <t>diesel</t>
        </is>
      </c>
      <c r="F454" s="4" t="n">
        <v>35.657</v>
      </c>
      <c r="G454" s="4" t="n">
        <v>1.444</v>
      </c>
      <c r="H454" s="4" t="n">
        <v>51.49</v>
      </c>
      <c r="I454" s="4" t="inlineStr">
        <is>
          <t>no</t>
        </is>
      </c>
      <c r="J454" s="4" t="inlineStr">
        <is>
          <t>Morrisons Leeds</t>
        </is>
      </c>
      <c r="K454" s="2">
        <f>IF(A454&lt;&gt;A453,"",IF(I453="no",D453,K453))</f>
        <v/>
      </c>
      <c r="L454" s="2">
        <f>IF(OR(A454&lt;&gt;A453,K454=""),"",IF(I453="no",F454,L453+F454))</f>
        <v/>
      </c>
      <c r="M454" s="2">
        <f>IF(AND(I454="no",K454&lt;&gt;""),D454-K454,"")</f>
        <v/>
      </c>
      <c r="N454" s="19">
        <f>IF(M454="","",L454/M454*100)</f>
        <v/>
      </c>
      <c r="O454" s="2">
        <f>A454&amp;"|"&amp;C454</f>
        <v/>
      </c>
    </row>
    <row r="455">
      <c r="A455" s="4" t="inlineStr">
        <is>
          <t>focus</t>
        </is>
      </c>
      <c r="B455" s="4" t="inlineStr">
        <is>
          <t>alex</t>
        </is>
      </c>
      <c r="C455" s="4" t="inlineStr">
        <is>
          <t>2025-04-21 12:41</t>
        </is>
      </c>
      <c r="D455" s="4" t="n">
        <v>117979.2</v>
      </c>
      <c r="E455" s="4" t="inlineStr">
        <is>
          <t>diesel</t>
        </is>
      </c>
      <c r="F455" s="4" t="n">
        <v>19.833</v>
      </c>
      <c r="G455" s="4" t="n">
        <v>1.439</v>
      </c>
      <c r="H455" s="4" t="n">
        <v>28.54</v>
      </c>
      <c r="I455" s="4" t="inlineStr">
        <is>
          <t>yes</t>
        </is>
      </c>
      <c r="J455" s="4" t="inlineStr">
        <is>
          <t>Shell Leeds Road</t>
        </is>
      </c>
      <c r="K455" s="2">
        <f>IF(A455&lt;&gt;A454,"",IF(I454="no",D454,K454))</f>
        <v/>
      </c>
      <c r="L455" s="2">
        <f>IF(OR(A455&lt;&gt;A454,K455=""),"",IF(I454="no",F455,L454+F455))</f>
        <v/>
      </c>
      <c r="M455" s="2">
        <f>IF(AND(I455="no",K455&lt;&gt;""),D455-K455,"")</f>
        <v/>
      </c>
      <c r="N455" s="19">
        <f>IF(M455="","",L455/M455*100)</f>
        <v/>
      </c>
      <c r="O455" s="2">
        <f>A455&amp;"|"&amp;C455</f>
        <v/>
      </c>
    </row>
    <row r="456">
      <c r="A456" s="4" t="inlineStr">
        <is>
          <t>focus</t>
        </is>
      </c>
      <c r="B456" s="4" t="inlineStr">
        <is>
          <t>alex</t>
        </is>
      </c>
      <c r="C456" s="4" t="inlineStr">
        <is>
          <t>2025-04-30 18:56</t>
        </is>
      </c>
      <c r="D456" s="4" t="n">
        <v>118397.5</v>
      </c>
      <c r="E456" s="4" t="inlineStr">
        <is>
          <t>diesel</t>
        </is>
      </c>
      <c r="F456" s="4" t="n">
        <v>38.724</v>
      </c>
      <c r="G456" s="4" t="n">
        <v>1.454</v>
      </c>
      <c r="H456" s="4" t="n">
        <v>56.3</v>
      </c>
      <c r="I456" s="4" t="inlineStr">
        <is>
          <t>no</t>
        </is>
      </c>
      <c r="J456" s="4" t="inlineStr">
        <is>
          <t>Shell Leeds Road</t>
        </is>
      </c>
      <c r="K456" s="2">
        <f>IF(A456&lt;&gt;A455,"",IF(I455="no",D455,K455))</f>
        <v/>
      </c>
      <c r="L456" s="2">
        <f>IF(OR(A456&lt;&gt;A455,K456=""),"",IF(I455="no",F456,L455+F456))</f>
        <v/>
      </c>
      <c r="M456" s="2">
        <f>IF(AND(I456="no",K456&lt;&gt;""),D456-K456,"")</f>
        <v/>
      </c>
      <c r="N456" s="19">
        <f>IF(M456="","",L456/M456*100)</f>
        <v/>
      </c>
      <c r="O456" s="2">
        <f>A456&amp;"|"&amp;C456</f>
        <v/>
      </c>
    </row>
    <row r="457">
      <c r="A457" s="4" t="inlineStr">
        <is>
          <t>focus</t>
        </is>
      </c>
      <c r="B457" s="4" t="inlineStr">
        <is>
          <t>alex</t>
        </is>
      </c>
      <c r="C457" s="4" t="inlineStr">
        <is>
          <t>2025-05-24 19:29</t>
        </is>
      </c>
      <c r="D457" s="4" t="n">
        <v>119140.3</v>
      </c>
      <c r="E457" s="4" t="inlineStr">
        <is>
          <t>diesel</t>
        </is>
      </c>
      <c r="F457" s="4" t="n">
        <v>38.031</v>
      </c>
      <c r="G457" s="4" t="n">
        <v>1.456</v>
      </c>
      <c r="H457" s="4" t="n">
        <v>55.37</v>
      </c>
      <c r="I457" s="4" t="inlineStr">
        <is>
          <t>no</t>
        </is>
      </c>
      <c r="J457" s="4" t="inlineStr">
        <is>
          <t>Asda Killingbeck</t>
        </is>
      </c>
      <c r="K457" s="2">
        <f>IF(A457&lt;&gt;A456,"",IF(I456="no",D456,K456))</f>
        <v/>
      </c>
      <c r="L457" s="2">
        <f>IF(OR(A457&lt;&gt;A456,K457=""),"",IF(I456="no",F457,L456+F457))</f>
        <v/>
      </c>
      <c r="M457" s="2">
        <f>IF(AND(I457="no",K457&lt;&gt;""),D457-K457,"")</f>
        <v/>
      </c>
      <c r="N457" s="19">
        <f>IF(M457="","",L457/M457*100)</f>
        <v/>
      </c>
      <c r="O457" s="2">
        <f>A457&amp;"|"&amp;C457</f>
        <v/>
      </c>
    </row>
    <row r="458">
      <c r="A458" s="4" t="inlineStr">
        <is>
          <t>focus</t>
        </is>
      </c>
      <c r="B458" s="4" t="inlineStr">
        <is>
          <t>alex</t>
        </is>
      </c>
      <c r="C458" s="4" t="inlineStr">
        <is>
          <t>2025-06-12 18:45</t>
        </is>
      </c>
      <c r="D458" s="4" t="n">
        <v>119784.4</v>
      </c>
      <c r="E458" s="4" t="inlineStr">
        <is>
          <t>diesel</t>
        </is>
      </c>
      <c r="F458" s="4" t="n">
        <v>21.859</v>
      </c>
      <c r="G458" s="4" t="n">
        <v>1.434</v>
      </c>
      <c r="H458" s="4" t="n">
        <v>31.35</v>
      </c>
      <c r="I458" s="4" t="inlineStr">
        <is>
          <t>yes</t>
        </is>
      </c>
      <c r="J458" s="4" t="inlineStr">
        <is>
          <t>Morrisons Leeds</t>
        </is>
      </c>
      <c r="K458" s="2">
        <f>IF(A458&lt;&gt;A457,"",IF(I457="no",D457,K457))</f>
        <v/>
      </c>
      <c r="L458" s="2">
        <f>IF(OR(A458&lt;&gt;A457,K458=""),"",IF(I457="no",F458,L457+F458))</f>
        <v/>
      </c>
      <c r="M458" s="2">
        <f>IF(AND(I458="no",K458&lt;&gt;""),D458-K458,"")</f>
        <v/>
      </c>
      <c r="N458" s="19">
        <f>IF(M458="","",L458/M458*100)</f>
        <v/>
      </c>
      <c r="O458" s="2">
        <f>A458&amp;"|"&amp;C458</f>
        <v/>
      </c>
    </row>
    <row r="459">
      <c r="A459" s="4" t="inlineStr">
        <is>
          <t>focus</t>
        </is>
      </c>
      <c r="B459" s="4" t="inlineStr">
        <is>
          <t>alex</t>
        </is>
      </c>
      <c r="C459" s="4" t="inlineStr">
        <is>
          <t>2025-06-22 14:42</t>
        </is>
      </c>
      <c r="D459" s="4" t="n">
        <v>120202.2</v>
      </c>
      <c r="E459" s="4" t="inlineStr">
        <is>
          <t>diesel</t>
        </is>
      </c>
      <c r="F459" s="4" t="n">
        <v>33.026</v>
      </c>
      <c r="G459" s="4" t="n">
        <v>1.441</v>
      </c>
      <c r="H459" s="4" t="n">
        <v>47.59</v>
      </c>
      <c r="I459" s="4" t="inlineStr">
        <is>
          <t>no</t>
        </is>
      </c>
      <c r="J459" s="4" t="inlineStr">
        <is>
          <t>Asda Killingbeck</t>
        </is>
      </c>
      <c r="K459" s="2">
        <f>IF(A459&lt;&gt;A458,"",IF(I458="no",D458,K458))</f>
        <v/>
      </c>
      <c r="L459" s="2">
        <f>IF(OR(A459&lt;&gt;A458,K459=""),"",IF(I458="no",F459,L458+F459))</f>
        <v/>
      </c>
      <c r="M459" s="2">
        <f>IF(AND(I459="no",K459&lt;&gt;""),D459-K459,"")</f>
        <v/>
      </c>
      <c r="N459" s="19">
        <f>IF(M459="","",L459/M459*100)</f>
        <v/>
      </c>
      <c r="O459" s="2">
        <f>A459&amp;"|"&amp;C459</f>
        <v/>
      </c>
    </row>
    <row r="460">
      <c r="A460" s="4" t="inlineStr">
        <is>
          <t>focus</t>
        </is>
      </c>
      <c r="B460" s="4" t="inlineStr">
        <is>
          <t>alex</t>
        </is>
      </c>
      <c r="C460" s="4" t="inlineStr">
        <is>
          <t>2025-07-10 16:38</t>
        </is>
      </c>
      <c r="D460" s="4" t="n">
        <v>120861.3</v>
      </c>
      <c r="E460" s="4" t="inlineStr">
        <is>
          <t>diesel</t>
        </is>
      </c>
      <c r="F460" s="4" t="n">
        <v>34.107</v>
      </c>
      <c r="G460" s="4" t="n">
        <v>1.44</v>
      </c>
      <c r="H460" s="4" t="n">
        <v>49.11</v>
      </c>
      <c r="I460" s="4" t="inlineStr">
        <is>
          <t>no</t>
        </is>
      </c>
      <c r="J460" s="4" t="inlineStr">
        <is>
          <t>Asda Killingbeck</t>
        </is>
      </c>
      <c r="K460" s="2">
        <f>IF(A460&lt;&gt;A459,"",IF(I459="no",D459,K459))</f>
        <v/>
      </c>
      <c r="L460" s="2">
        <f>IF(OR(A460&lt;&gt;A459,K460=""),"",IF(I459="no",F460,L459+F460))</f>
        <v/>
      </c>
      <c r="M460" s="2">
        <f>IF(AND(I460="no",K460&lt;&gt;""),D460-K460,"")</f>
        <v/>
      </c>
      <c r="N460" s="19">
        <f>IF(M460="","",L460/M460*100)</f>
        <v/>
      </c>
      <c r="O460" s="2">
        <f>A460&amp;"|"&amp;C460</f>
        <v/>
      </c>
    </row>
    <row r="461">
      <c r="A461" s="4" t="inlineStr">
        <is>
          <t>focus</t>
        </is>
      </c>
      <c r="B461" s="4" t="inlineStr">
        <is>
          <t>alex</t>
        </is>
      </c>
      <c r="C461" s="4" t="inlineStr">
        <is>
          <t>2025-07-25 18:03</t>
        </is>
      </c>
      <c r="D461" s="4" t="n">
        <v>121490.7</v>
      </c>
      <c r="E461" s="4" t="inlineStr">
        <is>
          <t>diesel</t>
        </is>
      </c>
      <c r="F461" s="4" t="n">
        <v>32.348</v>
      </c>
      <c r="G461" s="4" t="n">
        <v>1.427</v>
      </c>
      <c r="H461" s="4" t="n">
        <v>46.16</v>
      </c>
      <c r="I461" s="4" t="inlineStr">
        <is>
          <t>no</t>
        </is>
      </c>
      <c r="J461" s="4" t="inlineStr">
        <is>
          <t>Morrisons Leeds</t>
        </is>
      </c>
      <c r="K461" s="2">
        <f>IF(A461&lt;&gt;A460,"",IF(I460="no",D460,K460))</f>
        <v/>
      </c>
      <c r="L461" s="2">
        <f>IF(OR(A461&lt;&gt;A460,K461=""),"",IF(I460="no",F461,L460+F461))</f>
        <v/>
      </c>
      <c r="M461" s="2">
        <f>IF(AND(I461="no",K461&lt;&gt;""),D461-K461,"")</f>
        <v/>
      </c>
      <c r="N461" s="19">
        <f>IF(M461="","",L461/M461*100)</f>
        <v/>
      </c>
      <c r="O461" s="2">
        <f>A461&amp;"|"&amp;C461</f>
        <v/>
      </c>
    </row>
    <row r="462">
      <c r="A462" s="4" t="inlineStr">
        <is>
          <t>focus</t>
        </is>
      </c>
      <c r="B462" s="4" t="inlineStr">
        <is>
          <t>alex</t>
        </is>
      </c>
      <c r="C462" s="4" t="inlineStr">
        <is>
          <t>2025-08-15 16:28</t>
        </is>
      </c>
      <c r="D462" s="4" t="n">
        <v>122272.7</v>
      </c>
      <c r="E462" s="4" t="inlineStr">
        <is>
          <t>diesel</t>
        </is>
      </c>
      <c r="F462" s="4" t="n">
        <v>40.727</v>
      </c>
      <c r="G462" s="4" t="n">
        <v>1.434</v>
      </c>
      <c r="H462" s="4" t="n">
        <v>58.4</v>
      </c>
      <c r="I462" s="4" t="inlineStr">
        <is>
          <t>no</t>
        </is>
      </c>
      <c r="J462" s="4" t="inlineStr">
        <is>
          <t>Morrisons Leeds</t>
        </is>
      </c>
      <c r="K462" s="2">
        <f>IF(A462&lt;&gt;A461,"",IF(I461="no",D461,K461))</f>
        <v/>
      </c>
      <c r="L462" s="2">
        <f>IF(OR(A462&lt;&gt;A461,K462=""),"",IF(I461="no",F462,L461+F462))</f>
        <v/>
      </c>
      <c r="M462" s="2">
        <f>IF(AND(I462="no",K462&lt;&gt;""),D462-K462,"")</f>
        <v/>
      </c>
      <c r="N462" s="19">
        <f>IF(M462="","",L462/M462*100)</f>
        <v/>
      </c>
      <c r="O462" s="2">
        <f>A462&amp;"|"&amp;C462</f>
        <v/>
      </c>
    </row>
    <row r="463">
      <c r="A463" s="4" t="inlineStr">
        <is>
          <t>focus</t>
        </is>
      </c>
      <c r="B463" s="4" t="inlineStr">
        <is>
          <t>alex</t>
        </is>
      </c>
      <c r="C463" s="4" t="inlineStr">
        <is>
          <t>2025-09-08 20:00</t>
        </is>
      </c>
      <c r="D463" s="4" t="n">
        <v>123158.2</v>
      </c>
      <c r="E463" s="4" t="inlineStr">
        <is>
          <t>diesel</t>
        </is>
      </c>
      <c r="F463" s="4" t="n">
        <v>32.876</v>
      </c>
      <c r="G463" s="4" t="n">
        <v>1.422</v>
      </c>
      <c r="H463" s="4" t="n">
        <v>46.75</v>
      </c>
      <c r="I463" s="4" t="inlineStr">
        <is>
          <t>yes</t>
        </is>
      </c>
      <c r="J463" s="4" t="inlineStr">
        <is>
          <t>Shell Leeds Road</t>
        </is>
      </c>
      <c r="K463" s="2">
        <f>IF(A463&lt;&gt;A462,"",IF(I462="no",D462,K462))</f>
        <v/>
      </c>
      <c r="L463" s="2">
        <f>IF(OR(A463&lt;&gt;A462,K463=""),"",IF(I462="no",F463,L462+F463))</f>
        <v/>
      </c>
      <c r="M463" s="2">
        <f>IF(AND(I463="no",K463&lt;&gt;""),D463-K463,"")</f>
        <v/>
      </c>
      <c r="N463" s="19">
        <f>IF(M463="","",L463/M463*100)</f>
        <v/>
      </c>
      <c r="O463" s="2">
        <f>A463&amp;"|"&amp;C463</f>
        <v/>
      </c>
    </row>
    <row r="464">
      <c r="A464" s="4" t="inlineStr">
        <is>
          <t>focus</t>
        </is>
      </c>
      <c r="B464" s="4" t="inlineStr">
        <is>
          <t>alex</t>
        </is>
      </c>
      <c r="C464" s="4" t="inlineStr">
        <is>
          <t>2025-09-24 10:19</t>
        </is>
      </c>
      <c r="D464" s="4" t="n">
        <v>123776.7</v>
      </c>
      <c r="E464" s="4" t="inlineStr">
        <is>
          <t>diesel</t>
        </is>
      </c>
      <c r="F464" s="4" t="n">
        <v>45.721</v>
      </c>
      <c r="G464" s="4" t="n">
        <v>1.436</v>
      </c>
      <c r="H464" s="4" t="n">
        <v>65.66</v>
      </c>
      <c r="I464" s="4" t="inlineStr">
        <is>
          <t>no</t>
        </is>
      </c>
      <c r="J464" s="4" t="inlineStr">
        <is>
          <t>Asda Killingbeck</t>
        </is>
      </c>
      <c r="K464" s="2">
        <f>IF(A464&lt;&gt;A463,"",IF(I463="no",D463,K463))</f>
        <v/>
      </c>
      <c r="L464" s="2">
        <f>IF(OR(A464&lt;&gt;A463,K464=""),"",IF(I463="no",F464,L463+F464))</f>
        <v/>
      </c>
      <c r="M464" s="2">
        <f>IF(AND(I464="no",K464&lt;&gt;""),D464-K464,"")</f>
        <v/>
      </c>
      <c r="N464" s="19">
        <f>IF(M464="","",L464/M464*100)</f>
        <v/>
      </c>
      <c r="O464" s="2">
        <f>A464&amp;"|"&amp;C464</f>
        <v/>
      </c>
    </row>
    <row r="465">
      <c r="A465" s="4" t="inlineStr">
        <is>
          <t>focus</t>
        </is>
      </c>
      <c r="B465" s="4" t="inlineStr">
        <is>
          <t>alex</t>
        </is>
      </c>
      <c r="C465" s="4" t="inlineStr">
        <is>
          <t>2025-10-11 08:02</t>
        </is>
      </c>
      <c r="D465" s="4" t="n">
        <v>124464.8</v>
      </c>
      <c r="E465" s="4" t="inlineStr">
        <is>
          <t>diesel</t>
        </is>
      </c>
      <c r="F465" s="4" t="n">
        <v>35.569</v>
      </c>
      <c r="G465" s="4" t="n">
        <v>1.425</v>
      </c>
      <c r="H465" s="4" t="n">
        <v>50.69</v>
      </c>
      <c r="I465" s="4" t="inlineStr">
        <is>
          <t>no</t>
        </is>
      </c>
      <c r="J465" s="4" t="inlineStr">
        <is>
          <t>Morrisons Leeds</t>
        </is>
      </c>
      <c r="K465" s="2">
        <f>IF(A465&lt;&gt;A464,"",IF(I464="no",D464,K464))</f>
        <v/>
      </c>
      <c r="L465" s="2">
        <f>IF(OR(A465&lt;&gt;A464,K465=""),"",IF(I464="no",F465,L464+F465))</f>
        <v/>
      </c>
      <c r="M465" s="2">
        <f>IF(AND(I465="no",K465&lt;&gt;""),D465-K465,"")</f>
        <v/>
      </c>
      <c r="N465" s="19">
        <f>IF(M465="","",L465/M465*100)</f>
        <v/>
      </c>
      <c r="O465" s="2">
        <f>A465&amp;"|"&amp;C465</f>
        <v/>
      </c>
    </row>
    <row r="466">
      <c r="A466" s="4" t="inlineStr">
        <is>
          <t>focus</t>
        </is>
      </c>
      <c r="B466" s="4" t="inlineStr">
        <is>
          <t>alex</t>
        </is>
      </c>
      <c r="C466" s="4" t="inlineStr">
        <is>
          <t>2025-11-04 20:04</t>
        </is>
      </c>
      <c r="D466" s="4" t="n">
        <v>125330.6</v>
      </c>
      <c r="E466" s="4" t="inlineStr">
        <is>
          <t>diesel</t>
        </is>
      </c>
      <c r="F466" s="4" t="n">
        <v>43.872</v>
      </c>
      <c r="G466" s="4" t="n">
        <v>1.412</v>
      </c>
      <c r="H466" s="4" t="n">
        <v>61.95</v>
      </c>
      <c r="I466" s="4" t="inlineStr">
        <is>
          <t>no</t>
        </is>
      </c>
      <c r="J466" s="4" t="inlineStr">
        <is>
          <t>Asda Killingbeck</t>
        </is>
      </c>
      <c r="K466" s="2">
        <f>IF(A466&lt;&gt;A465,"",IF(I465="no",D465,K465))</f>
        <v/>
      </c>
      <c r="L466" s="2">
        <f>IF(OR(A466&lt;&gt;A465,K466=""),"",IF(I465="no",F466,L465+F466))</f>
        <v/>
      </c>
      <c r="M466" s="2">
        <f>IF(AND(I466="no",K466&lt;&gt;""),D466-K466,"")</f>
        <v/>
      </c>
      <c r="N466" s="19">
        <f>IF(M466="","",L466/M466*100)</f>
        <v/>
      </c>
      <c r="O466" s="2">
        <f>A466&amp;"|"&amp;C466</f>
        <v/>
      </c>
    </row>
    <row r="467">
      <c r="A467" s="4" t="inlineStr">
        <is>
          <t>focus</t>
        </is>
      </c>
      <c r="B467" s="4" t="inlineStr">
        <is>
          <t>alex</t>
        </is>
      </c>
      <c r="C467" s="4" t="inlineStr">
        <is>
          <t>2025-11-24 07:51</t>
        </is>
      </c>
      <c r="D467" s="4" t="n">
        <v>126023.3</v>
      </c>
      <c r="E467" s="4" t="inlineStr">
        <is>
          <t>diesel</t>
        </is>
      </c>
      <c r="F467" s="4" t="n">
        <v>37.198</v>
      </c>
      <c r="G467" s="4" t="n">
        <v>1.42</v>
      </c>
      <c r="H467" s="4" t="n">
        <v>52.82</v>
      </c>
      <c r="I467" s="4" t="inlineStr">
        <is>
          <t>no</t>
        </is>
      </c>
      <c r="J467" s="4" t="inlineStr">
        <is>
          <t>Asda Killingbeck</t>
        </is>
      </c>
      <c r="K467" s="2">
        <f>IF(A467&lt;&gt;A466,"",IF(I466="no",D466,K466))</f>
        <v/>
      </c>
      <c r="L467" s="2">
        <f>IF(OR(A467&lt;&gt;A466,K467=""),"",IF(I466="no",F467,L466+F467))</f>
        <v/>
      </c>
      <c r="M467" s="2">
        <f>IF(AND(I467="no",K467&lt;&gt;""),D467-K467,"")</f>
        <v/>
      </c>
      <c r="N467" s="19">
        <f>IF(M467="","",L467/M467*100)</f>
        <v/>
      </c>
      <c r="O467" s="2">
        <f>A467&amp;"|"&amp;C467</f>
        <v/>
      </c>
    </row>
    <row r="468">
      <c r="A468" s="4" t="inlineStr">
        <is>
          <t>focus</t>
        </is>
      </c>
      <c r="B468" s="4" t="inlineStr">
        <is>
          <t>alex</t>
        </is>
      </c>
      <c r="C468" s="4" t="inlineStr">
        <is>
          <t>2025-12-15 12:08</t>
        </is>
      </c>
      <c r="D468" s="4" t="n">
        <v>126711.5</v>
      </c>
      <c r="E468" s="4" t="inlineStr">
        <is>
          <t>diesel</t>
        </is>
      </c>
      <c r="F468" s="4" t="n">
        <v>34.791</v>
      </c>
      <c r="G468" s="4" t="n">
        <v>1.423</v>
      </c>
      <c r="H468" s="4" t="n">
        <v>49.51</v>
      </c>
      <c r="I468" s="4" t="inlineStr">
        <is>
          <t>no</t>
        </is>
      </c>
      <c r="J468" s="4" t="inlineStr">
        <is>
          <t>Asda Killingbeck</t>
        </is>
      </c>
      <c r="K468" s="2">
        <f>IF(A468&lt;&gt;A467,"",IF(I467="no",D467,K467))</f>
        <v/>
      </c>
      <c r="L468" s="2">
        <f>IF(OR(A468&lt;&gt;A467,K468=""),"",IF(I467="no",F468,L467+F468))</f>
        <v/>
      </c>
      <c r="M468" s="2">
        <f>IF(AND(I468="no",K468&lt;&gt;""),D468-K468,"")</f>
        <v/>
      </c>
      <c r="N468" s="19">
        <f>IF(M468="","",L468/M468*100)</f>
        <v/>
      </c>
      <c r="O468" s="2">
        <f>A468&amp;"|"&amp;C468</f>
        <v/>
      </c>
    </row>
    <row r="469">
      <c r="A469" s="4" t="inlineStr">
        <is>
          <t>focus</t>
        </is>
      </c>
      <c r="B469" s="4" t="inlineStr">
        <is>
          <t>alex</t>
        </is>
      </c>
      <c r="C469" s="4" t="inlineStr">
        <is>
          <t>2026-01-07 10:24</t>
        </is>
      </c>
      <c r="D469" s="4" t="n">
        <v>127557.4</v>
      </c>
      <c r="E469" s="4" t="inlineStr">
        <is>
          <t>diesel</t>
        </is>
      </c>
      <c r="F469" s="4" t="n">
        <v>43.489</v>
      </c>
      <c r="G469" s="4" t="n">
        <v>1.422</v>
      </c>
      <c r="H469" s="4" t="n">
        <v>61.84</v>
      </c>
      <c r="I469" s="4" t="inlineStr">
        <is>
          <t>no</t>
        </is>
      </c>
      <c r="J469" s="4" t="inlineStr">
        <is>
          <t>Morrisons Leeds</t>
        </is>
      </c>
      <c r="K469" s="2">
        <f>IF(A469&lt;&gt;A468,"",IF(I468="no",D468,K468))</f>
        <v/>
      </c>
      <c r="L469" s="2">
        <f>IF(OR(A469&lt;&gt;A468,K469=""),"",IF(I468="no",F469,L468+F469))</f>
        <v/>
      </c>
      <c r="M469" s="2">
        <f>IF(AND(I469="no",K469&lt;&gt;""),D469-K469,"")</f>
        <v/>
      </c>
      <c r="N469" s="19">
        <f>IF(M469="","",L469/M469*100)</f>
        <v/>
      </c>
      <c r="O469" s="2">
        <f>A469&amp;"|"&amp;C469</f>
        <v/>
      </c>
    </row>
    <row r="470">
      <c r="A470" s="4" t="inlineStr">
        <is>
          <t>focus</t>
        </is>
      </c>
      <c r="B470" s="4" t="inlineStr">
        <is>
          <t>alex</t>
        </is>
      </c>
      <c r="C470" s="4" t="inlineStr">
        <is>
          <t>2026-01-25 18:26</t>
        </is>
      </c>
      <c r="D470" s="4" t="n">
        <v>128222.8</v>
      </c>
      <c r="E470" s="4" t="inlineStr">
        <is>
          <t>diesel</t>
        </is>
      </c>
      <c r="F470" s="4" t="n">
        <v>14.431</v>
      </c>
      <c r="G470" s="4" t="n">
        <v>1.414</v>
      </c>
      <c r="H470" s="4" t="n">
        <v>20.41</v>
      </c>
      <c r="I470" s="4" t="inlineStr">
        <is>
          <t>yes</t>
        </is>
      </c>
      <c r="J470" s="4" t="inlineStr">
        <is>
          <t>Asda Killingbeck</t>
        </is>
      </c>
      <c r="K470" s="2">
        <f>IF(A470&lt;&gt;A469,"",IF(I469="no",D469,K469))</f>
        <v/>
      </c>
      <c r="L470" s="2">
        <f>IF(OR(A470&lt;&gt;A469,K470=""),"",IF(I469="no",F470,L469+F470))</f>
        <v/>
      </c>
      <c r="M470" s="2">
        <f>IF(AND(I470="no",K470&lt;&gt;""),D470-K470,"")</f>
        <v/>
      </c>
      <c r="N470" s="19">
        <f>IF(M470="","",L470/M470*100)</f>
        <v/>
      </c>
      <c r="O470" s="2">
        <f>A470&amp;"|"&amp;C470</f>
        <v/>
      </c>
    </row>
    <row r="471">
      <c r="A471" s="4" t="inlineStr">
        <is>
          <t>focus</t>
        </is>
      </c>
      <c r="B471" s="4" t="inlineStr">
        <is>
          <t>alex</t>
        </is>
      </c>
      <c r="C471" s="4" t="inlineStr">
        <is>
          <t>2026-01-31 15:27</t>
        </is>
      </c>
      <c r="D471" s="4" t="n">
        <v>128513.5</v>
      </c>
      <c r="E471" s="4" t="inlineStr">
        <is>
          <t>diesel</t>
        </is>
      </c>
      <c r="F471" s="4" t="n">
        <v>34.501</v>
      </c>
      <c r="G471" s="4" t="n">
        <v>1.413</v>
      </c>
      <c r="H471" s="4" t="n">
        <v>48.75</v>
      </c>
      <c r="I471" s="4" t="inlineStr">
        <is>
          <t>no</t>
        </is>
      </c>
      <c r="J471" s="4" t="inlineStr">
        <is>
          <t>Morrisons Leeds</t>
        </is>
      </c>
      <c r="K471" s="2">
        <f>IF(A471&lt;&gt;A470,"",IF(I470="no",D470,K470))</f>
        <v/>
      </c>
      <c r="L471" s="2">
        <f>IF(OR(A471&lt;&gt;A470,K471=""),"",IF(I470="no",F471,L470+F471))</f>
        <v/>
      </c>
      <c r="M471" s="2">
        <f>IF(AND(I471="no",K471&lt;&gt;""),D471-K471,"")</f>
        <v/>
      </c>
      <c r="N471" s="19">
        <f>IF(M471="","",L471/M471*100)</f>
        <v/>
      </c>
      <c r="O471" s="2">
        <f>A471&amp;"|"&amp;C471</f>
        <v/>
      </c>
    </row>
    <row r="472">
      <c r="A472" s="4" t="inlineStr">
        <is>
          <t>focus</t>
        </is>
      </c>
      <c r="B472" s="4" t="inlineStr">
        <is>
          <t>alex</t>
        </is>
      </c>
      <c r="C472" s="4" t="inlineStr">
        <is>
          <t>2026-02-17 09:10</t>
        </is>
      </c>
      <c r="D472" s="4" t="n">
        <v>129187.8</v>
      </c>
      <c r="E472" s="4" t="inlineStr">
        <is>
          <t>diesel</t>
        </is>
      </c>
      <c r="F472" s="4" t="n">
        <v>35.042</v>
      </c>
      <c r="G472" s="4" t="n">
        <v>1.435</v>
      </c>
      <c r="H472" s="4" t="n">
        <v>50.29</v>
      </c>
      <c r="I472" s="4" t="inlineStr">
        <is>
          <t>no</t>
        </is>
      </c>
      <c r="J472" s="4" t="inlineStr">
        <is>
          <t>Shell Leeds Road</t>
        </is>
      </c>
      <c r="K472" s="2">
        <f>IF(A472&lt;&gt;A471,"",IF(I471="no",D471,K471))</f>
        <v/>
      </c>
      <c r="L472" s="2">
        <f>IF(OR(A472&lt;&gt;A471,K472=""),"",IF(I471="no",F472,L471+F472))</f>
        <v/>
      </c>
      <c r="M472" s="2">
        <f>IF(AND(I472="no",K472&lt;&gt;""),D472-K472,"")</f>
        <v/>
      </c>
      <c r="N472" s="19">
        <f>IF(M472="","",L472/M472*100)</f>
        <v/>
      </c>
      <c r="O472" s="2">
        <f>A472&amp;"|"&amp;C472</f>
        <v/>
      </c>
    </row>
    <row r="473">
      <c r="A473" s="4" t="inlineStr">
        <is>
          <t>focus</t>
        </is>
      </c>
      <c r="B473" s="4" t="inlineStr">
        <is>
          <t>alex</t>
        </is>
      </c>
      <c r="C473" s="4" t="inlineStr">
        <is>
          <t>2026-03-11 19:50</t>
        </is>
      </c>
      <c r="D473" s="4" t="n">
        <v>129981.1</v>
      </c>
      <c r="E473" s="4" t="inlineStr">
        <is>
          <t>diesel</t>
        </is>
      </c>
      <c r="F473" s="4" t="n">
        <v>39.767</v>
      </c>
      <c r="G473" s="4" t="n">
        <v>1.439</v>
      </c>
      <c r="H473" s="4" t="n">
        <v>57.22</v>
      </c>
      <c r="I473" s="4" t="inlineStr">
        <is>
          <t>no</t>
        </is>
      </c>
      <c r="J473" s="4" t="inlineStr">
        <is>
          <t>Asda Killingbeck</t>
        </is>
      </c>
      <c r="K473" s="2">
        <f>IF(A473&lt;&gt;A472,"",IF(I472="no",D472,K472))</f>
        <v/>
      </c>
      <c r="L473" s="2">
        <f>IF(OR(A473&lt;&gt;A472,K473=""),"",IF(I472="no",F473,L472+F473))</f>
        <v/>
      </c>
      <c r="M473" s="2">
        <f>IF(AND(I473="no",K473&lt;&gt;""),D473-K473,"")</f>
        <v/>
      </c>
      <c r="N473" s="19">
        <f>IF(M473="","",L473/M473*100)</f>
        <v/>
      </c>
      <c r="O473" s="2">
        <f>A473&amp;"|"&amp;C473</f>
        <v/>
      </c>
    </row>
    <row r="474">
      <c r="A474" s="4" t="inlineStr">
        <is>
          <t>focus</t>
        </is>
      </c>
      <c r="B474" s="4" t="inlineStr">
        <is>
          <t>alex</t>
        </is>
      </c>
      <c r="C474" s="4" t="inlineStr">
        <is>
          <t>2026-03-29 18:01</t>
        </is>
      </c>
      <c r="D474" s="4" t="n">
        <v>130737.9</v>
      </c>
      <c r="E474" s="4" t="inlineStr">
        <is>
          <t>diesel</t>
        </is>
      </c>
      <c r="F474" s="4" t="n">
        <v>39.55</v>
      </c>
      <c r="G474" s="4" t="n">
        <v>1.424</v>
      </c>
      <c r="H474" s="4" t="n">
        <v>56.32</v>
      </c>
      <c r="I474" s="4" t="inlineStr">
        <is>
          <t>no</t>
        </is>
      </c>
      <c r="J474" s="4" t="inlineStr">
        <is>
          <t>Morrisons Leeds</t>
        </is>
      </c>
      <c r="K474" s="2">
        <f>IF(A474&lt;&gt;A473,"",IF(I473="no",D473,K473))</f>
        <v/>
      </c>
      <c r="L474" s="2">
        <f>IF(OR(A474&lt;&gt;A473,K474=""),"",IF(I473="no",F474,L473+F474))</f>
        <v/>
      </c>
      <c r="M474" s="2">
        <f>IF(AND(I474="no",K474&lt;&gt;""),D474-K474,"")</f>
        <v/>
      </c>
      <c r="N474" s="19">
        <f>IF(M474="","",L474/M474*100)</f>
        <v/>
      </c>
      <c r="O474" s="2">
        <f>A474&amp;"|"&amp;C474</f>
        <v/>
      </c>
    </row>
    <row r="475">
      <c r="A475" s="4" t="inlineStr">
        <is>
          <t>focus</t>
        </is>
      </c>
      <c r="B475" s="4" t="inlineStr">
        <is>
          <t>alex</t>
        </is>
      </c>
      <c r="C475" s="4" t="inlineStr">
        <is>
          <t>2026-04-15 12:50</t>
        </is>
      </c>
      <c r="D475" s="4" t="n">
        <v>131443.7</v>
      </c>
      <c r="E475" s="4" t="inlineStr">
        <is>
          <t>diesel</t>
        </is>
      </c>
      <c r="F475" s="4" t="n">
        <v>37.181</v>
      </c>
      <c r="G475" s="4" t="n">
        <v>1.431</v>
      </c>
      <c r="H475" s="4" t="n">
        <v>53.21</v>
      </c>
      <c r="I475" s="4" t="inlineStr">
        <is>
          <t>no</t>
        </is>
      </c>
      <c r="J475" s="4" t="inlineStr">
        <is>
          <t>Shell Leeds Road</t>
        </is>
      </c>
      <c r="K475" s="2">
        <f>IF(A475&lt;&gt;A474,"",IF(I474="no",D474,K474))</f>
        <v/>
      </c>
      <c r="L475" s="2">
        <f>IF(OR(A475&lt;&gt;A474,K475=""),"",IF(I474="no",F475,L474+F475))</f>
        <v/>
      </c>
      <c r="M475" s="2">
        <f>IF(AND(I475="no",K475&lt;&gt;""),D475-K475,"")</f>
        <v/>
      </c>
      <c r="N475" s="19">
        <f>IF(M475="","",L475/M475*100)</f>
        <v/>
      </c>
      <c r="O475" s="2">
        <f>A475&amp;"|"&amp;C475</f>
        <v/>
      </c>
    </row>
    <row r="476">
      <c r="A476" s="4" t="inlineStr">
        <is>
          <t>focus</t>
        </is>
      </c>
      <c r="B476" s="4" t="inlineStr">
        <is>
          <t>alex</t>
        </is>
      </c>
      <c r="C476" s="4" t="inlineStr">
        <is>
          <t>2026-05-09 19:43</t>
        </is>
      </c>
      <c r="D476" s="4" t="n">
        <v>132355</v>
      </c>
      <c r="E476" s="4" t="inlineStr">
        <is>
          <t>diesel</t>
        </is>
      </c>
      <c r="F476" s="4" t="n">
        <v>46.257</v>
      </c>
      <c r="G476" s="4" t="n">
        <v>1.439</v>
      </c>
      <c r="H476" s="4" t="n">
        <v>66.56</v>
      </c>
      <c r="I476" s="4" t="inlineStr">
        <is>
          <t>no</t>
        </is>
      </c>
      <c r="J476" s="4" t="inlineStr">
        <is>
          <t>Morrisons Leeds</t>
        </is>
      </c>
      <c r="K476" s="2">
        <f>IF(A476&lt;&gt;A475,"",IF(I475="no",D475,K475))</f>
        <v/>
      </c>
      <c r="L476" s="2">
        <f>IF(OR(A476&lt;&gt;A475,K476=""),"",IF(I475="no",F476,L475+F476))</f>
        <v/>
      </c>
      <c r="M476" s="2">
        <f>IF(AND(I476="no",K476&lt;&gt;""),D476-K476,"")</f>
        <v/>
      </c>
      <c r="N476" s="19">
        <f>IF(M476="","",L476/M476*100)</f>
        <v/>
      </c>
      <c r="O476" s="2">
        <f>A476&amp;"|"&amp;C476</f>
        <v/>
      </c>
    </row>
    <row r="477">
      <c r="A477" s="4" t="inlineStr">
        <is>
          <t>focus</t>
        </is>
      </c>
      <c r="B477" s="4" t="inlineStr">
        <is>
          <t>alex</t>
        </is>
      </c>
      <c r="C477" s="4" t="inlineStr">
        <is>
          <t>2026-05-24 08:36</t>
        </is>
      </c>
      <c r="D477" s="4" t="n">
        <v>132947.5</v>
      </c>
      <c r="E477" s="4" t="inlineStr">
        <is>
          <t>diesel</t>
        </is>
      </c>
      <c r="F477" s="4" t="n">
        <v>31.104</v>
      </c>
      <c r="G477" s="4" t="n">
        <v>1.436</v>
      </c>
      <c r="H477" s="4" t="n">
        <v>44.67</v>
      </c>
      <c r="I477" s="4" t="inlineStr">
        <is>
          <t>no</t>
        </is>
      </c>
      <c r="J477" s="4" t="inlineStr">
        <is>
          <t>Asda Killingbeck</t>
        </is>
      </c>
      <c r="K477" s="2">
        <f>IF(A477&lt;&gt;A476,"",IF(I476="no",D476,K476))</f>
        <v/>
      </c>
      <c r="L477" s="2">
        <f>IF(OR(A477&lt;&gt;A476,K477=""),"",IF(I476="no",F477,L476+F477))</f>
        <v/>
      </c>
      <c r="M477" s="2">
        <f>IF(AND(I477="no",K477&lt;&gt;""),D477-K477,"")</f>
        <v/>
      </c>
      <c r="N477" s="19">
        <f>IF(M477="","",L477/M477*100)</f>
        <v/>
      </c>
      <c r="O477" s="2">
        <f>A477&amp;"|"&amp;C477</f>
        <v/>
      </c>
    </row>
    <row r="478">
      <c r="A478" s="4" t="inlineStr">
        <is>
          <t>focus</t>
        </is>
      </c>
      <c r="B478" s="4" t="inlineStr">
        <is>
          <t>alex</t>
        </is>
      </c>
      <c r="C478" s="4" t="inlineStr">
        <is>
          <t>2026-06-16 20:02</t>
        </is>
      </c>
      <c r="D478" s="4" t="n">
        <v>133847.1</v>
      </c>
      <c r="E478" s="4" t="inlineStr">
        <is>
          <t>diesel</t>
        </is>
      </c>
      <c r="F478" s="4" t="n">
        <v>45.714</v>
      </c>
      <c r="G478" s="4" t="n">
        <v>1.431</v>
      </c>
      <c r="H478" s="4" t="n">
        <v>65.42</v>
      </c>
      <c r="I478" s="4" t="inlineStr">
        <is>
          <t>no</t>
        </is>
      </c>
      <c r="J478" s="4" t="inlineStr">
        <is>
          <t>Shell Leeds Road</t>
        </is>
      </c>
      <c r="K478" s="2">
        <f>IF(A478&lt;&gt;A477,"",IF(I477="no",D477,K477))</f>
        <v/>
      </c>
      <c r="L478" s="2">
        <f>IF(OR(A478&lt;&gt;A477,K478=""),"",IF(I477="no",F478,L477+F478))</f>
        <v/>
      </c>
      <c r="M478" s="2">
        <f>IF(AND(I478="no",K478&lt;&gt;""),D478-K478,"")</f>
        <v/>
      </c>
      <c r="N478" s="19">
        <f>IF(M478="","",L478/M478*100)</f>
        <v/>
      </c>
      <c r="O478" s="2">
        <f>A478&amp;"|"&amp;C478</f>
        <v/>
      </c>
    </row>
    <row r="479">
      <c r="A479" s="4" t="inlineStr">
        <is>
          <t>focus</t>
        </is>
      </c>
      <c r="B479" s="4" t="inlineStr">
        <is>
          <t>alex</t>
        </is>
      </c>
      <c r="C479" s="4" t="inlineStr">
        <is>
          <t>2026-07-07 11:22</t>
        </is>
      </c>
      <c r="D479" s="4" t="n">
        <v>134626.1</v>
      </c>
      <c r="E479" s="4" t="inlineStr">
        <is>
          <t>diesel</t>
        </is>
      </c>
      <c r="F479" s="4" t="n">
        <v>40.735</v>
      </c>
      <c r="G479" s="4" t="n">
        <v>1.448</v>
      </c>
      <c r="H479" s="4" t="n">
        <v>58.98</v>
      </c>
      <c r="I479" s="4" t="inlineStr">
        <is>
          <t>no</t>
        </is>
      </c>
      <c r="J479" s="4" t="inlineStr">
        <is>
          <t>Morrisons Leeds</t>
        </is>
      </c>
      <c r="K479" s="2">
        <f>IF(A479&lt;&gt;A478,"",IF(I478="no",D478,K478))</f>
        <v/>
      </c>
      <c r="L479" s="2">
        <f>IF(OR(A479&lt;&gt;A478,K479=""),"",IF(I478="no",F479,L478+F479))</f>
        <v/>
      </c>
      <c r="M479" s="2">
        <f>IF(AND(I479="no",K479&lt;&gt;""),D479-K479,"")</f>
        <v/>
      </c>
      <c r="N479" s="19">
        <f>IF(M479="","",L479/M479*100)</f>
        <v/>
      </c>
      <c r="O479" s="2">
        <f>A479&amp;"|"&amp;C479</f>
        <v/>
      </c>
    </row>
    <row r="480">
      <c r="A480" s="4" t="inlineStr">
        <is>
          <t>focus</t>
        </is>
      </c>
      <c r="B480" s="4" t="inlineStr">
        <is>
          <t>alex</t>
        </is>
      </c>
      <c r="C480" s="4" t="inlineStr">
        <is>
          <t>2026-07-30 13:16</t>
        </is>
      </c>
      <c r="D480" s="4" t="n">
        <v>135496.7</v>
      </c>
      <c r="E480" s="4" t="inlineStr">
        <is>
          <t>diesel</t>
        </is>
      </c>
      <c r="F480" s="4" t="n">
        <v>44.13</v>
      </c>
      <c r="G480" s="4" t="n">
        <v>1.435</v>
      </c>
      <c r="H480" s="4" t="n">
        <v>63.33</v>
      </c>
      <c r="I480" s="4" t="inlineStr">
        <is>
          <t>no</t>
        </is>
      </c>
      <c r="J480" s="4" t="inlineStr">
        <is>
          <t>Shell Leeds Road</t>
        </is>
      </c>
      <c r="K480" s="2">
        <f>IF(A480&lt;&gt;A479,"",IF(I479="no",D479,K479))</f>
        <v/>
      </c>
      <c r="L480" s="2">
        <f>IF(OR(A480&lt;&gt;A479,K480=""),"",IF(I479="no",F480,L479+F480))</f>
        <v/>
      </c>
      <c r="M480" s="2">
        <f>IF(AND(I480="no",K480&lt;&gt;""),D480-K480,"")</f>
        <v/>
      </c>
      <c r="N480" s="19">
        <f>IF(M480="","",L480/M480*100)</f>
        <v/>
      </c>
      <c r="O480" s="2">
        <f>A480&amp;"|"&amp;C480</f>
        <v/>
      </c>
    </row>
    <row r="481">
      <c r="A481" s="4" t="inlineStr">
        <is>
          <t>golf</t>
        </is>
      </c>
      <c r="B481" s="4" t="inlineStr">
        <is>
          <t>sam</t>
        </is>
      </c>
      <c r="C481" s="4" t="inlineStr">
        <is>
          <t>2023-10-15 18:32</t>
        </is>
      </c>
      <c r="D481" s="4" t="n">
        <v>38855</v>
      </c>
      <c r="E481" s="4" t="inlineStr">
        <is>
          <t>petrol</t>
        </is>
      </c>
      <c r="F481" s="4" t="n">
        <v>28.39</v>
      </c>
      <c r="G481" s="4" t="n">
        <v>1.519</v>
      </c>
      <c r="H481" s="4" t="n">
        <v>43.12</v>
      </c>
      <c r="I481" s="4" t="inlineStr">
        <is>
          <t>no</t>
        </is>
      </c>
      <c r="J481" s="4" t="inlineStr">
        <is>
          <t>BP Ring Road</t>
        </is>
      </c>
      <c r="K481" s="2">
        <f>IF(A481&lt;&gt;A480,"",IF(I480="no",D480,K480))</f>
        <v/>
      </c>
      <c r="L481" s="2">
        <f>IF(OR(A481&lt;&gt;A480,K481=""),"",IF(I480="no",F481,L480+F481))</f>
        <v/>
      </c>
      <c r="M481" s="2">
        <f>IF(AND(I481="no",K481&lt;&gt;""),D481-K481,"")</f>
        <v/>
      </c>
      <c r="N481" s="19">
        <f>IF(M481="","",L481/M481*100)</f>
        <v/>
      </c>
      <c r="O481" s="2">
        <f>A481&amp;"|"&amp;C481</f>
        <v/>
      </c>
    </row>
    <row r="482">
      <c r="A482" s="4" t="inlineStr">
        <is>
          <t>golf</t>
        </is>
      </c>
      <c r="B482" s="4" t="inlineStr">
        <is>
          <t>alex</t>
        </is>
      </c>
      <c r="C482" s="4" t="inlineStr">
        <is>
          <t>2023-10-27 08:29</t>
        </is>
      </c>
      <c r="D482" s="4" t="n">
        <v>39515.6</v>
      </c>
      <c r="E482" s="4" t="inlineStr">
        <is>
          <t>petrol</t>
        </is>
      </c>
      <c r="F482" s="4" t="n">
        <v>13.131</v>
      </c>
      <c r="G482" s="4" t="n">
        <v>1.521</v>
      </c>
      <c r="H482" s="4" t="n">
        <v>19.97</v>
      </c>
      <c r="I482" s="4" t="inlineStr">
        <is>
          <t>yes</t>
        </is>
      </c>
      <c r="J482" s="4" t="inlineStr">
        <is>
          <t>Tesco Birstall</t>
        </is>
      </c>
      <c r="K482" s="2">
        <f>IF(A482&lt;&gt;A481,"",IF(I481="no",D481,K481))</f>
        <v/>
      </c>
      <c r="L482" s="2">
        <f>IF(OR(A482&lt;&gt;A481,K482=""),"",IF(I481="no",F482,L481+F482))</f>
        <v/>
      </c>
      <c r="M482" s="2">
        <f>IF(AND(I482="no",K482&lt;&gt;""),D482-K482,"")</f>
        <v/>
      </c>
      <c r="N482" s="19">
        <f>IF(M482="","",L482/M482*100)</f>
        <v/>
      </c>
      <c r="O482" s="2">
        <f>A482&amp;"|"&amp;C482</f>
        <v/>
      </c>
    </row>
    <row r="483">
      <c r="A483" s="4" t="inlineStr">
        <is>
          <t>golf</t>
        </is>
      </c>
      <c r="B483" s="4" t="inlineStr">
        <is>
          <t>alex</t>
        </is>
      </c>
      <c r="C483" s="4" t="inlineStr">
        <is>
          <t>2023-10-30 18:05</t>
        </is>
      </c>
      <c r="D483" s="4" t="n">
        <v>39774.2</v>
      </c>
      <c r="E483" s="4" t="inlineStr">
        <is>
          <t>petrol</t>
        </is>
      </c>
      <c r="F483" s="4" t="n">
        <v>44.156</v>
      </c>
      <c r="G483" s="4" t="n">
        <v>1.538</v>
      </c>
      <c r="H483" s="4" t="n">
        <v>67.91</v>
      </c>
      <c r="I483" s="4" t="inlineStr">
        <is>
          <t>no</t>
        </is>
      </c>
      <c r="J483" s="4" t="inlineStr">
        <is>
          <t>BP Ring Road</t>
        </is>
      </c>
      <c r="K483" s="2">
        <f>IF(A483&lt;&gt;A482,"",IF(I482="no",D482,K482))</f>
        <v/>
      </c>
      <c r="L483" s="2">
        <f>IF(OR(A483&lt;&gt;A482,K483=""),"",IF(I482="no",F483,L482+F483))</f>
        <v/>
      </c>
      <c r="M483" s="2">
        <f>IF(AND(I483="no",K483&lt;&gt;""),D483-K483,"")</f>
        <v/>
      </c>
      <c r="N483" s="19">
        <f>IF(M483="","",L483/M483*100)</f>
        <v/>
      </c>
      <c r="O483" s="2">
        <f>A483&amp;"|"&amp;C483</f>
        <v/>
      </c>
    </row>
    <row r="484">
      <c r="A484" s="4" t="inlineStr">
        <is>
          <t>golf</t>
        </is>
      </c>
      <c r="B484" s="4" t="inlineStr">
        <is>
          <t>alex</t>
        </is>
      </c>
      <c r="C484" s="4" t="inlineStr">
        <is>
          <t>2023-11-09 16:53</t>
        </is>
      </c>
      <c r="D484" s="4" t="n">
        <v>40385</v>
      </c>
      <c r="E484" s="4" t="inlineStr">
        <is>
          <t>petrol</t>
        </is>
      </c>
      <c r="F484" s="4" t="n">
        <v>37.778</v>
      </c>
      <c r="G484" s="4" t="n">
        <v>1.527</v>
      </c>
      <c r="H484" s="4" t="n">
        <v>57.69</v>
      </c>
      <c r="I484" s="4" t="inlineStr">
        <is>
          <t>no</t>
        </is>
      </c>
      <c r="J484" s="4" t="inlineStr">
        <is>
          <t>Esso Wakefield</t>
        </is>
      </c>
      <c r="K484" s="2">
        <f>IF(A484&lt;&gt;A483,"",IF(I483="no",D483,K483))</f>
        <v/>
      </c>
      <c r="L484" s="2">
        <f>IF(OR(A484&lt;&gt;A483,K484=""),"",IF(I483="no",F484,L483+F484))</f>
        <v/>
      </c>
      <c r="M484" s="2">
        <f>IF(AND(I484="no",K484&lt;&gt;""),D484-K484,"")</f>
        <v/>
      </c>
      <c r="N484" s="19">
        <f>IF(M484="","",L484/M484*100)</f>
        <v/>
      </c>
      <c r="O484" s="2">
        <f>A484&amp;"|"&amp;C484</f>
        <v/>
      </c>
    </row>
    <row r="485">
      <c r="A485" s="4" t="inlineStr">
        <is>
          <t>golf</t>
        </is>
      </c>
      <c r="B485" s="4" t="inlineStr">
        <is>
          <t>alex</t>
        </is>
      </c>
      <c r="C485" s="4" t="inlineStr">
        <is>
          <t>2023-11-19 07:43</t>
        </is>
      </c>
      <c r="D485" s="4" t="n">
        <v>40918.7</v>
      </c>
      <c r="E485" s="4" t="inlineStr">
        <is>
          <t>petrol</t>
        </is>
      </c>
      <c r="F485" s="4" t="n">
        <v>34.355</v>
      </c>
      <c r="G485" s="4" t="n">
        <v>1.527</v>
      </c>
      <c r="H485" s="4" t="n">
        <v>52.46</v>
      </c>
      <c r="I485" s="4" t="inlineStr">
        <is>
          <t>no</t>
        </is>
      </c>
      <c r="J485" s="4" t="inlineStr">
        <is>
          <t>BP Ring Road</t>
        </is>
      </c>
      <c r="K485" s="2">
        <f>IF(A485&lt;&gt;A484,"",IF(I484="no",D484,K484))</f>
        <v/>
      </c>
      <c r="L485" s="2">
        <f>IF(OR(A485&lt;&gt;A484,K485=""),"",IF(I484="no",F485,L484+F485))</f>
        <v/>
      </c>
      <c r="M485" s="2">
        <f>IF(AND(I485="no",K485&lt;&gt;""),D485-K485,"")</f>
        <v/>
      </c>
      <c r="N485" s="19">
        <f>IF(M485="","",L485/M485*100)</f>
        <v/>
      </c>
      <c r="O485" s="2">
        <f>A485&amp;"|"&amp;C485</f>
        <v/>
      </c>
    </row>
    <row r="486">
      <c r="A486" s="4" t="inlineStr">
        <is>
          <t>golf</t>
        </is>
      </c>
      <c r="B486" s="4" t="inlineStr">
        <is>
          <t>alex</t>
        </is>
      </c>
      <c r="C486" s="4" t="inlineStr">
        <is>
          <t>2023-11-27 17:53</t>
        </is>
      </c>
      <c r="D486" s="4" t="n">
        <v>41440.5</v>
      </c>
      <c r="E486" s="4" t="inlineStr">
        <is>
          <t>petrol</t>
        </is>
      </c>
      <c r="F486" s="4" t="n">
        <v>31.555</v>
      </c>
      <c r="G486" s="4" t="n">
        <v>1.533</v>
      </c>
      <c r="H486" s="4" t="n">
        <v>48.37</v>
      </c>
      <c r="I486" s="4" t="inlineStr">
        <is>
          <t>no</t>
        </is>
      </c>
      <c r="J486" s="4" t="inlineStr">
        <is>
          <t>Tesco Birstall</t>
        </is>
      </c>
      <c r="K486" s="2">
        <f>IF(A486&lt;&gt;A485,"",IF(I485="no",D485,K485))</f>
        <v/>
      </c>
      <c r="L486" s="2">
        <f>IF(OR(A486&lt;&gt;A485,K486=""),"",IF(I485="no",F486,L485+F486))</f>
        <v/>
      </c>
      <c r="M486" s="2">
        <f>IF(AND(I486="no",K486&lt;&gt;""),D486-K486,"")</f>
        <v/>
      </c>
      <c r="N486" s="19">
        <f>IF(M486="","",L486/M486*100)</f>
        <v/>
      </c>
      <c r="O486" s="2">
        <f>A486&amp;"|"&amp;C486</f>
        <v/>
      </c>
    </row>
    <row r="487">
      <c r="A487" s="4" t="inlineStr">
        <is>
          <t>golf</t>
        </is>
      </c>
      <c r="B487" s="4" t="inlineStr">
        <is>
          <t>alex</t>
        </is>
      </c>
      <c r="C487" s="4" t="inlineStr">
        <is>
          <t>2023-12-04 15:52</t>
        </is>
      </c>
      <c r="D487" s="4" t="n">
        <v>41954.9</v>
      </c>
      <c r="E487" s="4" t="inlineStr">
        <is>
          <t>petrol</t>
        </is>
      </c>
      <c r="F487" s="4" t="n">
        <v>32.8</v>
      </c>
      <c r="G487" s="4" t="n">
        <v>1.516</v>
      </c>
      <c r="H487" s="4" t="n">
        <v>49.72</v>
      </c>
      <c r="I487" s="4" t="inlineStr">
        <is>
          <t>no</t>
        </is>
      </c>
      <c r="J487" s="4" t="inlineStr">
        <is>
          <t>BP Ring Road</t>
        </is>
      </c>
      <c r="K487" s="2">
        <f>IF(A487&lt;&gt;A486,"",IF(I486="no",D486,K486))</f>
        <v/>
      </c>
      <c r="L487" s="2">
        <f>IF(OR(A487&lt;&gt;A486,K487=""),"",IF(I486="no",F487,L486+F487))</f>
        <v/>
      </c>
      <c r="M487" s="2">
        <f>IF(AND(I487="no",K487&lt;&gt;""),D487-K487,"")</f>
        <v/>
      </c>
      <c r="N487" s="19">
        <f>IF(M487="","",L487/M487*100)</f>
        <v/>
      </c>
      <c r="O487" s="2">
        <f>A487&amp;"|"&amp;C487</f>
        <v/>
      </c>
    </row>
    <row r="488">
      <c r="A488" s="4" t="inlineStr">
        <is>
          <t>golf</t>
        </is>
      </c>
      <c r="B488" s="4" t="inlineStr">
        <is>
          <t>sam</t>
        </is>
      </c>
      <c r="C488" s="4" t="inlineStr">
        <is>
          <t>2023-12-15 07:18</t>
        </is>
      </c>
      <c r="D488" s="4" t="n">
        <v>42620.1</v>
      </c>
      <c r="E488" s="4" t="inlineStr">
        <is>
          <t>petrol</t>
        </is>
      </c>
      <c r="F488" s="4" t="n">
        <v>43.521</v>
      </c>
      <c r="G488" s="4" t="n">
        <v>1.524</v>
      </c>
      <c r="H488" s="4" t="n">
        <v>66.33</v>
      </c>
      <c r="I488" s="4" t="inlineStr">
        <is>
          <t>no</t>
        </is>
      </c>
      <c r="J488" s="4" t="inlineStr">
        <is>
          <t>Tesco Birstall</t>
        </is>
      </c>
      <c r="K488" s="2">
        <f>IF(A488&lt;&gt;A487,"",IF(I487="no",D487,K487))</f>
        <v/>
      </c>
      <c r="L488" s="2">
        <f>IF(OR(A488&lt;&gt;A487,K488=""),"",IF(I487="no",F488,L487+F488))</f>
        <v/>
      </c>
      <c r="M488" s="2">
        <f>IF(AND(I488="no",K488&lt;&gt;""),D488-K488,"")</f>
        <v/>
      </c>
      <c r="N488" s="19">
        <f>IF(M488="","",L488/M488*100)</f>
        <v/>
      </c>
      <c r="O488" s="2">
        <f>A488&amp;"|"&amp;C488</f>
        <v/>
      </c>
    </row>
    <row r="489">
      <c r="A489" s="4" t="inlineStr">
        <is>
          <t>golf</t>
        </is>
      </c>
      <c r="B489" s="4" t="inlineStr">
        <is>
          <t>sam</t>
        </is>
      </c>
      <c r="C489" s="4" t="inlineStr">
        <is>
          <t>2023-12-23 17:35</t>
        </is>
      </c>
      <c r="D489" s="4" t="n">
        <v>43184.1</v>
      </c>
      <c r="E489" s="4" t="inlineStr">
        <is>
          <t>petrol</t>
        </is>
      </c>
      <c r="F489" s="4" t="n">
        <v>31.959</v>
      </c>
      <c r="G489" s="4" t="n">
        <v>1.507</v>
      </c>
      <c r="H489" s="4" t="n">
        <v>48.16</v>
      </c>
      <c r="I489" s="4" t="inlineStr">
        <is>
          <t>no</t>
        </is>
      </c>
      <c r="J489" s="4" t="inlineStr">
        <is>
          <t>Shell Leeds Road</t>
        </is>
      </c>
      <c r="K489" s="2">
        <f>IF(A489&lt;&gt;A488,"",IF(I488="no",D488,K488))</f>
        <v/>
      </c>
      <c r="L489" s="2">
        <f>IF(OR(A489&lt;&gt;A488,K489=""),"",IF(I488="no",F489,L488+F489))</f>
        <v/>
      </c>
      <c r="M489" s="2">
        <f>IF(AND(I489="no",K489&lt;&gt;""),D489-K489,"")</f>
        <v/>
      </c>
      <c r="N489" s="19">
        <f>IF(M489="","",L489/M489*100)</f>
        <v/>
      </c>
      <c r="O489" s="2">
        <f>A489&amp;"|"&amp;C489</f>
        <v/>
      </c>
    </row>
    <row r="490">
      <c r="A490" s="4" t="inlineStr">
        <is>
          <t>golf</t>
        </is>
      </c>
      <c r="B490" s="4" t="inlineStr">
        <is>
          <t>alex</t>
        </is>
      </c>
      <c r="C490" s="4" t="inlineStr">
        <is>
          <t>2024-01-01 10:29</t>
        </is>
      </c>
      <c r="D490" s="4" t="n">
        <v>43711.2</v>
      </c>
      <c r="E490" s="4" t="inlineStr">
        <is>
          <t>petrol</t>
        </is>
      </c>
      <c r="F490" s="4" t="n">
        <v>27.195</v>
      </c>
      <c r="G490" s="4" t="n">
        <v>1.492</v>
      </c>
      <c r="H490" s="4" t="n">
        <v>40.57</v>
      </c>
      <c r="I490" s="4" t="inlineStr">
        <is>
          <t>yes</t>
        </is>
      </c>
      <c r="J490" s="4" t="inlineStr">
        <is>
          <t>Esso Wakefield</t>
        </is>
      </c>
      <c r="K490" s="2">
        <f>IF(A490&lt;&gt;A489,"",IF(I489="no",D489,K489))</f>
        <v/>
      </c>
      <c r="L490" s="2">
        <f>IF(OR(A490&lt;&gt;A489,K490=""),"",IF(I489="no",F490,L489+F490))</f>
        <v/>
      </c>
      <c r="M490" s="2">
        <f>IF(AND(I490="no",K490&lt;&gt;""),D490-K490,"")</f>
        <v/>
      </c>
      <c r="N490" s="19">
        <f>IF(M490="","",L490/M490*100)</f>
        <v/>
      </c>
      <c r="O490" s="2">
        <f>A490&amp;"|"&amp;C490</f>
        <v/>
      </c>
    </row>
    <row r="491">
      <c r="A491" s="4" t="inlineStr">
        <is>
          <t>golf</t>
        </is>
      </c>
      <c r="B491" s="4" t="inlineStr">
        <is>
          <t>alex</t>
        </is>
      </c>
      <c r="C491" s="4" t="inlineStr">
        <is>
          <t>2024-01-08 12:01</t>
        </is>
      </c>
      <c r="D491" s="4" t="n">
        <v>44193.7</v>
      </c>
      <c r="E491" s="4" t="inlineStr">
        <is>
          <t>petrol</t>
        </is>
      </c>
      <c r="F491" s="4" t="n">
        <v>37.071</v>
      </c>
      <c r="G491" s="4" t="n">
        <v>1.508</v>
      </c>
      <c r="H491" s="4" t="n">
        <v>55.9</v>
      </c>
      <c r="I491" s="4" t="inlineStr">
        <is>
          <t>no</t>
        </is>
      </c>
      <c r="J491" s="4" t="inlineStr">
        <is>
          <t>Esso Wakefield</t>
        </is>
      </c>
      <c r="K491" s="2">
        <f>IF(A491&lt;&gt;A490,"",IF(I490="no",D490,K490))</f>
        <v/>
      </c>
      <c r="L491" s="2">
        <f>IF(OR(A491&lt;&gt;A490,K491=""),"",IF(I490="no",F491,L490+F491))</f>
        <v/>
      </c>
      <c r="M491" s="2">
        <f>IF(AND(I491="no",K491&lt;&gt;""),D491-K491,"")</f>
        <v/>
      </c>
      <c r="N491" s="19">
        <f>IF(M491="","",L491/M491*100)</f>
        <v/>
      </c>
      <c r="O491" s="2">
        <f>A491&amp;"|"&amp;C491</f>
        <v/>
      </c>
    </row>
    <row r="492">
      <c r="A492" s="4" t="inlineStr">
        <is>
          <t>golf</t>
        </is>
      </c>
      <c r="B492" s="4" t="inlineStr">
        <is>
          <t>alex</t>
        </is>
      </c>
      <c r="C492" s="4" t="inlineStr">
        <is>
          <t>2024-01-15 13:21</t>
        </is>
      </c>
      <c r="D492" s="4" t="n">
        <v>44686.4</v>
      </c>
      <c r="E492" s="4" t="inlineStr">
        <is>
          <t>petrol</t>
        </is>
      </c>
      <c r="F492" s="4" t="n">
        <v>31.171</v>
      </c>
      <c r="G492" s="4" t="n">
        <v>1.509</v>
      </c>
      <c r="H492" s="4" t="n">
        <v>47.04</v>
      </c>
      <c r="I492" s="4" t="inlineStr">
        <is>
          <t>no</t>
        </is>
      </c>
      <c r="J492" s="4" t="inlineStr">
        <is>
          <t>BP Ring Road</t>
        </is>
      </c>
      <c r="K492" s="2">
        <f>IF(A492&lt;&gt;A491,"",IF(I491="no",D491,K491))</f>
        <v/>
      </c>
      <c r="L492" s="2">
        <f>IF(OR(A492&lt;&gt;A491,K492=""),"",IF(I491="no",F492,L491+F492))</f>
        <v/>
      </c>
      <c r="M492" s="2">
        <f>IF(AND(I492="no",K492&lt;&gt;""),D492-K492,"")</f>
        <v/>
      </c>
      <c r="N492" s="19">
        <f>IF(M492="","",L492/M492*100)</f>
        <v/>
      </c>
      <c r="O492" s="2">
        <f>A492&amp;"|"&amp;C492</f>
        <v/>
      </c>
    </row>
    <row r="493">
      <c r="A493" s="4" t="inlineStr">
        <is>
          <t>golf</t>
        </is>
      </c>
      <c r="B493" s="4" t="inlineStr">
        <is>
          <t>alex</t>
        </is>
      </c>
      <c r="C493" s="4" t="inlineStr">
        <is>
          <t>2024-01-23 20:12</t>
        </is>
      </c>
      <c r="D493" s="4" t="n">
        <v>45311.3</v>
      </c>
      <c r="E493" s="4" t="inlineStr">
        <is>
          <t>petrol</t>
        </is>
      </c>
      <c r="F493" s="4" t="n">
        <v>27.774</v>
      </c>
      <c r="G493" s="4" t="n">
        <v>1.509</v>
      </c>
      <c r="H493" s="4" t="n">
        <v>41.91</v>
      </c>
      <c r="I493" s="4" t="inlineStr">
        <is>
          <t>yes</t>
        </is>
      </c>
      <c r="J493" s="4" t="inlineStr">
        <is>
          <t>Shell Leeds Road</t>
        </is>
      </c>
      <c r="K493" s="2">
        <f>IF(A493&lt;&gt;A492,"",IF(I492="no",D492,K492))</f>
        <v/>
      </c>
      <c r="L493" s="2">
        <f>IF(OR(A493&lt;&gt;A492,K493=""),"",IF(I492="no",F493,L492+F493))</f>
        <v/>
      </c>
      <c r="M493" s="2">
        <f>IF(AND(I493="no",K493&lt;&gt;""),D493-K493,"")</f>
        <v/>
      </c>
      <c r="N493" s="19">
        <f>IF(M493="","",L493/M493*100)</f>
        <v/>
      </c>
      <c r="O493" s="2">
        <f>A493&amp;"|"&amp;C493</f>
        <v/>
      </c>
    </row>
    <row r="494">
      <c r="A494" s="4" t="inlineStr">
        <is>
          <t>golf</t>
        </is>
      </c>
      <c r="B494" s="4" t="inlineStr">
        <is>
          <t>alex</t>
        </is>
      </c>
      <c r="C494" s="4" t="inlineStr">
        <is>
          <t>2024-01-29 10:56</t>
        </is>
      </c>
      <c r="D494" s="4" t="n">
        <v>45706</v>
      </c>
      <c r="E494" s="4" t="inlineStr">
        <is>
          <t>petrol</t>
        </is>
      </c>
      <c r="F494" s="4" t="n">
        <v>37.374</v>
      </c>
      <c r="G494" s="4" t="n">
        <v>1.494</v>
      </c>
      <c r="H494" s="4" t="n">
        <v>55.84</v>
      </c>
      <c r="I494" s="4" t="inlineStr">
        <is>
          <t>no</t>
        </is>
      </c>
      <c r="J494" s="4" t="inlineStr">
        <is>
          <t>Shell Leeds Road</t>
        </is>
      </c>
      <c r="K494" s="2">
        <f>IF(A494&lt;&gt;A493,"",IF(I493="no",D493,K493))</f>
        <v/>
      </c>
      <c r="L494" s="2">
        <f>IF(OR(A494&lt;&gt;A493,K494=""),"",IF(I493="no",F494,L493+F494))</f>
        <v/>
      </c>
      <c r="M494" s="2">
        <f>IF(AND(I494="no",K494&lt;&gt;""),D494-K494,"")</f>
        <v/>
      </c>
      <c r="N494" s="19">
        <f>IF(M494="","",L494/M494*100)</f>
        <v/>
      </c>
      <c r="O494" s="2">
        <f>A494&amp;"|"&amp;C494</f>
        <v/>
      </c>
    </row>
    <row r="495">
      <c r="A495" s="4" t="inlineStr">
        <is>
          <t>golf</t>
        </is>
      </c>
      <c r="B495" s="4" t="inlineStr">
        <is>
          <t>alex</t>
        </is>
      </c>
      <c r="C495" s="4" t="inlineStr">
        <is>
          <t>2024-02-08 13:51</t>
        </is>
      </c>
      <c r="D495" s="4" t="n">
        <v>46392.1</v>
      </c>
      <c r="E495" s="4" t="inlineStr">
        <is>
          <t>petrol</t>
        </is>
      </c>
      <c r="F495" s="4" t="n">
        <v>41.084</v>
      </c>
      <c r="G495" s="4" t="n">
        <v>1.503</v>
      </c>
      <c r="H495" s="4" t="n">
        <v>61.75</v>
      </c>
      <c r="I495" s="4" t="inlineStr">
        <is>
          <t>no</t>
        </is>
      </c>
      <c r="J495" s="4" t="inlineStr">
        <is>
          <t>BP Ring Road</t>
        </is>
      </c>
      <c r="K495" s="2">
        <f>IF(A495&lt;&gt;A494,"",IF(I494="no",D494,K494))</f>
        <v/>
      </c>
      <c r="L495" s="2">
        <f>IF(OR(A495&lt;&gt;A494,K495=""),"",IF(I494="no",F495,L494+F495))</f>
        <v/>
      </c>
      <c r="M495" s="2">
        <f>IF(AND(I495="no",K495&lt;&gt;""),D495-K495,"")</f>
        <v/>
      </c>
      <c r="N495" s="19">
        <f>IF(M495="","",L495/M495*100)</f>
        <v/>
      </c>
      <c r="O495" s="2">
        <f>A495&amp;"|"&amp;C495</f>
        <v/>
      </c>
    </row>
    <row r="496">
      <c r="A496" s="4" t="inlineStr">
        <is>
          <t>golf</t>
        </is>
      </c>
      <c r="B496" s="4" t="inlineStr">
        <is>
          <t>alex</t>
        </is>
      </c>
      <c r="C496" s="4" t="inlineStr">
        <is>
          <t>2024-02-17 15:57</t>
        </is>
      </c>
      <c r="D496" s="4" t="n">
        <v>46915.7</v>
      </c>
      <c r="E496" s="4" t="inlineStr">
        <is>
          <t>petrol</t>
        </is>
      </c>
      <c r="F496" s="4" t="n">
        <v>32.929</v>
      </c>
      <c r="G496" s="4" t="n">
        <v>1.495</v>
      </c>
      <c r="H496" s="4" t="n">
        <v>49.23</v>
      </c>
      <c r="I496" s="4" t="inlineStr">
        <is>
          <t>no</t>
        </is>
      </c>
      <c r="J496" s="4" t="inlineStr">
        <is>
          <t>BP Ring Road</t>
        </is>
      </c>
      <c r="K496" s="2">
        <f>IF(A496&lt;&gt;A495,"",IF(I495="no",D495,K495))</f>
        <v/>
      </c>
      <c r="L496" s="2">
        <f>IF(OR(A496&lt;&gt;A495,K496=""),"",IF(I495="no",F496,L495+F496))</f>
        <v/>
      </c>
      <c r="M496" s="2">
        <f>IF(AND(I496="no",K496&lt;&gt;""),D496-K496,"")</f>
        <v/>
      </c>
      <c r="N496" s="19">
        <f>IF(M496="","",L496/M496*100)</f>
        <v/>
      </c>
      <c r="O496" s="2">
        <f>A496&amp;"|"&amp;C496</f>
        <v/>
      </c>
    </row>
    <row r="497">
      <c r="A497" s="4" t="inlineStr">
        <is>
          <t>golf</t>
        </is>
      </c>
      <c r="B497" s="4" t="inlineStr">
        <is>
          <t>sam</t>
        </is>
      </c>
      <c r="C497" s="4" t="inlineStr">
        <is>
          <t>2024-02-24 13:26</t>
        </is>
      </c>
      <c r="D497" s="4" t="n">
        <v>47432.2</v>
      </c>
      <c r="E497" s="4" t="inlineStr">
        <is>
          <t>petrol</t>
        </is>
      </c>
      <c r="F497" s="4" t="n">
        <v>32.551</v>
      </c>
      <c r="G497" s="4" t="n">
        <v>1.508</v>
      </c>
      <c r="H497" s="4" t="n">
        <v>49.09</v>
      </c>
      <c r="I497" s="4" t="inlineStr">
        <is>
          <t>no</t>
        </is>
      </c>
      <c r="J497" s="4" t="inlineStr">
        <is>
          <t>Tesco Birstall</t>
        </is>
      </c>
      <c r="K497" s="2">
        <f>IF(A497&lt;&gt;A496,"",IF(I496="no",D496,K496))</f>
        <v/>
      </c>
      <c r="L497" s="2">
        <f>IF(OR(A497&lt;&gt;A496,K497=""),"",IF(I496="no",F497,L496+F497))</f>
        <v/>
      </c>
      <c r="M497" s="2">
        <f>IF(AND(I497="no",K497&lt;&gt;""),D497-K497,"")</f>
        <v/>
      </c>
      <c r="N497" s="19">
        <f>IF(M497="","",L497/M497*100)</f>
        <v/>
      </c>
      <c r="O497" s="2">
        <f>A497&amp;"|"&amp;C497</f>
        <v/>
      </c>
    </row>
    <row r="498">
      <c r="A498" s="4" t="inlineStr">
        <is>
          <t>golf</t>
        </is>
      </c>
      <c r="B498" s="4" t="inlineStr">
        <is>
          <t>alex</t>
        </is>
      </c>
      <c r="C498" s="4" t="inlineStr">
        <is>
          <t>2024-03-06 08:41</t>
        </is>
      </c>
      <c r="D498" s="4" t="n">
        <v>48091.9</v>
      </c>
      <c r="E498" s="4" t="inlineStr">
        <is>
          <t>petrol</t>
        </is>
      </c>
      <c r="F498" s="4" t="n">
        <v>40.813</v>
      </c>
      <c r="G498" s="4" t="n">
        <v>1.488</v>
      </c>
      <c r="H498" s="4" t="n">
        <v>60.73</v>
      </c>
      <c r="I498" s="4" t="inlineStr">
        <is>
          <t>no</t>
        </is>
      </c>
      <c r="J498" s="4" t="inlineStr">
        <is>
          <t>Tesco Birstall</t>
        </is>
      </c>
      <c r="K498" s="2">
        <f>IF(A498&lt;&gt;A497,"",IF(I497="no",D497,K497))</f>
        <v/>
      </c>
      <c r="L498" s="2">
        <f>IF(OR(A498&lt;&gt;A497,K498=""),"",IF(I497="no",F498,L497+F498))</f>
        <v/>
      </c>
      <c r="M498" s="2">
        <f>IF(AND(I498="no",K498&lt;&gt;""),D498-K498,"")</f>
        <v/>
      </c>
      <c r="N498" s="19">
        <f>IF(M498="","",L498/M498*100)</f>
        <v/>
      </c>
      <c r="O498" s="2">
        <f>A498&amp;"|"&amp;C498</f>
        <v/>
      </c>
    </row>
    <row r="499">
      <c r="A499" s="4" t="inlineStr">
        <is>
          <t>golf</t>
        </is>
      </c>
      <c r="B499" s="4" t="inlineStr">
        <is>
          <t>alex</t>
        </is>
      </c>
      <c r="C499" s="4" t="inlineStr">
        <is>
          <t>2024-03-17 17:36</t>
        </is>
      </c>
      <c r="D499" s="4" t="n">
        <v>48730.4</v>
      </c>
      <c r="E499" s="4" t="inlineStr">
        <is>
          <t>petrol</t>
        </is>
      </c>
      <c r="F499" s="4" t="n">
        <v>38.707</v>
      </c>
      <c r="G499" s="4" t="n">
        <v>1.497</v>
      </c>
      <c r="H499" s="4" t="n">
        <v>57.94</v>
      </c>
      <c r="I499" s="4" t="inlineStr">
        <is>
          <t>no</t>
        </is>
      </c>
      <c r="J499" s="4" t="inlineStr">
        <is>
          <t>Shell Leeds Road</t>
        </is>
      </c>
      <c r="K499" s="2">
        <f>IF(A499&lt;&gt;A498,"",IF(I498="no",D498,K498))</f>
        <v/>
      </c>
      <c r="L499" s="2">
        <f>IF(OR(A499&lt;&gt;A498,K499=""),"",IF(I498="no",F499,L498+F499))</f>
        <v/>
      </c>
      <c r="M499" s="2">
        <f>IF(AND(I499="no",K499&lt;&gt;""),D499-K499,"")</f>
        <v/>
      </c>
      <c r="N499" s="19">
        <f>IF(M499="","",L499/M499*100)</f>
        <v/>
      </c>
      <c r="O499" s="2">
        <f>A499&amp;"|"&amp;C499</f>
        <v/>
      </c>
    </row>
    <row r="500">
      <c r="A500" s="4" t="inlineStr">
        <is>
          <t>golf</t>
        </is>
      </c>
      <c r="B500" s="4" t="inlineStr">
        <is>
          <t>sam</t>
        </is>
      </c>
      <c r="C500" s="4" t="inlineStr">
        <is>
          <t>2024-03-23 11:40</t>
        </is>
      </c>
      <c r="D500" s="4" t="n">
        <v>49176.9</v>
      </c>
      <c r="E500" s="4" t="inlineStr">
        <is>
          <t>petrol</t>
        </is>
      </c>
      <c r="F500" s="4" t="n">
        <v>30.039</v>
      </c>
      <c r="G500" s="4" t="n">
        <v>1.477</v>
      </c>
      <c r="H500" s="4" t="n">
        <v>44.37</v>
      </c>
      <c r="I500" s="4" t="inlineStr">
        <is>
          <t>no</t>
        </is>
      </c>
      <c r="J500" s="4" t="inlineStr">
        <is>
          <t>Tesco Birstall</t>
        </is>
      </c>
      <c r="K500" s="2">
        <f>IF(A500&lt;&gt;A499,"",IF(I499="no",D499,K499))</f>
        <v/>
      </c>
      <c r="L500" s="2">
        <f>IF(OR(A500&lt;&gt;A499,K500=""),"",IF(I499="no",F500,L499+F500))</f>
        <v/>
      </c>
      <c r="M500" s="2">
        <f>IF(AND(I500="no",K500&lt;&gt;""),D500-K500,"")</f>
        <v/>
      </c>
      <c r="N500" s="19">
        <f>IF(M500="","",L500/M500*100)</f>
        <v/>
      </c>
      <c r="O500" s="2">
        <f>A500&amp;"|"&amp;C500</f>
        <v/>
      </c>
    </row>
    <row r="501">
      <c r="A501" s="4" t="inlineStr">
        <is>
          <t>golf</t>
        </is>
      </c>
      <c r="B501" s="4" t="inlineStr">
        <is>
          <t>alex</t>
        </is>
      </c>
      <c r="C501" s="4" t="inlineStr">
        <is>
          <t>2024-04-02 15:17</t>
        </is>
      </c>
      <c r="D501" s="4" t="n">
        <v>49817.1</v>
      </c>
      <c r="E501" s="4" t="inlineStr">
        <is>
          <t>petrol</t>
        </is>
      </c>
      <c r="F501" s="4" t="n">
        <v>38.674</v>
      </c>
      <c r="G501" s="4" t="n">
        <v>1.479</v>
      </c>
      <c r="H501" s="4" t="n">
        <v>57.2</v>
      </c>
      <c r="I501" s="4" t="inlineStr">
        <is>
          <t>no</t>
        </is>
      </c>
      <c r="J501" s="4" t="inlineStr">
        <is>
          <t>Esso Wakefield</t>
        </is>
      </c>
      <c r="K501" s="2">
        <f>IF(A501&lt;&gt;A500,"",IF(I500="no",D500,K500))</f>
        <v/>
      </c>
      <c r="L501" s="2">
        <f>IF(OR(A501&lt;&gt;A500,K501=""),"",IF(I500="no",F501,L500+F501))</f>
        <v/>
      </c>
      <c r="M501" s="2">
        <f>IF(AND(I501="no",K501&lt;&gt;""),D501-K501,"")</f>
        <v/>
      </c>
      <c r="N501" s="19">
        <f>IF(M501="","",L501/M501*100)</f>
        <v/>
      </c>
      <c r="O501" s="2">
        <f>A501&amp;"|"&amp;C501</f>
        <v/>
      </c>
    </row>
    <row r="502">
      <c r="A502" s="4" t="inlineStr">
        <is>
          <t>golf</t>
        </is>
      </c>
      <c r="B502" s="4" t="inlineStr">
        <is>
          <t>sam</t>
        </is>
      </c>
      <c r="C502" s="4" t="inlineStr">
        <is>
          <t>2024-04-14 19:16</t>
        </is>
      </c>
      <c r="D502" s="4" t="n">
        <v>50473.2</v>
      </c>
      <c r="E502" s="4" t="inlineStr">
        <is>
          <t>petrol</t>
        </is>
      </c>
      <c r="F502" s="4" t="n">
        <v>40.441</v>
      </c>
      <c r="G502" s="4" t="n">
        <v>1.491</v>
      </c>
      <c r="H502" s="4" t="n">
        <v>60.3</v>
      </c>
      <c r="I502" s="4" t="inlineStr">
        <is>
          <t>no</t>
        </is>
      </c>
      <c r="J502" s="4" t="inlineStr">
        <is>
          <t>Tesco Birstall</t>
        </is>
      </c>
      <c r="K502" s="2">
        <f>IF(A502&lt;&gt;A501,"",IF(I501="no",D501,K501))</f>
        <v/>
      </c>
      <c r="L502" s="2">
        <f>IF(OR(A502&lt;&gt;A501,K502=""),"",IF(I501="no",F502,L501+F502))</f>
        <v/>
      </c>
      <c r="M502" s="2">
        <f>IF(AND(I502="no",K502&lt;&gt;""),D502-K502,"")</f>
        <v/>
      </c>
      <c r="N502" s="19">
        <f>IF(M502="","",L502/M502*100)</f>
        <v/>
      </c>
      <c r="O502" s="2">
        <f>A502&amp;"|"&amp;C502</f>
        <v/>
      </c>
    </row>
    <row r="503">
      <c r="A503" s="4" t="inlineStr">
        <is>
          <t>golf</t>
        </is>
      </c>
      <c r="B503" s="4" t="inlineStr">
        <is>
          <t>sam</t>
        </is>
      </c>
      <c r="C503" s="4" t="inlineStr">
        <is>
          <t>2024-04-22 12:27</t>
        </is>
      </c>
      <c r="D503" s="4" t="n">
        <v>50916.9</v>
      </c>
      <c r="E503" s="4" t="inlineStr">
        <is>
          <t>petrol</t>
        </is>
      </c>
      <c r="F503" s="4" t="n">
        <v>29.346</v>
      </c>
      <c r="G503" s="4" t="n">
        <v>1.476</v>
      </c>
      <c r="H503" s="4" t="n">
        <v>43.31</v>
      </c>
      <c r="I503" s="4" t="inlineStr">
        <is>
          <t>no</t>
        </is>
      </c>
      <c r="J503" s="4" t="inlineStr">
        <is>
          <t>Tesco Birstall</t>
        </is>
      </c>
      <c r="K503" s="2">
        <f>IF(A503&lt;&gt;A502,"",IF(I502="no",D502,K502))</f>
        <v/>
      </c>
      <c r="L503" s="2">
        <f>IF(OR(A503&lt;&gt;A502,K503=""),"",IF(I502="no",F503,L502+F503))</f>
        <v/>
      </c>
      <c r="M503" s="2">
        <f>IF(AND(I503="no",K503&lt;&gt;""),D503-K503,"")</f>
        <v/>
      </c>
      <c r="N503" s="19">
        <f>IF(M503="","",L503/M503*100)</f>
        <v/>
      </c>
      <c r="O503" s="2">
        <f>A503&amp;"|"&amp;C503</f>
        <v/>
      </c>
    </row>
    <row r="504">
      <c r="A504" s="4" t="inlineStr">
        <is>
          <t>golf</t>
        </is>
      </c>
      <c r="B504" s="4" t="inlineStr">
        <is>
          <t>alex</t>
        </is>
      </c>
      <c r="C504" s="4" t="inlineStr">
        <is>
          <t>2024-05-02 11:28</t>
        </is>
      </c>
      <c r="D504" s="4" t="n">
        <v>51581.1</v>
      </c>
      <c r="E504" s="4" t="inlineStr">
        <is>
          <t>petrol</t>
        </is>
      </c>
      <c r="F504" s="4" t="n">
        <v>41.898</v>
      </c>
      <c r="G504" s="4" t="n">
        <v>1.455</v>
      </c>
      <c r="H504" s="4" t="n">
        <v>60.96</v>
      </c>
      <c r="I504" s="4" t="inlineStr">
        <is>
          <t>no</t>
        </is>
      </c>
      <c r="J504" s="4" t="inlineStr">
        <is>
          <t>Tesco Birstall</t>
        </is>
      </c>
      <c r="K504" s="2">
        <f>IF(A504&lt;&gt;A503,"",IF(I503="no",D503,K503))</f>
        <v/>
      </c>
      <c r="L504" s="2">
        <f>IF(OR(A504&lt;&gt;A503,K504=""),"",IF(I503="no",F504,L503+F504))</f>
        <v/>
      </c>
      <c r="M504" s="2">
        <f>IF(AND(I504="no",K504&lt;&gt;""),D504-K504,"")</f>
        <v/>
      </c>
      <c r="N504" s="19">
        <f>IF(M504="","",L504/M504*100)</f>
        <v/>
      </c>
      <c r="O504" s="2">
        <f>A504&amp;"|"&amp;C504</f>
        <v/>
      </c>
    </row>
    <row r="505">
      <c r="A505" s="4" t="inlineStr">
        <is>
          <t>golf</t>
        </is>
      </c>
      <c r="B505" s="4" t="inlineStr">
        <is>
          <t>alex</t>
        </is>
      </c>
      <c r="C505" s="4" t="inlineStr">
        <is>
          <t>2024-05-12 19:45</t>
        </is>
      </c>
      <c r="D505" s="4" t="n">
        <v>52303.9</v>
      </c>
      <c r="E505" s="4" t="inlineStr">
        <is>
          <t>petrol</t>
        </is>
      </c>
      <c r="F505" s="4" t="n">
        <v>43.055</v>
      </c>
      <c r="G505" s="4" t="n">
        <v>1.461</v>
      </c>
      <c r="H505" s="4" t="n">
        <v>62.9</v>
      </c>
      <c r="I505" s="4" t="inlineStr">
        <is>
          <t>no</t>
        </is>
      </c>
      <c r="J505" s="4" t="inlineStr">
        <is>
          <t>Shell Leeds Road</t>
        </is>
      </c>
      <c r="K505" s="2">
        <f>IF(A505&lt;&gt;A504,"",IF(I504="no",D504,K504))</f>
        <v/>
      </c>
      <c r="L505" s="2">
        <f>IF(OR(A505&lt;&gt;A504,K505=""),"",IF(I504="no",F505,L504+F505))</f>
        <v/>
      </c>
      <c r="M505" s="2">
        <f>IF(AND(I505="no",K505&lt;&gt;""),D505-K505,"")</f>
        <v/>
      </c>
      <c r="N505" s="19">
        <f>IF(M505="","",L505/M505*100)</f>
        <v/>
      </c>
      <c r="O505" s="2">
        <f>A505&amp;"|"&amp;C505</f>
        <v/>
      </c>
    </row>
    <row r="506">
      <c r="A506" s="4" t="inlineStr">
        <is>
          <t>golf</t>
        </is>
      </c>
      <c r="B506" s="4" t="inlineStr">
        <is>
          <t>alex</t>
        </is>
      </c>
      <c r="C506" s="4" t="inlineStr">
        <is>
          <t>2024-05-23 16:21</t>
        </is>
      </c>
      <c r="D506" s="4" t="n">
        <v>52998</v>
      </c>
      <c r="E506" s="4" t="inlineStr">
        <is>
          <t>petrol</t>
        </is>
      </c>
      <c r="F506" s="4" t="n">
        <v>44.038</v>
      </c>
      <c r="G506" s="4" t="n">
        <v>1.456</v>
      </c>
      <c r="H506" s="4" t="n">
        <v>64.12</v>
      </c>
      <c r="I506" s="4" t="inlineStr">
        <is>
          <t>no</t>
        </is>
      </c>
      <c r="J506" s="4" t="inlineStr">
        <is>
          <t>Tesco Birstall</t>
        </is>
      </c>
      <c r="K506" s="2">
        <f>IF(A506&lt;&gt;A505,"",IF(I505="no",D505,K505))</f>
        <v/>
      </c>
      <c r="L506" s="2">
        <f>IF(OR(A506&lt;&gt;A505,K506=""),"",IF(I505="no",F506,L505+F506))</f>
        <v/>
      </c>
      <c r="M506" s="2">
        <f>IF(AND(I506="no",K506&lt;&gt;""),D506-K506,"")</f>
        <v/>
      </c>
      <c r="N506" s="19">
        <f>IF(M506="","",L506/M506*100)</f>
        <v/>
      </c>
      <c r="O506" s="2">
        <f>A506&amp;"|"&amp;C506</f>
        <v/>
      </c>
    </row>
    <row r="507">
      <c r="A507" s="4" t="inlineStr">
        <is>
          <t>golf</t>
        </is>
      </c>
      <c r="B507" s="4" t="inlineStr">
        <is>
          <t>alex</t>
        </is>
      </c>
      <c r="C507" s="4" t="inlineStr">
        <is>
          <t>2024-06-03 19:17</t>
        </is>
      </c>
      <c r="D507" s="4" t="n">
        <v>53640.8</v>
      </c>
      <c r="E507" s="4" t="inlineStr">
        <is>
          <t>petrol</t>
        </is>
      </c>
      <c r="F507" s="4" t="n">
        <v>39.68</v>
      </c>
      <c r="G507" s="4" t="n">
        <v>1.45</v>
      </c>
      <c r="H507" s="4" t="n">
        <v>57.54</v>
      </c>
      <c r="I507" s="4" t="inlineStr">
        <is>
          <t>no</t>
        </is>
      </c>
      <c r="J507" s="4" t="inlineStr">
        <is>
          <t>Shell Leeds Road</t>
        </is>
      </c>
      <c r="K507" s="2">
        <f>IF(A507&lt;&gt;A506,"",IF(I506="no",D506,K506))</f>
        <v/>
      </c>
      <c r="L507" s="2">
        <f>IF(OR(A507&lt;&gt;A506,K507=""),"",IF(I506="no",F507,L506+F507))</f>
        <v/>
      </c>
      <c r="M507" s="2">
        <f>IF(AND(I507="no",K507&lt;&gt;""),D507-K507,"")</f>
        <v/>
      </c>
      <c r="N507" s="19">
        <f>IF(M507="","",L507/M507*100)</f>
        <v/>
      </c>
      <c r="O507" s="2">
        <f>A507&amp;"|"&amp;C507</f>
        <v/>
      </c>
    </row>
    <row r="508">
      <c r="A508" s="4" t="inlineStr">
        <is>
          <t>golf</t>
        </is>
      </c>
      <c r="B508" s="4" t="inlineStr">
        <is>
          <t>alex</t>
        </is>
      </c>
      <c r="C508" s="4" t="inlineStr">
        <is>
          <t>2024-06-11 08:24</t>
        </is>
      </c>
      <c r="D508" s="4" t="n">
        <v>54149.2</v>
      </c>
      <c r="E508" s="4" t="inlineStr">
        <is>
          <t>petrol</t>
        </is>
      </c>
      <c r="F508" s="4" t="n">
        <v>32.3</v>
      </c>
      <c r="G508" s="4" t="n">
        <v>1.453</v>
      </c>
      <c r="H508" s="4" t="n">
        <v>46.93</v>
      </c>
      <c r="I508" s="4" t="inlineStr">
        <is>
          <t>no</t>
        </is>
      </c>
      <c r="J508" s="4" t="inlineStr">
        <is>
          <t>Tesco Birstall</t>
        </is>
      </c>
      <c r="K508" s="2">
        <f>IF(A508&lt;&gt;A507,"",IF(I507="no",D507,K507))</f>
        <v/>
      </c>
      <c r="L508" s="2">
        <f>IF(OR(A508&lt;&gt;A507,K508=""),"",IF(I507="no",F508,L507+F508))</f>
        <v/>
      </c>
      <c r="M508" s="2">
        <f>IF(AND(I508="no",K508&lt;&gt;""),D508-K508,"")</f>
        <v/>
      </c>
      <c r="N508" s="19">
        <f>IF(M508="","",L508/M508*100)</f>
        <v/>
      </c>
      <c r="O508" s="2">
        <f>A508&amp;"|"&amp;C508</f>
        <v/>
      </c>
    </row>
    <row r="509">
      <c r="A509" s="4" t="inlineStr">
        <is>
          <t>golf</t>
        </is>
      </c>
      <c r="B509" s="4" t="inlineStr">
        <is>
          <t>alex</t>
        </is>
      </c>
      <c r="C509" s="4" t="inlineStr">
        <is>
          <t>2024-06-18 19:01</t>
        </is>
      </c>
      <c r="D509" s="4" t="n">
        <v>54634.9</v>
      </c>
      <c r="E509" s="4" t="inlineStr">
        <is>
          <t>petrol</t>
        </is>
      </c>
      <c r="F509" s="4" t="n">
        <v>29.11</v>
      </c>
      <c r="G509" s="4" t="n">
        <v>1.448</v>
      </c>
      <c r="H509" s="4" t="n">
        <v>42.15</v>
      </c>
      <c r="I509" s="4" t="inlineStr">
        <is>
          <t>no</t>
        </is>
      </c>
      <c r="J509" s="4" t="inlineStr">
        <is>
          <t>Shell Leeds Road</t>
        </is>
      </c>
      <c r="K509" s="2">
        <f>IF(A509&lt;&gt;A508,"",IF(I508="no",D508,K508))</f>
        <v/>
      </c>
      <c r="L509" s="2">
        <f>IF(OR(A509&lt;&gt;A508,K509=""),"",IF(I508="no",F509,L508+F509))</f>
        <v/>
      </c>
      <c r="M509" s="2">
        <f>IF(AND(I509="no",K509&lt;&gt;""),D509-K509,"")</f>
        <v/>
      </c>
      <c r="N509" s="19">
        <f>IF(M509="","",L509/M509*100)</f>
        <v/>
      </c>
      <c r="O509" s="2">
        <f>A509&amp;"|"&amp;C509</f>
        <v/>
      </c>
    </row>
    <row r="510">
      <c r="A510" s="4" t="inlineStr">
        <is>
          <t>golf</t>
        </is>
      </c>
      <c r="B510" s="4" t="inlineStr">
        <is>
          <t>alex</t>
        </is>
      </c>
      <c r="C510" s="4" t="inlineStr">
        <is>
          <t>2024-06-30 09:07</t>
        </is>
      </c>
      <c r="D510" s="4" t="n">
        <v>55300.3</v>
      </c>
      <c r="E510" s="4" t="inlineStr">
        <is>
          <t>petrol</t>
        </is>
      </c>
      <c r="F510" s="4" t="n">
        <v>42.302</v>
      </c>
      <c r="G510" s="4" t="n">
        <v>1.449</v>
      </c>
      <c r="H510" s="4" t="n">
        <v>61.3</v>
      </c>
      <c r="I510" s="4" t="inlineStr">
        <is>
          <t>no</t>
        </is>
      </c>
      <c r="J510" s="4" t="inlineStr">
        <is>
          <t>Esso Wakefield</t>
        </is>
      </c>
      <c r="K510" s="2">
        <f>IF(A510&lt;&gt;A509,"",IF(I509="no",D509,K509))</f>
        <v/>
      </c>
      <c r="L510" s="2">
        <f>IF(OR(A510&lt;&gt;A509,K510=""),"",IF(I509="no",F510,L509+F510))</f>
        <v/>
      </c>
      <c r="M510" s="2">
        <f>IF(AND(I510="no",K510&lt;&gt;""),D510-K510,"")</f>
        <v/>
      </c>
      <c r="N510" s="19">
        <f>IF(M510="","",L510/M510*100)</f>
        <v/>
      </c>
      <c r="O510" s="2">
        <f>A510&amp;"|"&amp;C510</f>
        <v/>
      </c>
    </row>
    <row r="511">
      <c r="A511" s="4" t="inlineStr">
        <is>
          <t>golf</t>
        </is>
      </c>
      <c r="B511" s="4" t="inlineStr">
        <is>
          <t>alex</t>
        </is>
      </c>
      <c r="C511" s="4" t="inlineStr">
        <is>
          <t>2024-07-12 19:17</t>
        </is>
      </c>
      <c r="D511" s="4" t="n">
        <v>56057.9</v>
      </c>
      <c r="E511" s="4" t="inlineStr">
        <is>
          <t>petrol</t>
        </is>
      </c>
      <c r="F511" s="4" t="n">
        <v>46.25</v>
      </c>
      <c r="G511" s="4" t="n">
        <v>1.445</v>
      </c>
      <c r="H511" s="4" t="n">
        <v>66.83</v>
      </c>
      <c r="I511" s="4" t="inlineStr">
        <is>
          <t>no</t>
        </is>
      </c>
      <c r="J511" s="4" t="inlineStr">
        <is>
          <t>Esso Wakefield</t>
        </is>
      </c>
      <c r="K511" s="2">
        <f>IF(A511&lt;&gt;A510,"",IF(I510="no",D510,K510))</f>
        <v/>
      </c>
      <c r="L511" s="2">
        <f>IF(OR(A511&lt;&gt;A510,K511=""),"",IF(I510="no",F511,L510+F511))</f>
        <v/>
      </c>
      <c r="M511" s="2">
        <f>IF(AND(I511="no",K511&lt;&gt;""),D511-K511,"")</f>
        <v/>
      </c>
      <c r="N511" s="19">
        <f>IF(M511="","",L511/M511*100)</f>
        <v/>
      </c>
      <c r="O511" s="2">
        <f>A511&amp;"|"&amp;C511</f>
        <v/>
      </c>
    </row>
    <row r="512">
      <c r="A512" s="4" t="inlineStr">
        <is>
          <t>golf</t>
        </is>
      </c>
      <c r="B512" s="4" t="inlineStr">
        <is>
          <t>alex</t>
        </is>
      </c>
      <c r="C512" s="4" t="inlineStr">
        <is>
          <t>2024-07-26 13:54</t>
        </is>
      </c>
      <c r="D512" s="4" t="n">
        <v>56728.9</v>
      </c>
      <c r="E512" s="4" t="inlineStr">
        <is>
          <t>petrol</t>
        </is>
      </c>
      <c r="F512" s="4" t="n">
        <v>41.892</v>
      </c>
      <c r="G512" s="4" t="n">
        <v>1.429</v>
      </c>
      <c r="H512" s="4" t="n">
        <v>59.86</v>
      </c>
      <c r="I512" s="4" t="inlineStr">
        <is>
          <t>no</t>
        </is>
      </c>
      <c r="J512" s="4" t="inlineStr">
        <is>
          <t>Tesco Birstall</t>
        </is>
      </c>
      <c r="K512" s="2">
        <f>IF(A512&lt;&gt;A511,"",IF(I511="no",D511,K511))</f>
        <v/>
      </c>
      <c r="L512" s="2">
        <f>IF(OR(A512&lt;&gt;A511,K512=""),"",IF(I511="no",F512,L511+F512))</f>
        <v/>
      </c>
      <c r="M512" s="2">
        <f>IF(AND(I512="no",K512&lt;&gt;""),D512-K512,"")</f>
        <v/>
      </c>
      <c r="N512" s="19">
        <f>IF(M512="","",L512/M512*100)</f>
        <v/>
      </c>
      <c r="O512" s="2">
        <f>A512&amp;"|"&amp;C512</f>
        <v/>
      </c>
    </row>
    <row r="513">
      <c r="A513" s="4" t="inlineStr">
        <is>
          <t>golf</t>
        </is>
      </c>
      <c r="B513" s="4" t="inlineStr">
        <is>
          <t>sam</t>
        </is>
      </c>
      <c r="C513" s="4" t="inlineStr">
        <is>
          <t>2024-08-03 12:26</t>
        </is>
      </c>
      <c r="D513" s="4" t="n">
        <v>57256.5</v>
      </c>
      <c r="E513" s="4" t="inlineStr">
        <is>
          <t>petrol</t>
        </is>
      </c>
      <c r="F513" s="4" t="n">
        <v>32.784</v>
      </c>
      <c r="G513" s="4" t="n">
        <v>1.429</v>
      </c>
      <c r="H513" s="4" t="n">
        <v>46.85</v>
      </c>
      <c r="I513" s="4" t="inlineStr">
        <is>
          <t>no</t>
        </is>
      </c>
      <c r="J513" s="4" t="inlineStr">
        <is>
          <t>Tesco Birstall</t>
        </is>
      </c>
      <c r="K513" s="2">
        <f>IF(A513&lt;&gt;A512,"",IF(I512="no",D512,K512))</f>
        <v/>
      </c>
      <c r="L513" s="2">
        <f>IF(OR(A513&lt;&gt;A512,K513=""),"",IF(I512="no",F513,L512+F513))</f>
        <v/>
      </c>
      <c r="M513" s="2">
        <f>IF(AND(I513="no",K513&lt;&gt;""),D513-K513,"")</f>
        <v/>
      </c>
      <c r="N513" s="19">
        <f>IF(M513="","",L513/M513*100)</f>
        <v/>
      </c>
      <c r="O513" s="2">
        <f>A513&amp;"|"&amp;C513</f>
        <v/>
      </c>
    </row>
    <row r="514">
      <c r="A514" s="4" t="inlineStr">
        <is>
          <t>golf</t>
        </is>
      </c>
      <c r="B514" s="4" t="inlineStr">
        <is>
          <t>alex</t>
        </is>
      </c>
      <c r="C514" s="4" t="inlineStr">
        <is>
          <t>2024-08-12 14:37</t>
        </is>
      </c>
      <c r="D514" s="4" t="n">
        <v>57768.6</v>
      </c>
      <c r="E514" s="4" t="inlineStr">
        <is>
          <t>petrol</t>
        </is>
      </c>
      <c r="F514" s="4" t="n">
        <v>32.58</v>
      </c>
      <c r="G514" s="4" t="n">
        <v>1.43</v>
      </c>
      <c r="H514" s="4" t="n">
        <v>46.59</v>
      </c>
      <c r="I514" s="4" t="inlineStr">
        <is>
          <t>no</t>
        </is>
      </c>
      <c r="J514" s="4" t="inlineStr">
        <is>
          <t>Shell Leeds Road</t>
        </is>
      </c>
      <c r="K514" s="2">
        <f>IF(A514&lt;&gt;A513,"",IF(I513="no",D513,K513))</f>
        <v/>
      </c>
      <c r="L514" s="2">
        <f>IF(OR(A514&lt;&gt;A513,K514=""),"",IF(I513="no",F514,L513+F514))</f>
        <v/>
      </c>
      <c r="M514" s="2">
        <f>IF(AND(I514="no",K514&lt;&gt;""),D514-K514,"")</f>
        <v/>
      </c>
      <c r="N514" s="19">
        <f>IF(M514="","",L514/M514*100)</f>
        <v/>
      </c>
      <c r="O514" s="2">
        <f>A514&amp;"|"&amp;C514</f>
        <v/>
      </c>
    </row>
    <row r="515">
      <c r="A515" s="4" t="inlineStr">
        <is>
          <t>golf</t>
        </is>
      </c>
      <c r="B515" s="4" t="inlineStr">
        <is>
          <t>alex</t>
        </is>
      </c>
      <c r="C515" s="4" t="inlineStr">
        <is>
          <t>2024-08-22 20:54</t>
        </is>
      </c>
      <c r="D515" s="4" t="n">
        <v>58476.5</v>
      </c>
      <c r="E515" s="4" t="inlineStr">
        <is>
          <t>petrol</t>
        </is>
      </c>
      <c r="F515" s="4" t="n">
        <v>43.077</v>
      </c>
      <c r="G515" s="4" t="n">
        <v>1.418</v>
      </c>
      <c r="H515" s="4" t="n">
        <v>61.08</v>
      </c>
      <c r="I515" s="4" t="inlineStr">
        <is>
          <t>no</t>
        </is>
      </c>
      <c r="J515" s="4" t="inlineStr">
        <is>
          <t>BP Ring Road</t>
        </is>
      </c>
      <c r="K515" s="2">
        <f>IF(A515&lt;&gt;A514,"",IF(I514="no",D514,K514))</f>
        <v/>
      </c>
      <c r="L515" s="2">
        <f>IF(OR(A515&lt;&gt;A514,K515=""),"",IF(I514="no",F515,L514+F515))</f>
        <v/>
      </c>
      <c r="M515" s="2">
        <f>IF(AND(I515="no",K515&lt;&gt;""),D515-K515,"")</f>
        <v/>
      </c>
      <c r="N515" s="19">
        <f>IF(M515="","",L515/M515*100)</f>
        <v/>
      </c>
      <c r="O515" s="2">
        <f>A515&amp;"|"&amp;C515</f>
        <v/>
      </c>
    </row>
    <row r="516">
      <c r="A516" s="4" t="inlineStr">
        <is>
          <t>golf</t>
        </is>
      </c>
      <c r="B516" s="4" t="inlineStr">
        <is>
          <t>alex</t>
        </is>
      </c>
      <c r="C516" s="4" t="inlineStr">
        <is>
          <t>2024-08-31 14:59</t>
        </is>
      </c>
      <c r="D516" s="4" t="n">
        <v>58985.6</v>
      </c>
      <c r="E516" s="4" t="inlineStr">
        <is>
          <t>petrol</t>
        </is>
      </c>
      <c r="F516" s="4" t="n">
        <v>32.814</v>
      </c>
      <c r="G516" s="4" t="n">
        <v>1.424</v>
      </c>
      <c r="H516" s="4" t="n">
        <v>46.73</v>
      </c>
      <c r="I516" s="4" t="inlineStr">
        <is>
          <t>no</t>
        </is>
      </c>
      <c r="J516" s="4" t="inlineStr">
        <is>
          <t>Esso Wakefield</t>
        </is>
      </c>
      <c r="K516" s="2">
        <f>IF(A516&lt;&gt;A515,"",IF(I515="no",D515,K515))</f>
        <v/>
      </c>
      <c r="L516" s="2">
        <f>IF(OR(A516&lt;&gt;A515,K516=""),"",IF(I515="no",F516,L515+F516))</f>
        <v/>
      </c>
      <c r="M516" s="2">
        <f>IF(AND(I516="no",K516&lt;&gt;""),D516-K516,"")</f>
        <v/>
      </c>
      <c r="N516" s="19">
        <f>IF(M516="","",L516/M516*100)</f>
        <v/>
      </c>
      <c r="O516" s="2">
        <f>A516&amp;"|"&amp;C516</f>
        <v/>
      </c>
    </row>
    <row r="517">
      <c r="A517" s="4" t="inlineStr">
        <is>
          <t>golf</t>
        </is>
      </c>
      <c r="B517" s="4" t="inlineStr">
        <is>
          <t>alex</t>
        </is>
      </c>
      <c r="C517" s="4" t="inlineStr">
        <is>
          <t>2024-09-10 14:35</t>
        </is>
      </c>
      <c r="D517" s="4" t="n">
        <v>59538.8</v>
      </c>
      <c r="E517" s="4" t="inlineStr">
        <is>
          <t>petrol</t>
        </is>
      </c>
      <c r="F517" s="4" t="n">
        <v>33.642</v>
      </c>
      <c r="G517" s="4" t="n">
        <v>1.417</v>
      </c>
      <c r="H517" s="4" t="n">
        <v>47.67</v>
      </c>
      <c r="I517" s="4" t="inlineStr">
        <is>
          <t>no</t>
        </is>
      </c>
      <c r="J517" s="4" t="inlineStr">
        <is>
          <t>Tesco Birstall</t>
        </is>
      </c>
      <c r="K517" s="2">
        <f>IF(A517&lt;&gt;A516,"",IF(I516="no",D516,K516))</f>
        <v/>
      </c>
      <c r="L517" s="2">
        <f>IF(OR(A517&lt;&gt;A516,K517=""),"",IF(I516="no",F517,L516+F517))</f>
        <v/>
      </c>
      <c r="M517" s="2">
        <f>IF(AND(I517="no",K517&lt;&gt;""),D517-K517,"")</f>
        <v/>
      </c>
      <c r="N517" s="19">
        <f>IF(M517="","",L517/M517*100)</f>
        <v/>
      </c>
      <c r="O517" s="2">
        <f>A517&amp;"|"&amp;C517</f>
        <v/>
      </c>
    </row>
    <row r="518">
      <c r="A518" s="4" t="inlineStr">
        <is>
          <t>golf</t>
        </is>
      </c>
      <c r="B518" s="4" t="inlineStr">
        <is>
          <t>alex</t>
        </is>
      </c>
      <c r="C518" s="4" t="inlineStr">
        <is>
          <t>2024-09-18 11:30</t>
        </is>
      </c>
      <c r="D518" s="4" t="n">
        <v>60030</v>
      </c>
      <c r="E518" s="4" t="inlineStr">
        <is>
          <t>petrol</t>
        </is>
      </c>
      <c r="F518" s="4" t="n">
        <v>31.405</v>
      </c>
      <c r="G518" s="4" t="n">
        <v>1.405</v>
      </c>
      <c r="H518" s="4" t="n">
        <v>44.12</v>
      </c>
      <c r="I518" s="4" t="inlineStr">
        <is>
          <t>no</t>
        </is>
      </c>
      <c r="J518" s="4" t="inlineStr">
        <is>
          <t>BP Ring Road</t>
        </is>
      </c>
      <c r="K518" s="2">
        <f>IF(A518&lt;&gt;A517,"",IF(I517="no",D517,K517))</f>
        <v/>
      </c>
      <c r="L518" s="2">
        <f>IF(OR(A518&lt;&gt;A517,K518=""),"",IF(I517="no",F518,L517+F518))</f>
        <v/>
      </c>
      <c r="M518" s="2">
        <f>IF(AND(I518="no",K518&lt;&gt;""),D518-K518,"")</f>
        <v/>
      </c>
      <c r="N518" s="19">
        <f>IF(M518="","",L518/M518*100)</f>
        <v/>
      </c>
      <c r="O518" s="2">
        <f>A518&amp;"|"&amp;C518</f>
        <v/>
      </c>
    </row>
    <row r="519">
      <c r="A519" s="4" t="inlineStr">
        <is>
          <t>golf</t>
        </is>
      </c>
      <c r="B519" s="4" t="inlineStr">
        <is>
          <t>sam</t>
        </is>
      </c>
      <c r="C519" s="4" t="inlineStr">
        <is>
          <t>2024-10-01 15:47</t>
        </is>
      </c>
      <c r="D519" s="4" t="n">
        <v>60742.5</v>
      </c>
      <c r="E519" s="4" t="inlineStr">
        <is>
          <t>petrol</t>
        </is>
      </c>
      <c r="F519" s="4" t="n">
        <v>44.996</v>
      </c>
      <c r="G519" s="4" t="n">
        <v>1.389</v>
      </c>
      <c r="H519" s="4" t="n">
        <v>62.5</v>
      </c>
      <c r="I519" s="4" t="inlineStr">
        <is>
          <t>no</t>
        </is>
      </c>
      <c r="J519" s="4" t="inlineStr">
        <is>
          <t>BP Ring Road</t>
        </is>
      </c>
      <c r="K519" s="2">
        <f>IF(A519&lt;&gt;A518,"",IF(I518="no",D518,K518))</f>
        <v/>
      </c>
      <c r="L519" s="2">
        <f>IF(OR(A519&lt;&gt;A518,K519=""),"",IF(I518="no",F519,L518+F519))</f>
        <v/>
      </c>
      <c r="M519" s="2">
        <f>IF(AND(I519="no",K519&lt;&gt;""),D519-K519,"")</f>
        <v/>
      </c>
      <c r="N519" s="19">
        <f>IF(M519="","",L519/M519*100)</f>
        <v/>
      </c>
      <c r="O519" s="2">
        <f>A519&amp;"|"&amp;C519</f>
        <v/>
      </c>
    </row>
    <row r="520">
      <c r="A520" s="4" t="inlineStr">
        <is>
          <t>golf</t>
        </is>
      </c>
      <c r="B520" s="4" t="inlineStr">
        <is>
          <t>alex</t>
        </is>
      </c>
      <c r="C520" s="4" t="inlineStr">
        <is>
          <t>2024-10-10 20:09</t>
        </is>
      </c>
      <c r="D520" s="4" t="n">
        <v>61426.1</v>
      </c>
      <c r="E520" s="4" t="inlineStr">
        <is>
          <t>petrol</t>
        </is>
      </c>
      <c r="F520" s="4" t="n">
        <v>41.304</v>
      </c>
      <c r="G520" s="4" t="n">
        <v>1.402</v>
      </c>
      <c r="H520" s="4" t="n">
        <v>57.91</v>
      </c>
      <c r="I520" s="4" t="inlineStr">
        <is>
          <t>no</t>
        </is>
      </c>
      <c r="J520" s="4" t="inlineStr">
        <is>
          <t>BP Ring Road</t>
        </is>
      </c>
      <c r="K520" s="2">
        <f>IF(A520&lt;&gt;A519,"",IF(I519="no",D519,K519))</f>
        <v/>
      </c>
      <c r="L520" s="2">
        <f>IF(OR(A520&lt;&gt;A519,K520=""),"",IF(I519="no",F520,L519+F520))</f>
        <v/>
      </c>
      <c r="M520" s="2">
        <f>IF(AND(I520="no",K520&lt;&gt;""),D520-K520,"")</f>
        <v/>
      </c>
      <c r="N520" s="19">
        <f>IF(M520="","",L520/M520*100)</f>
        <v/>
      </c>
      <c r="O520" s="2">
        <f>A520&amp;"|"&amp;C520</f>
        <v/>
      </c>
    </row>
    <row r="521">
      <c r="A521" s="4" t="inlineStr">
        <is>
          <t>golf</t>
        </is>
      </c>
      <c r="B521" s="4" t="inlineStr">
        <is>
          <t>alex</t>
        </is>
      </c>
      <c r="C521" s="4" t="inlineStr">
        <is>
          <t>2024-10-21 15:15</t>
        </is>
      </c>
      <c r="D521" s="4" t="n">
        <v>62117.3</v>
      </c>
      <c r="E521" s="4" t="inlineStr">
        <is>
          <t>petrol</t>
        </is>
      </c>
      <c r="F521" s="4" t="n">
        <v>44.543</v>
      </c>
      <c r="G521" s="4" t="n">
        <v>1.411</v>
      </c>
      <c r="H521" s="4" t="n">
        <v>62.85</v>
      </c>
      <c r="I521" s="4" t="inlineStr">
        <is>
          <t>no</t>
        </is>
      </c>
      <c r="J521" s="4" t="inlineStr">
        <is>
          <t>Tesco Birstall</t>
        </is>
      </c>
      <c r="K521" s="2">
        <f>IF(A521&lt;&gt;A520,"",IF(I520="no",D520,K520))</f>
        <v/>
      </c>
      <c r="L521" s="2">
        <f>IF(OR(A521&lt;&gt;A520,K521=""),"",IF(I520="no",F521,L520+F521))</f>
        <v/>
      </c>
      <c r="M521" s="2">
        <f>IF(AND(I521="no",K521&lt;&gt;""),D521-K521,"")</f>
        <v/>
      </c>
      <c r="N521" s="19">
        <f>IF(M521="","",L521/M521*100)</f>
        <v/>
      </c>
      <c r="O521" s="2">
        <f>A521&amp;"|"&amp;C521</f>
        <v/>
      </c>
    </row>
    <row r="522">
      <c r="A522" s="4" t="inlineStr">
        <is>
          <t>golf</t>
        </is>
      </c>
      <c r="B522" s="4" t="inlineStr">
        <is>
          <t>alex</t>
        </is>
      </c>
      <c r="C522" s="4" t="inlineStr">
        <is>
          <t>2024-10-30 12:51</t>
        </is>
      </c>
      <c r="D522" s="4" t="n">
        <v>62805.1</v>
      </c>
      <c r="E522" s="4" t="inlineStr">
        <is>
          <t>petrol</t>
        </is>
      </c>
      <c r="F522" s="4" t="n">
        <v>42.935</v>
      </c>
      <c r="G522" s="4" t="n">
        <v>1.402</v>
      </c>
      <c r="H522" s="4" t="n">
        <v>60.19</v>
      </c>
      <c r="I522" s="4" t="inlineStr">
        <is>
          <t>no</t>
        </is>
      </c>
      <c r="J522" s="4" t="inlineStr">
        <is>
          <t>Esso Wakefield</t>
        </is>
      </c>
      <c r="K522" s="2">
        <f>IF(A522&lt;&gt;A521,"",IF(I521="no",D521,K521))</f>
        <v/>
      </c>
      <c r="L522" s="2">
        <f>IF(OR(A522&lt;&gt;A521,K522=""),"",IF(I521="no",F522,L521+F522))</f>
        <v/>
      </c>
      <c r="M522" s="2">
        <f>IF(AND(I522="no",K522&lt;&gt;""),D522-K522,"")</f>
        <v/>
      </c>
      <c r="N522" s="19">
        <f>IF(M522="","",L522/M522*100)</f>
        <v/>
      </c>
      <c r="O522" s="2">
        <f>A522&amp;"|"&amp;C522</f>
        <v/>
      </c>
    </row>
    <row r="523">
      <c r="A523" s="4" t="inlineStr">
        <is>
          <t>golf</t>
        </is>
      </c>
      <c r="B523" s="4" t="inlineStr">
        <is>
          <t>alex</t>
        </is>
      </c>
      <c r="C523" s="4" t="inlineStr">
        <is>
          <t>2024-11-08 13:57</t>
        </is>
      </c>
      <c r="D523" s="4" t="n">
        <v>63332.7</v>
      </c>
      <c r="E523" s="4" t="inlineStr">
        <is>
          <t>petrol</t>
        </is>
      </c>
      <c r="F523" s="4" t="n">
        <v>33.672</v>
      </c>
      <c r="G523" s="4" t="n">
        <v>1.392</v>
      </c>
      <c r="H523" s="4" t="n">
        <v>46.87</v>
      </c>
      <c r="I523" s="4" t="inlineStr">
        <is>
          <t>no</t>
        </is>
      </c>
      <c r="J523" s="4" t="inlineStr">
        <is>
          <t>Tesco Birstall</t>
        </is>
      </c>
      <c r="K523" s="2">
        <f>IF(A523&lt;&gt;A522,"",IF(I522="no",D522,K522))</f>
        <v/>
      </c>
      <c r="L523" s="2">
        <f>IF(OR(A523&lt;&gt;A522,K523=""),"",IF(I522="no",F523,L522+F523))</f>
        <v/>
      </c>
      <c r="M523" s="2">
        <f>IF(AND(I523="no",K523&lt;&gt;""),D523-K523,"")</f>
        <v/>
      </c>
      <c r="N523" s="19">
        <f>IF(M523="","",L523/M523*100)</f>
        <v/>
      </c>
      <c r="O523" s="2">
        <f>A523&amp;"|"&amp;C523</f>
        <v/>
      </c>
    </row>
    <row r="524">
      <c r="A524" s="4" t="inlineStr">
        <is>
          <t>golf</t>
        </is>
      </c>
      <c r="B524" s="4" t="inlineStr">
        <is>
          <t>alex</t>
        </is>
      </c>
      <c r="C524" s="4" t="inlineStr">
        <is>
          <t>2024-11-17 12:30</t>
        </is>
      </c>
      <c r="D524" s="4" t="n">
        <v>64007.7</v>
      </c>
      <c r="E524" s="4" t="inlineStr">
        <is>
          <t>petrol</t>
        </is>
      </c>
      <c r="F524" s="4" t="n">
        <v>43.947</v>
      </c>
      <c r="G524" s="4" t="n">
        <v>1.393</v>
      </c>
      <c r="H524" s="4" t="n">
        <v>61.22</v>
      </c>
      <c r="I524" s="4" t="inlineStr">
        <is>
          <t>no</t>
        </is>
      </c>
      <c r="J524" s="4" t="inlineStr">
        <is>
          <t>Tesco Birstall</t>
        </is>
      </c>
      <c r="K524" s="2">
        <f>IF(A524&lt;&gt;A523,"",IF(I523="no",D523,K523))</f>
        <v/>
      </c>
      <c r="L524" s="2">
        <f>IF(OR(A524&lt;&gt;A523,K524=""),"",IF(I523="no",F524,L523+F524))</f>
        <v/>
      </c>
      <c r="M524" s="2">
        <f>IF(AND(I524="no",K524&lt;&gt;""),D524-K524,"")</f>
        <v/>
      </c>
      <c r="N524" s="19">
        <f>IF(M524="","",L524/M524*100)</f>
        <v/>
      </c>
      <c r="O524" s="2">
        <f>A524&amp;"|"&amp;C524</f>
        <v/>
      </c>
    </row>
    <row r="525">
      <c r="A525" s="4" t="inlineStr">
        <is>
          <t>golf</t>
        </is>
      </c>
      <c r="B525" s="4" t="inlineStr">
        <is>
          <t>alex</t>
        </is>
      </c>
      <c r="C525" s="4" t="inlineStr">
        <is>
          <t>2024-11-26 15:17</t>
        </is>
      </c>
      <c r="D525" s="4" t="n">
        <v>64597</v>
      </c>
      <c r="E525" s="4" t="inlineStr">
        <is>
          <t>petrol</t>
        </is>
      </c>
      <c r="F525" s="4" t="n">
        <v>35.438</v>
      </c>
      <c r="G525" s="4" t="n">
        <v>1.398</v>
      </c>
      <c r="H525" s="4" t="n">
        <v>49.54</v>
      </c>
      <c r="I525" s="4" t="inlineStr">
        <is>
          <t>no</t>
        </is>
      </c>
      <c r="J525" s="4" t="inlineStr">
        <is>
          <t>Shell Leeds Road</t>
        </is>
      </c>
      <c r="K525" s="2">
        <f>IF(A525&lt;&gt;A524,"",IF(I524="no",D524,K524))</f>
        <v/>
      </c>
      <c r="L525" s="2">
        <f>IF(OR(A525&lt;&gt;A524,K525=""),"",IF(I524="no",F525,L524+F525))</f>
        <v/>
      </c>
      <c r="M525" s="2">
        <f>IF(AND(I525="no",K525&lt;&gt;""),D525-K525,"")</f>
        <v/>
      </c>
      <c r="N525" s="19">
        <f>IF(M525="","",L525/M525*100)</f>
        <v/>
      </c>
      <c r="O525" s="2">
        <f>A525&amp;"|"&amp;C525</f>
        <v/>
      </c>
    </row>
    <row r="526">
      <c r="A526" s="4" t="inlineStr">
        <is>
          <t>golf</t>
        </is>
      </c>
      <c r="B526" s="4" t="inlineStr">
        <is>
          <t>alex</t>
        </is>
      </c>
      <c r="C526" s="4" t="inlineStr">
        <is>
          <t>2024-12-03 18:19</t>
        </is>
      </c>
      <c r="D526" s="4" t="n">
        <v>65110.1</v>
      </c>
      <c r="E526" s="4" t="inlineStr">
        <is>
          <t>petrol</t>
        </is>
      </c>
      <c r="F526" s="4" t="n">
        <v>31.91</v>
      </c>
      <c r="G526" s="4" t="n">
        <v>1.395</v>
      </c>
      <c r="H526" s="4" t="n">
        <v>44.51</v>
      </c>
      <c r="I526" s="4" t="inlineStr">
        <is>
          <t>no</t>
        </is>
      </c>
      <c r="J526" s="4" t="inlineStr">
        <is>
          <t>Esso Wakefield</t>
        </is>
      </c>
      <c r="K526" s="2">
        <f>IF(A526&lt;&gt;A525,"",IF(I525="no",D525,K525))</f>
        <v/>
      </c>
      <c r="L526" s="2">
        <f>IF(OR(A526&lt;&gt;A525,K526=""),"",IF(I525="no",F526,L525+F526))</f>
        <v/>
      </c>
      <c r="M526" s="2">
        <f>IF(AND(I526="no",K526&lt;&gt;""),D526-K526,"")</f>
        <v/>
      </c>
      <c r="N526" s="19">
        <f>IF(M526="","",L526/M526*100)</f>
        <v/>
      </c>
      <c r="O526" s="2">
        <f>A526&amp;"|"&amp;C526</f>
        <v/>
      </c>
    </row>
    <row r="527">
      <c r="A527" s="4" t="inlineStr">
        <is>
          <t>golf</t>
        </is>
      </c>
      <c r="B527" s="4" t="inlineStr">
        <is>
          <t>sam</t>
        </is>
      </c>
      <c r="C527" s="4" t="inlineStr">
        <is>
          <t>2024-12-14 11:45</t>
        </is>
      </c>
      <c r="D527" s="4" t="n">
        <v>65692.39999999999</v>
      </c>
      <c r="E527" s="4" t="inlineStr">
        <is>
          <t>petrol</t>
        </is>
      </c>
      <c r="F527" s="4" t="n">
        <v>37.14</v>
      </c>
      <c r="G527" s="4" t="n">
        <v>1.396</v>
      </c>
      <c r="H527" s="4" t="n">
        <v>51.85</v>
      </c>
      <c r="I527" s="4" t="inlineStr">
        <is>
          <t>no</t>
        </is>
      </c>
      <c r="J527" s="4" t="inlineStr">
        <is>
          <t>Esso Wakefield</t>
        </is>
      </c>
      <c r="K527" s="2">
        <f>IF(A527&lt;&gt;A526,"",IF(I526="no",D526,K526))</f>
        <v/>
      </c>
      <c r="L527" s="2">
        <f>IF(OR(A527&lt;&gt;A526,K527=""),"",IF(I526="no",F527,L526+F527))</f>
        <v/>
      </c>
      <c r="M527" s="2">
        <f>IF(AND(I527="no",K527&lt;&gt;""),D527-K527,"")</f>
        <v/>
      </c>
      <c r="N527" s="19">
        <f>IF(M527="","",L527/M527*100)</f>
        <v/>
      </c>
      <c r="O527" s="2">
        <f>A527&amp;"|"&amp;C527</f>
        <v/>
      </c>
    </row>
    <row r="528">
      <c r="A528" s="4" t="inlineStr">
        <is>
          <t>golf</t>
        </is>
      </c>
      <c r="B528" s="4" t="inlineStr">
        <is>
          <t>sam</t>
        </is>
      </c>
      <c r="C528" s="4" t="inlineStr">
        <is>
          <t>2024-12-22 19:13</t>
        </is>
      </c>
      <c r="D528" s="4" t="n">
        <v>66396.89999999999</v>
      </c>
      <c r="E528" s="4" t="inlineStr">
        <is>
          <t>petrol</t>
        </is>
      </c>
      <c r="F528" s="4" t="n">
        <v>42.873</v>
      </c>
      <c r="G528" s="4" t="n">
        <v>1.416</v>
      </c>
      <c r="H528" s="4" t="n">
        <v>60.71</v>
      </c>
      <c r="I528" s="4" t="inlineStr">
        <is>
          <t>no</t>
        </is>
      </c>
      <c r="J528" s="4" t="inlineStr">
        <is>
          <t>Shell Leeds Road</t>
        </is>
      </c>
      <c r="K528" s="2">
        <f>IF(A528&lt;&gt;A527,"",IF(I527="no",D527,K527))</f>
        <v/>
      </c>
      <c r="L528" s="2">
        <f>IF(OR(A528&lt;&gt;A527,K528=""),"",IF(I527="no",F528,L527+F528))</f>
        <v/>
      </c>
      <c r="M528" s="2">
        <f>IF(AND(I528="no",K528&lt;&gt;""),D528-K528,"")</f>
        <v/>
      </c>
      <c r="N528" s="19">
        <f>IF(M528="","",L528/M528*100)</f>
        <v/>
      </c>
      <c r="O528" s="2">
        <f>A528&amp;"|"&amp;C528</f>
        <v/>
      </c>
    </row>
    <row r="529">
      <c r="A529" s="4" t="inlineStr">
        <is>
          <t>golf</t>
        </is>
      </c>
      <c r="B529" s="4" t="inlineStr">
        <is>
          <t>alex</t>
        </is>
      </c>
      <c r="C529" s="4" t="inlineStr">
        <is>
          <t>2024-12-30 16:48</t>
        </is>
      </c>
      <c r="D529" s="4" t="n">
        <v>66955.8</v>
      </c>
      <c r="E529" s="4" t="inlineStr">
        <is>
          <t>petrol</t>
        </is>
      </c>
      <c r="F529" s="4" t="n">
        <v>35.878</v>
      </c>
      <c r="G529" s="4" t="n">
        <v>1.403</v>
      </c>
      <c r="H529" s="4" t="n">
        <v>50.34</v>
      </c>
      <c r="I529" s="4" t="inlineStr">
        <is>
          <t>no</t>
        </is>
      </c>
      <c r="J529" s="4" t="inlineStr">
        <is>
          <t>Shell Leeds Road</t>
        </is>
      </c>
      <c r="K529" s="2">
        <f>IF(A529&lt;&gt;A528,"",IF(I528="no",D528,K528))</f>
        <v/>
      </c>
      <c r="L529" s="2">
        <f>IF(OR(A529&lt;&gt;A528,K529=""),"",IF(I528="no",F529,L528+F529))</f>
        <v/>
      </c>
      <c r="M529" s="2">
        <f>IF(AND(I529="no",K529&lt;&gt;""),D529-K529,"")</f>
        <v/>
      </c>
      <c r="N529" s="19">
        <f>IF(M529="","",L529/M529*100)</f>
        <v/>
      </c>
      <c r="O529" s="2">
        <f>A529&amp;"|"&amp;C529</f>
        <v/>
      </c>
    </row>
    <row r="530">
      <c r="A530" s="4" t="inlineStr">
        <is>
          <t>golf</t>
        </is>
      </c>
      <c r="B530" s="4" t="inlineStr">
        <is>
          <t>alex</t>
        </is>
      </c>
      <c r="C530" s="4" t="inlineStr">
        <is>
          <t>2025-01-10 20:39</t>
        </is>
      </c>
      <c r="D530" s="4" t="n">
        <v>67682.89999999999</v>
      </c>
      <c r="E530" s="4" t="inlineStr">
        <is>
          <t>petrol</t>
        </is>
      </c>
      <c r="F530" s="4" t="n">
        <v>44.097</v>
      </c>
      <c r="G530" s="4" t="n">
        <v>1.42</v>
      </c>
      <c r="H530" s="4" t="n">
        <v>62.62</v>
      </c>
      <c r="I530" s="4" t="inlineStr">
        <is>
          <t>no</t>
        </is>
      </c>
      <c r="J530" s="4" t="inlineStr">
        <is>
          <t>Tesco Birstall</t>
        </is>
      </c>
      <c r="K530" s="2">
        <f>IF(A530&lt;&gt;A529,"",IF(I529="no",D529,K529))</f>
        <v/>
      </c>
      <c r="L530" s="2">
        <f>IF(OR(A530&lt;&gt;A529,K530=""),"",IF(I529="no",F530,L529+F530))</f>
        <v/>
      </c>
      <c r="M530" s="2">
        <f>IF(AND(I530="no",K530&lt;&gt;""),D530-K530,"")</f>
        <v/>
      </c>
      <c r="N530" s="19">
        <f>IF(M530="","",L530/M530*100)</f>
        <v/>
      </c>
      <c r="O530" s="2">
        <f>A530&amp;"|"&amp;C530</f>
        <v/>
      </c>
    </row>
    <row r="531">
      <c r="A531" s="4" t="inlineStr">
        <is>
          <t>golf</t>
        </is>
      </c>
      <c r="B531" s="4" t="inlineStr">
        <is>
          <t>alex</t>
        </is>
      </c>
      <c r="C531" s="4" t="inlineStr">
        <is>
          <t>2025-01-18 15:18</t>
        </is>
      </c>
      <c r="D531" s="4" t="n">
        <v>68201.7</v>
      </c>
      <c r="E531" s="4" t="inlineStr">
        <is>
          <t>petrol</t>
        </is>
      </c>
      <c r="F531" s="4" t="n">
        <v>25.5</v>
      </c>
      <c r="G531" s="4" t="n">
        <v>1.401</v>
      </c>
      <c r="H531" s="4" t="n">
        <v>35.73</v>
      </c>
      <c r="I531" s="4" t="inlineStr">
        <is>
          <t>yes</t>
        </is>
      </c>
      <c r="J531" s="4" t="inlineStr">
        <is>
          <t>BP Ring Road</t>
        </is>
      </c>
      <c r="K531" s="2">
        <f>IF(A531&lt;&gt;A530,"",IF(I530="no",D530,K530))</f>
        <v/>
      </c>
      <c r="L531" s="2">
        <f>IF(OR(A531&lt;&gt;A530,K531=""),"",IF(I530="no",F531,L530+F531))</f>
        <v/>
      </c>
      <c r="M531" s="2">
        <f>IF(AND(I531="no",K531&lt;&gt;""),D531-K531,"")</f>
        <v/>
      </c>
      <c r="N531" s="19">
        <f>IF(M531="","",L531/M531*100)</f>
        <v/>
      </c>
      <c r="O531" s="2">
        <f>A531&amp;"|"&amp;C531</f>
        <v/>
      </c>
    </row>
    <row r="532">
      <c r="A532" s="4" t="inlineStr">
        <is>
          <t>golf</t>
        </is>
      </c>
      <c r="B532" s="4" t="inlineStr">
        <is>
          <t>alex</t>
        </is>
      </c>
      <c r="C532" s="4" t="inlineStr">
        <is>
          <t>2025-01-25 14:54</t>
        </is>
      </c>
      <c r="D532" s="4" t="n">
        <v>68618.10000000001</v>
      </c>
      <c r="E532" s="4" t="inlineStr">
        <is>
          <t>petrol</t>
        </is>
      </c>
      <c r="F532" s="4" t="n">
        <v>33.457</v>
      </c>
      <c r="G532" s="4" t="n">
        <v>1.411</v>
      </c>
      <c r="H532" s="4" t="n">
        <v>47.21</v>
      </c>
      <c r="I532" s="4" t="inlineStr">
        <is>
          <t>no</t>
        </is>
      </c>
      <c r="J532" s="4" t="inlineStr">
        <is>
          <t>Tesco Birstall</t>
        </is>
      </c>
      <c r="K532" s="2">
        <f>IF(A532&lt;&gt;A531,"",IF(I531="no",D531,K531))</f>
        <v/>
      </c>
      <c r="L532" s="2">
        <f>IF(OR(A532&lt;&gt;A531,K532=""),"",IF(I531="no",F532,L531+F532))</f>
        <v/>
      </c>
      <c r="M532" s="2">
        <f>IF(AND(I532="no",K532&lt;&gt;""),D532-K532,"")</f>
        <v/>
      </c>
      <c r="N532" s="19">
        <f>IF(M532="","",L532/M532*100)</f>
        <v/>
      </c>
      <c r="O532" s="2">
        <f>A532&amp;"|"&amp;C532</f>
        <v/>
      </c>
    </row>
    <row r="533">
      <c r="A533" s="4" t="inlineStr">
        <is>
          <t>golf</t>
        </is>
      </c>
      <c r="B533" s="4" t="inlineStr">
        <is>
          <t>alex</t>
        </is>
      </c>
      <c r="C533" s="4" t="inlineStr">
        <is>
          <t>2025-02-06 20:03</t>
        </is>
      </c>
      <c r="D533" s="4" t="n">
        <v>69342.8</v>
      </c>
      <c r="E533" s="4" t="inlineStr">
        <is>
          <t>petrol</t>
        </is>
      </c>
      <c r="F533" s="4" t="n">
        <v>44.542</v>
      </c>
      <c r="G533" s="4" t="n">
        <v>1.401</v>
      </c>
      <c r="H533" s="4" t="n">
        <v>62.4</v>
      </c>
      <c r="I533" s="4" t="inlineStr">
        <is>
          <t>no</t>
        </is>
      </c>
      <c r="J533" s="4" t="inlineStr">
        <is>
          <t>Esso Wakefield</t>
        </is>
      </c>
      <c r="K533" s="2">
        <f>IF(A533&lt;&gt;A532,"",IF(I532="no",D532,K532))</f>
        <v/>
      </c>
      <c r="L533" s="2">
        <f>IF(OR(A533&lt;&gt;A532,K533=""),"",IF(I532="no",F533,L532+F533))</f>
        <v/>
      </c>
      <c r="M533" s="2">
        <f>IF(AND(I533="no",K533&lt;&gt;""),D533-K533,"")</f>
        <v/>
      </c>
      <c r="N533" s="19">
        <f>IF(M533="","",L533/M533*100)</f>
        <v/>
      </c>
      <c r="O533" s="2">
        <f>A533&amp;"|"&amp;C533</f>
        <v/>
      </c>
    </row>
    <row r="534">
      <c r="A534" s="4" t="inlineStr">
        <is>
          <t>golf</t>
        </is>
      </c>
      <c r="B534" s="4" t="inlineStr">
        <is>
          <t>alex</t>
        </is>
      </c>
      <c r="C534" s="4" t="inlineStr">
        <is>
          <t>2025-02-18 10:39</t>
        </is>
      </c>
      <c r="D534" s="4" t="n">
        <v>69921.7</v>
      </c>
      <c r="E534" s="4" t="inlineStr">
        <is>
          <t>petrol</t>
        </is>
      </c>
      <c r="F534" s="4" t="n">
        <v>36.898</v>
      </c>
      <c r="G534" s="4" t="n">
        <v>1.416</v>
      </c>
      <c r="H534" s="4" t="n">
        <v>52.25</v>
      </c>
      <c r="I534" s="4" t="inlineStr">
        <is>
          <t>no</t>
        </is>
      </c>
      <c r="J534" s="4" t="inlineStr">
        <is>
          <t>Esso Wakefield</t>
        </is>
      </c>
      <c r="K534" s="2">
        <f>IF(A534&lt;&gt;A533,"",IF(I533="no",D533,K533))</f>
        <v/>
      </c>
      <c r="L534" s="2">
        <f>IF(OR(A534&lt;&gt;A533,K534=""),"",IF(I533="no",F534,L533+F534))</f>
        <v/>
      </c>
      <c r="M534" s="2">
        <f>IF(AND(I534="no",K534&lt;&gt;""),D534-K534,"")</f>
        <v/>
      </c>
      <c r="N534" s="19">
        <f>IF(M534="","",L534/M534*100)</f>
        <v/>
      </c>
      <c r="O534" s="2">
        <f>A534&amp;"|"&amp;C534</f>
        <v/>
      </c>
    </row>
    <row r="535">
      <c r="A535" s="4" t="inlineStr">
        <is>
          <t>golf</t>
        </is>
      </c>
      <c r="B535" s="4" t="inlineStr">
        <is>
          <t>alex</t>
        </is>
      </c>
      <c r="C535" s="4" t="inlineStr">
        <is>
          <t>2025-03-01 12:40</t>
        </is>
      </c>
      <c r="D535" s="4" t="n">
        <v>70629</v>
      </c>
      <c r="E535" s="4" t="inlineStr">
        <is>
          <t>petrol</t>
        </is>
      </c>
      <c r="F535" s="4" t="n">
        <v>45.999</v>
      </c>
      <c r="G535" s="4" t="n">
        <v>1.417</v>
      </c>
      <c r="H535" s="4" t="n">
        <v>65.18000000000001</v>
      </c>
      <c r="I535" s="4" t="inlineStr">
        <is>
          <t>no</t>
        </is>
      </c>
      <c r="J535" s="4" t="inlineStr">
        <is>
          <t>Shell Leeds Road</t>
        </is>
      </c>
      <c r="K535" s="2">
        <f>IF(A535&lt;&gt;A534,"",IF(I534="no",D534,K534))</f>
        <v/>
      </c>
      <c r="L535" s="2">
        <f>IF(OR(A535&lt;&gt;A534,K535=""),"",IF(I534="no",F535,L534+F535))</f>
        <v/>
      </c>
      <c r="M535" s="2">
        <f>IF(AND(I535="no",K535&lt;&gt;""),D535-K535,"")</f>
        <v/>
      </c>
      <c r="N535" s="19">
        <f>IF(M535="","",L535/M535*100)</f>
        <v/>
      </c>
      <c r="O535" s="2">
        <f>A535&amp;"|"&amp;C535</f>
        <v/>
      </c>
    </row>
    <row r="536">
      <c r="A536" s="4" t="inlineStr">
        <is>
          <t>golf</t>
        </is>
      </c>
      <c r="B536" s="4" t="inlineStr">
        <is>
          <t>alex</t>
        </is>
      </c>
      <c r="C536" s="4" t="inlineStr">
        <is>
          <t>2025-03-10 20:40</t>
        </is>
      </c>
      <c r="D536" s="4" t="n">
        <v>71167.39999999999</v>
      </c>
      <c r="E536" s="4" t="inlineStr">
        <is>
          <t>petrol</t>
        </is>
      </c>
      <c r="F536" s="4" t="n">
        <v>13.694</v>
      </c>
      <c r="G536" s="4" t="n">
        <v>1.404</v>
      </c>
      <c r="H536" s="4" t="n">
        <v>19.23</v>
      </c>
      <c r="I536" s="4" t="inlineStr">
        <is>
          <t>yes</t>
        </is>
      </c>
      <c r="J536" s="4" t="inlineStr">
        <is>
          <t>Tesco Birstall</t>
        </is>
      </c>
      <c r="K536" s="2">
        <f>IF(A536&lt;&gt;A535,"",IF(I535="no",D535,K535))</f>
        <v/>
      </c>
      <c r="L536" s="2">
        <f>IF(OR(A536&lt;&gt;A535,K536=""),"",IF(I535="no",F536,L535+F536))</f>
        <v/>
      </c>
      <c r="M536" s="2">
        <f>IF(AND(I536="no",K536&lt;&gt;""),D536-K536,"")</f>
        <v/>
      </c>
      <c r="N536" s="19">
        <f>IF(M536="","",L536/M536*100)</f>
        <v/>
      </c>
      <c r="O536" s="2">
        <f>A536&amp;"|"&amp;C536</f>
        <v/>
      </c>
    </row>
    <row r="537">
      <c r="A537" s="4" t="inlineStr">
        <is>
          <t>golf</t>
        </is>
      </c>
      <c r="B537" s="4" t="inlineStr">
        <is>
          <t>alex</t>
        </is>
      </c>
      <c r="C537" s="4" t="inlineStr">
        <is>
          <t>2025-03-15 08:12</t>
        </is>
      </c>
      <c r="D537" s="4" t="n">
        <v>71381.2</v>
      </c>
      <c r="E537" s="4" t="inlineStr">
        <is>
          <t>petrol</t>
        </is>
      </c>
      <c r="F537" s="4" t="n">
        <v>34.089</v>
      </c>
      <c r="G537" s="4" t="n">
        <v>1.404</v>
      </c>
      <c r="H537" s="4" t="n">
        <v>47.86</v>
      </c>
      <c r="I537" s="4" t="inlineStr">
        <is>
          <t>no</t>
        </is>
      </c>
      <c r="J537" s="4" t="inlineStr">
        <is>
          <t>Shell Leeds Road</t>
        </is>
      </c>
      <c r="K537" s="2">
        <f>IF(A537&lt;&gt;A536,"",IF(I536="no",D536,K536))</f>
        <v/>
      </c>
      <c r="L537" s="2">
        <f>IF(OR(A537&lt;&gt;A536,K537=""),"",IF(I536="no",F537,L536+F537))</f>
        <v/>
      </c>
      <c r="M537" s="2">
        <f>IF(AND(I537="no",K537&lt;&gt;""),D537-K537,"")</f>
        <v/>
      </c>
      <c r="N537" s="19">
        <f>IF(M537="","",L537/M537*100)</f>
        <v/>
      </c>
      <c r="O537" s="2">
        <f>A537&amp;"|"&amp;C537</f>
        <v/>
      </c>
    </row>
    <row r="538">
      <c r="A538" s="4" t="inlineStr">
        <is>
          <t>golf</t>
        </is>
      </c>
      <c r="B538" s="4" t="inlineStr">
        <is>
          <t>alex</t>
        </is>
      </c>
      <c r="C538" s="4" t="inlineStr">
        <is>
          <t>2025-03-27 20:00</t>
        </is>
      </c>
      <c r="D538" s="4" t="n">
        <v>72121.10000000001</v>
      </c>
      <c r="E538" s="4" t="inlineStr">
        <is>
          <t>petrol</t>
        </is>
      </c>
      <c r="F538" s="4" t="n">
        <v>44.331</v>
      </c>
      <c r="G538" s="4" t="n">
        <v>1.412</v>
      </c>
      <c r="H538" s="4" t="n">
        <v>62.6</v>
      </c>
      <c r="I538" s="4" t="inlineStr">
        <is>
          <t>no</t>
        </is>
      </c>
      <c r="J538" s="4" t="inlineStr">
        <is>
          <t>BP Ring Road</t>
        </is>
      </c>
      <c r="K538" s="2">
        <f>IF(A538&lt;&gt;A537,"",IF(I537="no",D537,K537))</f>
        <v/>
      </c>
      <c r="L538" s="2">
        <f>IF(OR(A538&lt;&gt;A537,K538=""),"",IF(I537="no",F538,L537+F538))</f>
        <v/>
      </c>
      <c r="M538" s="2">
        <f>IF(AND(I538="no",K538&lt;&gt;""),D538-K538,"")</f>
        <v/>
      </c>
      <c r="N538" s="19">
        <f>IF(M538="","",L538/M538*100)</f>
        <v/>
      </c>
      <c r="O538" s="2">
        <f>A538&amp;"|"&amp;C538</f>
        <v/>
      </c>
    </row>
    <row r="539">
      <c r="A539" s="4" t="inlineStr">
        <is>
          <t>golf</t>
        </is>
      </c>
      <c r="B539" s="4" t="inlineStr">
        <is>
          <t>alex</t>
        </is>
      </c>
      <c r="C539" s="4" t="inlineStr">
        <is>
          <t>2025-04-06 14:54</t>
        </is>
      </c>
      <c r="D539" s="4" t="n">
        <v>72815.7</v>
      </c>
      <c r="E539" s="4" t="inlineStr">
        <is>
          <t>petrol</t>
        </is>
      </c>
      <c r="F539" s="4" t="n">
        <v>43.459</v>
      </c>
      <c r="G539" s="4" t="n">
        <v>1.409</v>
      </c>
      <c r="H539" s="4" t="n">
        <v>61.23</v>
      </c>
      <c r="I539" s="4" t="inlineStr">
        <is>
          <t>no</t>
        </is>
      </c>
      <c r="J539" s="4" t="inlineStr">
        <is>
          <t>Tesco Birstall</t>
        </is>
      </c>
      <c r="K539" s="2">
        <f>IF(A539&lt;&gt;A538,"",IF(I538="no",D538,K538))</f>
        <v/>
      </c>
      <c r="L539" s="2">
        <f>IF(OR(A539&lt;&gt;A538,K539=""),"",IF(I538="no",F539,L538+F539))</f>
        <v/>
      </c>
      <c r="M539" s="2">
        <f>IF(AND(I539="no",K539&lt;&gt;""),D539-K539,"")</f>
        <v/>
      </c>
      <c r="N539" s="19">
        <f>IF(M539="","",L539/M539*100)</f>
        <v/>
      </c>
      <c r="O539" s="2">
        <f>A539&amp;"|"&amp;C539</f>
        <v/>
      </c>
    </row>
    <row r="540">
      <c r="A540" s="4" t="inlineStr">
        <is>
          <t>golf</t>
        </is>
      </c>
      <c r="B540" s="4" t="inlineStr">
        <is>
          <t>alex</t>
        </is>
      </c>
      <c r="C540" s="4" t="inlineStr">
        <is>
          <t>2025-04-15 17:38</t>
        </is>
      </c>
      <c r="D540" s="4" t="n">
        <v>73339.39999999999</v>
      </c>
      <c r="E540" s="4" t="inlineStr">
        <is>
          <t>petrol</t>
        </is>
      </c>
      <c r="F540" s="4" t="n">
        <v>31.611</v>
      </c>
      <c r="G540" s="4" t="n">
        <v>1.431</v>
      </c>
      <c r="H540" s="4" t="n">
        <v>45.24</v>
      </c>
      <c r="I540" s="4" t="inlineStr">
        <is>
          <t>no</t>
        </is>
      </c>
      <c r="J540" s="4" t="inlineStr">
        <is>
          <t>Tesco Birstall</t>
        </is>
      </c>
      <c r="K540" s="2">
        <f>IF(A540&lt;&gt;A539,"",IF(I539="no",D539,K539))</f>
        <v/>
      </c>
      <c r="L540" s="2">
        <f>IF(OR(A540&lt;&gt;A539,K540=""),"",IF(I539="no",F540,L539+F540))</f>
        <v/>
      </c>
      <c r="M540" s="2">
        <f>IF(AND(I540="no",K540&lt;&gt;""),D540-K540,"")</f>
        <v/>
      </c>
      <c r="N540" s="19">
        <f>IF(M540="","",L540/M540*100)</f>
        <v/>
      </c>
      <c r="O540" s="2">
        <f>A540&amp;"|"&amp;C540</f>
        <v/>
      </c>
    </row>
    <row r="541">
      <c r="A541" s="4" t="inlineStr">
        <is>
          <t>golf</t>
        </is>
      </c>
      <c r="B541" s="4" t="inlineStr">
        <is>
          <t>sam</t>
        </is>
      </c>
      <c r="C541" s="4" t="inlineStr">
        <is>
          <t>2025-04-24 15:55</t>
        </is>
      </c>
      <c r="D541" s="4" t="n">
        <v>73907.5</v>
      </c>
      <c r="E541" s="4" t="inlineStr">
        <is>
          <t>petrol</t>
        </is>
      </c>
      <c r="F541" s="4" t="n">
        <v>35.522</v>
      </c>
      <c r="G541" s="4" t="n">
        <v>1.411</v>
      </c>
      <c r="H541" s="4" t="n">
        <v>50.12</v>
      </c>
      <c r="I541" s="4" t="inlineStr">
        <is>
          <t>no</t>
        </is>
      </c>
      <c r="J541" s="4" t="inlineStr">
        <is>
          <t>Shell Leeds Road</t>
        </is>
      </c>
      <c r="K541" s="2">
        <f>IF(A541&lt;&gt;A540,"",IF(I540="no",D540,K540))</f>
        <v/>
      </c>
      <c r="L541" s="2">
        <f>IF(OR(A541&lt;&gt;A540,K541=""),"",IF(I540="no",F541,L540+F541))</f>
        <v/>
      </c>
      <c r="M541" s="2">
        <f>IF(AND(I541="no",K541&lt;&gt;""),D541-K541,"")</f>
        <v/>
      </c>
      <c r="N541" s="19">
        <f>IF(M541="","",L541/M541*100)</f>
        <v/>
      </c>
      <c r="O541" s="2">
        <f>A541&amp;"|"&amp;C541</f>
        <v/>
      </c>
    </row>
    <row r="542">
      <c r="A542" s="4" t="inlineStr">
        <is>
          <t>golf</t>
        </is>
      </c>
      <c r="B542" s="4" t="inlineStr">
        <is>
          <t>alex</t>
        </is>
      </c>
      <c r="C542" s="4" t="inlineStr">
        <is>
          <t>2025-05-05 16:00</t>
        </is>
      </c>
      <c r="D542" s="4" t="n">
        <v>74468.5</v>
      </c>
      <c r="E542" s="4" t="inlineStr">
        <is>
          <t>petrol</t>
        </is>
      </c>
      <c r="F542" s="4" t="n">
        <v>36.635</v>
      </c>
      <c r="G542" s="4" t="n">
        <v>1.416</v>
      </c>
      <c r="H542" s="4" t="n">
        <v>51.88</v>
      </c>
      <c r="I542" s="4" t="inlineStr">
        <is>
          <t>no</t>
        </is>
      </c>
      <c r="J542" s="4" t="inlineStr">
        <is>
          <t>Shell Leeds Road</t>
        </is>
      </c>
      <c r="K542" s="2">
        <f>IF(A542&lt;&gt;A541,"",IF(I541="no",D541,K541))</f>
        <v/>
      </c>
      <c r="L542" s="2">
        <f>IF(OR(A542&lt;&gt;A541,K542=""),"",IF(I541="no",F542,L541+F542))</f>
        <v/>
      </c>
      <c r="M542" s="2">
        <f>IF(AND(I542="no",K542&lt;&gt;""),D542-K542,"")</f>
        <v/>
      </c>
      <c r="N542" s="19">
        <f>IF(M542="","",L542/M542*100)</f>
        <v/>
      </c>
      <c r="O542" s="2">
        <f>A542&amp;"|"&amp;C542</f>
        <v/>
      </c>
    </row>
    <row r="543">
      <c r="A543" s="4" t="inlineStr">
        <is>
          <t>golf</t>
        </is>
      </c>
      <c r="B543" s="4" t="inlineStr">
        <is>
          <t>alex</t>
        </is>
      </c>
      <c r="C543" s="4" t="inlineStr">
        <is>
          <t>2025-05-16 07:23</t>
        </is>
      </c>
      <c r="D543" s="4" t="n">
        <v>75089.3</v>
      </c>
      <c r="E543" s="4" t="inlineStr">
        <is>
          <t>petrol</t>
        </is>
      </c>
      <c r="F543" s="4" t="n">
        <v>38.803</v>
      </c>
      <c r="G543" s="4" t="n">
        <v>1.418</v>
      </c>
      <c r="H543" s="4" t="n">
        <v>55.02</v>
      </c>
      <c r="I543" s="4" t="inlineStr">
        <is>
          <t>no</t>
        </is>
      </c>
      <c r="J543" s="4" t="inlineStr">
        <is>
          <t>BP Ring Road</t>
        </is>
      </c>
      <c r="K543" s="2">
        <f>IF(A543&lt;&gt;A542,"",IF(I542="no",D542,K542))</f>
        <v/>
      </c>
      <c r="L543" s="2">
        <f>IF(OR(A543&lt;&gt;A542,K543=""),"",IF(I542="no",F543,L542+F543))</f>
        <v/>
      </c>
      <c r="M543" s="2">
        <f>IF(AND(I543="no",K543&lt;&gt;""),D543-K543,"")</f>
        <v/>
      </c>
      <c r="N543" s="19">
        <f>IF(M543="","",L543/M543*100)</f>
        <v/>
      </c>
      <c r="O543" s="2">
        <f>A543&amp;"|"&amp;C543</f>
        <v/>
      </c>
    </row>
    <row r="544">
      <c r="A544" s="4" t="inlineStr">
        <is>
          <t>golf</t>
        </is>
      </c>
      <c r="B544" s="4" t="inlineStr">
        <is>
          <t>sam</t>
        </is>
      </c>
      <c r="C544" s="4" t="inlineStr">
        <is>
          <t>2025-05-25 11:30</t>
        </is>
      </c>
      <c r="D544" s="4" t="n">
        <v>75734.3</v>
      </c>
      <c r="E544" s="4" t="inlineStr">
        <is>
          <t>petrol</t>
        </is>
      </c>
      <c r="F544" s="4" t="n">
        <v>40.133</v>
      </c>
      <c r="G544" s="4" t="n">
        <v>1.416</v>
      </c>
      <c r="H544" s="4" t="n">
        <v>56.83</v>
      </c>
      <c r="I544" s="4" t="inlineStr">
        <is>
          <t>no</t>
        </is>
      </c>
      <c r="J544" s="4" t="inlineStr">
        <is>
          <t>Shell Leeds Road</t>
        </is>
      </c>
      <c r="K544" s="2">
        <f>IF(A544&lt;&gt;A543,"",IF(I543="no",D543,K543))</f>
        <v/>
      </c>
      <c r="L544" s="2">
        <f>IF(OR(A544&lt;&gt;A543,K544=""),"",IF(I543="no",F544,L543+F544))</f>
        <v/>
      </c>
      <c r="M544" s="2">
        <f>IF(AND(I544="no",K544&lt;&gt;""),D544-K544,"")</f>
        <v/>
      </c>
      <c r="N544" s="19">
        <f>IF(M544="","",L544/M544*100)</f>
        <v/>
      </c>
      <c r="O544" s="2">
        <f>A544&amp;"|"&amp;C544</f>
        <v/>
      </c>
    </row>
    <row r="545">
      <c r="A545" s="4" t="inlineStr">
        <is>
          <t>golf</t>
        </is>
      </c>
      <c r="B545" s="4" t="inlineStr">
        <is>
          <t>alex</t>
        </is>
      </c>
      <c r="C545" s="4" t="inlineStr">
        <is>
          <t>2025-06-02 20:10</t>
        </is>
      </c>
      <c r="D545" s="4" t="n">
        <v>76252.60000000001</v>
      </c>
      <c r="E545" s="4" t="inlineStr">
        <is>
          <t>petrol</t>
        </is>
      </c>
      <c r="F545" s="4" t="n">
        <v>30.82</v>
      </c>
      <c r="G545" s="4" t="n">
        <v>1.398</v>
      </c>
      <c r="H545" s="4" t="n">
        <v>43.09</v>
      </c>
      <c r="I545" s="4" t="inlineStr">
        <is>
          <t>no</t>
        </is>
      </c>
      <c r="J545" s="4" t="inlineStr">
        <is>
          <t>Shell Leeds Road</t>
        </is>
      </c>
      <c r="K545" s="2">
        <f>IF(A545&lt;&gt;A544,"",IF(I544="no",D544,K544))</f>
        <v/>
      </c>
      <c r="L545" s="2">
        <f>IF(OR(A545&lt;&gt;A544,K545=""),"",IF(I544="no",F545,L544+F545))</f>
        <v/>
      </c>
      <c r="M545" s="2">
        <f>IF(AND(I545="no",K545&lt;&gt;""),D545-K545,"")</f>
        <v/>
      </c>
      <c r="N545" s="19">
        <f>IF(M545="","",L545/M545*100)</f>
        <v/>
      </c>
      <c r="O545" s="2">
        <f>A545&amp;"|"&amp;C545</f>
        <v/>
      </c>
    </row>
    <row r="546">
      <c r="A546" s="4" t="inlineStr">
        <is>
          <t>golf</t>
        </is>
      </c>
      <c r="B546" s="4" t="inlineStr">
        <is>
          <t>alex</t>
        </is>
      </c>
      <c r="C546" s="4" t="inlineStr">
        <is>
          <t>2025-06-13 16:38</t>
        </is>
      </c>
      <c r="D546" s="4" t="n">
        <v>76775.39999999999</v>
      </c>
      <c r="E546" s="4" t="inlineStr">
        <is>
          <t>petrol</t>
        </is>
      </c>
      <c r="F546" s="4" t="n">
        <v>32.191</v>
      </c>
      <c r="G546" s="4" t="n">
        <v>1.4</v>
      </c>
      <c r="H546" s="4" t="n">
        <v>45.07</v>
      </c>
      <c r="I546" s="4" t="inlineStr">
        <is>
          <t>no</t>
        </is>
      </c>
      <c r="J546" s="4" t="inlineStr">
        <is>
          <t>Esso Wakefield</t>
        </is>
      </c>
      <c r="K546" s="2">
        <f>IF(A546&lt;&gt;A545,"",IF(I545="no",D545,K545))</f>
        <v/>
      </c>
      <c r="L546" s="2">
        <f>IF(OR(A546&lt;&gt;A545,K546=""),"",IF(I545="no",F546,L545+F546))</f>
        <v/>
      </c>
      <c r="M546" s="2">
        <f>IF(AND(I546="no",K546&lt;&gt;""),D546-K546,"")</f>
        <v/>
      </c>
      <c r="N546" s="19">
        <f>IF(M546="","",L546/M546*100)</f>
        <v/>
      </c>
      <c r="O546" s="2">
        <f>A546&amp;"|"&amp;C546</f>
        <v/>
      </c>
    </row>
    <row r="547">
      <c r="A547" s="4" t="inlineStr">
        <is>
          <t>golf</t>
        </is>
      </c>
      <c r="B547" s="4" t="inlineStr">
        <is>
          <t>alex</t>
        </is>
      </c>
      <c r="C547" s="4" t="inlineStr">
        <is>
          <t>2025-06-22 15:12</t>
        </is>
      </c>
      <c r="D547" s="4" t="n">
        <v>77337.89999999999</v>
      </c>
      <c r="E547" s="4" t="inlineStr">
        <is>
          <t>petrol</t>
        </is>
      </c>
      <c r="F547" s="4" t="n">
        <v>36.396</v>
      </c>
      <c r="G547" s="4" t="n">
        <v>1.391</v>
      </c>
      <c r="H547" s="4" t="n">
        <v>50.63</v>
      </c>
      <c r="I547" s="4" t="inlineStr">
        <is>
          <t>no</t>
        </is>
      </c>
      <c r="J547" s="4" t="inlineStr">
        <is>
          <t>Esso Wakefield</t>
        </is>
      </c>
      <c r="K547" s="2">
        <f>IF(A547&lt;&gt;A546,"",IF(I546="no",D546,K546))</f>
        <v/>
      </c>
      <c r="L547" s="2">
        <f>IF(OR(A547&lt;&gt;A546,K547=""),"",IF(I546="no",F547,L546+F547))</f>
        <v/>
      </c>
      <c r="M547" s="2">
        <f>IF(AND(I547="no",K547&lt;&gt;""),D547-K547,"")</f>
        <v/>
      </c>
      <c r="N547" s="19">
        <f>IF(M547="","",L547/M547*100)</f>
        <v/>
      </c>
      <c r="O547" s="2">
        <f>A547&amp;"|"&amp;C547</f>
        <v/>
      </c>
    </row>
    <row r="548">
      <c r="A548" s="4" t="inlineStr">
        <is>
          <t>golf</t>
        </is>
      </c>
      <c r="B548" s="4" t="inlineStr">
        <is>
          <t>alex</t>
        </is>
      </c>
      <c r="C548" s="4" t="inlineStr">
        <is>
          <t>2025-07-03 10:22</t>
        </is>
      </c>
      <c r="D548" s="4" t="n">
        <v>78051.5</v>
      </c>
      <c r="E548" s="4" t="inlineStr">
        <is>
          <t>petrol</t>
        </is>
      </c>
      <c r="F548" s="4" t="n">
        <v>46.038</v>
      </c>
      <c r="G548" s="4" t="n">
        <v>1.382</v>
      </c>
      <c r="H548" s="4" t="n">
        <v>63.62</v>
      </c>
      <c r="I548" s="4" t="inlineStr">
        <is>
          <t>no</t>
        </is>
      </c>
      <c r="J548" s="4" t="inlineStr">
        <is>
          <t>BP Ring Road</t>
        </is>
      </c>
      <c r="K548" s="2">
        <f>IF(A548&lt;&gt;A547,"",IF(I547="no",D547,K547))</f>
        <v/>
      </c>
      <c r="L548" s="2">
        <f>IF(OR(A548&lt;&gt;A547,K548=""),"",IF(I547="no",F548,L547+F548))</f>
        <v/>
      </c>
      <c r="M548" s="2">
        <f>IF(AND(I548="no",K548&lt;&gt;""),D548-K548,"")</f>
        <v/>
      </c>
      <c r="N548" s="19">
        <f>IF(M548="","",L548/M548*100)</f>
        <v/>
      </c>
      <c r="O548" s="2">
        <f>A548&amp;"|"&amp;C548</f>
        <v/>
      </c>
    </row>
    <row r="549">
      <c r="A549" s="4" t="inlineStr">
        <is>
          <t>golf</t>
        </is>
      </c>
      <c r="B549" s="4" t="inlineStr">
        <is>
          <t>alex</t>
        </is>
      </c>
      <c r="C549" s="4" t="inlineStr">
        <is>
          <t>2025-07-13 15:25</t>
        </is>
      </c>
      <c r="D549" s="4" t="n">
        <v>78633.2</v>
      </c>
      <c r="E549" s="4" t="inlineStr">
        <is>
          <t>petrol</t>
        </is>
      </c>
      <c r="F549" s="4" t="n">
        <v>34.711</v>
      </c>
      <c r="G549" s="4" t="n">
        <v>1.38</v>
      </c>
      <c r="H549" s="4" t="n">
        <v>47.9</v>
      </c>
      <c r="I549" s="4" t="inlineStr">
        <is>
          <t>no</t>
        </is>
      </c>
      <c r="J549" s="4" t="inlineStr">
        <is>
          <t>BP Ring Road</t>
        </is>
      </c>
      <c r="K549" s="2">
        <f>IF(A549&lt;&gt;A548,"",IF(I548="no",D548,K548))</f>
        <v/>
      </c>
      <c r="L549" s="2">
        <f>IF(OR(A549&lt;&gt;A548,K549=""),"",IF(I548="no",F549,L548+F549))</f>
        <v/>
      </c>
      <c r="M549" s="2">
        <f>IF(AND(I549="no",K549&lt;&gt;""),D549-K549,"")</f>
        <v/>
      </c>
      <c r="N549" s="19">
        <f>IF(M549="","",L549/M549*100)</f>
        <v/>
      </c>
      <c r="O549" s="2">
        <f>A549&amp;"|"&amp;C549</f>
        <v/>
      </c>
    </row>
    <row r="550">
      <c r="A550" s="4" t="inlineStr">
        <is>
          <t>golf</t>
        </is>
      </c>
      <c r="B550" s="4" t="inlineStr">
        <is>
          <t>alex</t>
        </is>
      </c>
      <c r="C550" s="4" t="inlineStr">
        <is>
          <t>2025-07-24 14:15</t>
        </is>
      </c>
      <c r="D550" s="4" t="n">
        <v>79213.3</v>
      </c>
      <c r="E550" s="4" t="inlineStr">
        <is>
          <t>petrol</t>
        </is>
      </c>
      <c r="F550" s="4" t="n">
        <v>36.033</v>
      </c>
      <c r="G550" s="4" t="n">
        <v>1.388</v>
      </c>
      <c r="H550" s="4" t="n">
        <v>50.01</v>
      </c>
      <c r="I550" s="4" t="inlineStr">
        <is>
          <t>no</t>
        </is>
      </c>
      <c r="J550" s="4" t="inlineStr">
        <is>
          <t>BP Ring Road</t>
        </is>
      </c>
      <c r="K550" s="2">
        <f>IF(A550&lt;&gt;A549,"",IF(I549="no",D549,K549))</f>
        <v/>
      </c>
      <c r="L550" s="2">
        <f>IF(OR(A550&lt;&gt;A549,K550=""),"",IF(I549="no",F550,L549+F550))</f>
        <v/>
      </c>
      <c r="M550" s="2">
        <f>IF(AND(I550="no",K550&lt;&gt;""),D550-K550,"")</f>
        <v/>
      </c>
      <c r="N550" s="19">
        <f>IF(M550="","",L550/M550*100)</f>
        <v/>
      </c>
      <c r="O550" s="2">
        <f>A550&amp;"|"&amp;C550</f>
        <v/>
      </c>
    </row>
    <row r="551">
      <c r="A551" s="4" t="inlineStr">
        <is>
          <t>golf</t>
        </is>
      </c>
      <c r="B551" s="4" t="inlineStr">
        <is>
          <t>alex</t>
        </is>
      </c>
      <c r="C551" s="4" t="inlineStr">
        <is>
          <t>2025-07-31 11:26</t>
        </is>
      </c>
      <c r="D551" s="4" t="n">
        <v>79757.8</v>
      </c>
      <c r="E551" s="4" t="inlineStr">
        <is>
          <t>petrol</t>
        </is>
      </c>
      <c r="F551" s="4" t="n">
        <v>34.407</v>
      </c>
      <c r="G551" s="4" t="n">
        <v>1.381</v>
      </c>
      <c r="H551" s="4" t="n">
        <v>47.52</v>
      </c>
      <c r="I551" s="4" t="inlineStr">
        <is>
          <t>no</t>
        </is>
      </c>
      <c r="J551" s="4" t="inlineStr">
        <is>
          <t>Shell Leeds Road</t>
        </is>
      </c>
      <c r="K551" s="2">
        <f>IF(A551&lt;&gt;A550,"",IF(I550="no",D550,K550))</f>
        <v/>
      </c>
      <c r="L551" s="2">
        <f>IF(OR(A551&lt;&gt;A550,K551=""),"",IF(I550="no",F551,L550+F551))</f>
        <v/>
      </c>
      <c r="M551" s="2">
        <f>IF(AND(I551="no",K551&lt;&gt;""),D551-K551,"")</f>
        <v/>
      </c>
      <c r="N551" s="19">
        <f>IF(M551="","",L551/M551*100)</f>
        <v/>
      </c>
      <c r="O551" s="2">
        <f>A551&amp;"|"&amp;C551</f>
        <v/>
      </c>
    </row>
    <row r="552">
      <c r="A552" s="4" t="inlineStr">
        <is>
          <t>golf</t>
        </is>
      </c>
      <c r="B552" s="4" t="inlineStr">
        <is>
          <t>alex</t>
        </is>
      </c>
      <c r="C552" s="4" t="inlineStr">
        <is>
          <t>2025-08-10 20:59</t>
        </is>
      </c>
      <c r="D552" s="4" t="n">
        <v>80416.8</v>
      </c>
      <c r="E552" s="4" t="inlineStr">
        <is>
          <t>petrol</t>
        </is>
      </c>
      <c r="F552" s="4" t="n">
        <v>40.958</v>
      </c>
      <c r="G552" s="4" t="n">
        <v>1.391</v>
      </c>
      <c r="H552" s="4" t="n">
        <v>56.97</v>
      </c>
      <c r="I552" s="4" t="inlineStr">
        <is>
          <t>no</t>
        </is>
      </c>
      <c r="J552" s="4" t="inlineStr">
        <is>
          <t>BP Ring Road</t>
        </is>
      </c>
      <c r="K552" s="2">
        <f>IF(A552&lt;&gt;A551,"",IF(I551="no",D551,K551))</f>
        <v/>
      </c>
      <c r="L552" s="2">
        <f>IF(OR(A552&lt;&gt;A551,K552=""),"",IF(I551="no",F552,L551+F552))</f>
        <v/>
      </c>
      <c r="M552" s="2">
        <f>IF(AND(I552="no",K552&lt;&gt;""),D552-K552,"")</f>
        <v/>
      </c>
      <c r="N552" s="19">
        <f>IF(M552="","",L552/M552*100)</f>
        <v/>
      </c>
      <c r="O552" s="2">
        <f>A552&amp;"|"&amp;C552</f>
        <v/>
      </c>
    </row>
    <row r="553">
      <c r="A553" s="4" t="inlineStr">
        <is>
          <t>golf</t>
        </is>
      </c>
      <c r="B553" s="4" t="inlineStr">
        <is>
          <t>alex</t>
        </is>
      </c>
      <c r="C553" s="4" t="inlineStr">
        <is>
          <t>2025-08-18 09:51</t>
        </is>
      </c>
      <c r="D553" s="4" t="n">
        <v>80922.2</v>
      </c>
      <c r="E553" s="4" t="inlineStr">
        <is>
          <t>petrol</t>
        </is>
      </c>
      <c r="F553" s="4" t="n">
        <v>32.629</v>
      </c>
      <c r="G553" s="4" t="n">
        <v>1.389</v>
      </c>
      <c r="H553" s="4" t="n">
        <v>45.32</v>
      </c>
      <c r="I553" s="4" t="inlineStr">
        <is>
          <t>no</t>
        </is>
      </c>
      <c r="J553" s="4" t="inlineStr">
        <is>
          <t>Tesco Birstall</t>
        </is>
      </c>
      <c r="K553" s="2">
        <f>IF(A553&lt;&gt;A552,"",IF(I552="no",D552,K552))</f>
        <v/>
      </c>
      <c r="L553" s="2">
        <f>IF(OR(A553&lt;&gt;A552,K553=""),"",IF(I552="no",F553,L552+F553))</f>
        <v/>
      </c>
      <c r="M553" s="2">
        <f>IF(AND(I553="no",K553&lt;&gt;""),D553-K553,"")</f>
        <v/>
      </c>
      <c r="N553" s="19">
        <f>IF(M553="","",L553/M553*100)</f>
        <v/>
      </c>
      <c r="O553" s="2">
        <f>A553&amp;"|"&amp;C553</f>
        <v/>
      </c>
    </row>
    <row r="554">
      <c r="A554" s="4" t="inlineStr">
        <is>
          <t>golf</t>
        </is>
      </c>
      <c r="B554" s="4" t="inlineStr">
        <is>
          <t>alex</t>
        </is>
      </c>
      <c r="C554" s="4" t="inlineStr">
        <is>
          <t>2025-08-26 13:48</t>
        </is>
      </c>
      <c r="D554" s="4" t="n">
        <v>81434.60000000001</v>
      </c>
      <c r="E554" s="4" t="inlineStr">
        <is>
          <t>petrol</t>
        </is>
      </c>
      <c r="F554" s="4" t="n">
        <v>33.307</v>
      </c>
      <c r="G554" s="4" t="n">
        <v>1.377</v>
      </c>
      <c r="H554" s="4" t="n">
        <v>45.86</v>
      </c>
      <c r="I554" s="4" t="inlineStr">
        <is>
          <t>no</t>
        </is>
      </c>
      <c r="J554" s="4" t="inlineStr">
        <is>
          <t>BP Ring Road</t>
        </is>
      </c>
      <c r="K554" s="2">
        <f>IF(A554&lt;&gt;A553,"",IF(I553="no",D553,K553))</f>
        <v/>
      </c>
      <c r="L554" s="2">
        <f>IF(OR(A554&lt;&gt;A553,K554=""),"",IF(I553="no",F554,L553+F554))</f>
        <v/>
      </c>
      <c r="M554" s="2">
        <f>IF(AND(I554="no",K554&lt;&gt;""),D554-K554,"")</f>
        <v/>
      </c>
      <c r="N554" s="19">
        <f>IF(M554="","",L554/M554*100)</f>
        <v/>
      </c>
      <c r="O554" s="2">
        <f>A554&amp;"|"&amp;C554</f>
        <v/>
      </c>
    </row>
    <row r="555">
      <c r="A555" s="4" t="inlineStr">
        <is>
          <t>golf</t>
        </is>
      </c>
      <c r="B555" s="4" t="inlineStr">
        <is>
          <t>alex</t>
        </is>
      </c>
      <c r="C555" s="4" t="inlineStr">
        <is>
          <t>2025-08-31 23:30</t>
        </is>
      </c>
      <c r="D555" s="4" t="n">
        <v>81803.39999999999</v>
      </c>
      <c r="E555" s="4" t="inlineStr">
        <is>
          <t>petrol</t>
        </is>
      </c>
      <c r="F555" s="4" t="n">
        <v>20.287</v>
      </c>
      <c r="G555" s="4" t="n">
        <v>1.379</v>
      </c>
      <c r="H555" s="4" t="n">
        <v>27.98</v>
      </c>
      <c r="I555" s="4" t="inlineStr">
        <is>
          <t>no</t>
        </is>
      </c>
      <c r="J555" s="4" t="inlineStr">
        <is>
          <t>Esso Wakefield</t>
        </is>
      </c>
      <c r="K555" s="2">
        <f>IF(A555&lt;&gt;A554,"",IF(I554="no",D554,K554))</f>
        <v/>
      </c>
      <c r="L555" s="2">
        <f>IF(OR(A555&lt;&gt;A554,K555=""),"",IF(I554="no",F555,L554+F555))</f>
        <v/>
      </c>
      <c r="M555" s="2">
        <f>IF(AND(I555="no",K555&lt;&gt;""),D555-K555,"")</f>
        <v/>
      </c>
      <c r="N555" s="19">
        <f>IF(M555="","",L555/M555*100)</f>
        <v/>
      </c>
      <c r="O555" s="2">
        <f>A555&amp;"|"&amp;C555</f>
        <v/>
      </c>
    </row>
    <row r="556">
      <c r="A556" s="4" t="inlineStr">
        <is>
          <t>golf</t>
        </is>
      </c>
      <c r="B556" s="4" t="inlineStr">
        <is>
          <t>alex</t>
        </is>
      </c>
      <c r="C556" s="4" t="inlineStr">
        <is>
          <t>2025-09-08 20:43</t>
        </is>
      </c>
      <c r="D556" s="4" t="n">
        <v>82260.10000000001</v>
      </c>
      <c r="E556" s="4" t="inlineStr">
        <is>
          <t>petrol</t>
        </is>
      </c>
      <c r="F556" s="4" t="n">
        <v>29.492</v>
      </c>
      <c r="G556" s="4" t="n">
        <v>1.373</v>
      </c>
      <c r="H556" s="4" t="n">
        <v>40.49</v>
      </c>
      <c r="I556" s="4" t="inlineStr">
        <is>
          <t>no</t>
        </is>
      </c>
      <c r="J556" s="4" t="inlineStr">
        <is>
          <t>BP Ring Road</t>
        </is>
      </c>
      <c r="K556" s="2">
        <f>IF(A556&lt;&gt;A555,"",IF(I555="no",D555,K555))</f>
        <v/>
      </c>
      <c r="L556" s="2">
        <f>IF(OR(A556&lt;&gt;A555,K556=""),"",IF(I555="no",F556,L555+F556))</f>
        <v/>
      </c>
      <c r="M556" s="2">
        <f>IF(AND(I556="no",K556&lt;&gt;""),D556-K556,"")</f>
        <v/>
      </c>
      <c r="N556" s="19">
        <f>IF(M556="","",L556/M556*100)</f>
        <v/>
      </c>
      <c r="O556" s="2">
        <f>A556&amp;"|"&amp;C556</f>
        <v/>
      </c>
    </row>
    <row r="557">
      <c r="A557" s="4" t="inlineStr">
        <is>
          <t>golf</t>
        </is>
      </c>
      <c r="B557" s="4" t="inlineStr">
        <is>
          <t>alex</t>
        </is>
      </c>
      <c r="C557" s="4" t="inlineStr">
        <is>
          <t>2025-09-16 07:35</t>
        </is>
      </c>
      <c r="D557" s="4" t="n">
        <v>82733</v>
      </c>
      <c r="E557" s="4" t="inlineStr">
        <is>
          <t>petrol</t>
        </is>
      </c>
      <c r="F557" s="4" t="n">
        <v>31.146</v>
      </c>
      <c r="G557" s="4" t="n">
        <v>1.365</v>
      </c>
      <c r="H557" s="4" t="n">
        <v>42.51</v>
      </c>
      <c r="I557" s="4" t="inlineStr">
        <is>
          <t>no</t>
        </is>
      </c>
      <c r="J557" s="4" t="inlineStr">
        <is>
          <t>Shell Leeds Road</t>
        </is>
      </c>
      <c r="K557" s="2">
        <f>IF(A557&lt;&gt;A556,"",IF(I556="no",D556,K556))</f>
        <v/>
      </c>
      <c r="L557" s="2">
        <f>IF(OR(A557&lt;&gt;A556,K557=""),"",IF(I556="no",F557,L556+F557))</f>
        <v/>
      </c>
      <c r="M557" s="2">
        <f>IF(AND(I557="no",K557&lt;&gt;""),D557-K557,"")</f>
        <v/>
      </c>
      <c r="N557" s="19">
        <f>IF(M557="","",L557/M557*100)</f>
        <v/>
      </c>
      <c r="O557" s="2">
        <f>A557&amp;"|"&amp;C557</f>
        <v/>
      </c>
    </row>
    <row r="558">
      <c r="A558" s="4" t="inlineStr">
        <is>
          <t>golf</t>
        </is>
      </c>
      <c r="B558" s="4" t="inlineStr">
        <is>
          <t>alex</t>
        </is>
      </c>
      <c r="C558" s="4" t="inlineStr">
        <is>
          <t>2025-09-26 12:49</t>
        </is>
      </c>
      <c r="D558" s="4" t="n">
        <v>83360.7</v>
      </c>
      <c r="E558" s="4" t="inlineStr">
        <is>
          <t>petrol</t>
        </is>
      </c>
      <c r="F558" s="4" t="n">
        <v>39.541</v>
      </c>
      <c r="G558" s="4" t="n">
        <v>1.369</v>
      </c>
      <c r="H558" s="4" t="n">
        <v>54.13</v>
      </c>
      <c r="I558" s="4" t="inlineStr">
        <is>
          <t>no</t>
        </is>
      </c>
      <c r="J558" s="4" t="inlineStr">
        <is>
          <t>Tesco Birstall</t>
        </is>
      </c>
      <c r="K558" s="2">
        <f>IF(A558&lt;&gt;A557,"",IF(I557="no",D557,K557))</f>
        <v/>
      </c>
      <c r="L558" s="2">
        <f>IF(OR(A558&lt;&gt;A557,K558=""),"",IF(I557="no",F558,L557+F558))</f>
        <v/>
      </c>
      <c r="M558" s="2">
        <f>IF(AND(I558="no",K558&lt;&gt;""),D558-K558,"")</f>
        <v/>
      </c>
      <c r="N558" s="19">
        <f>IF(M558="","",L558/M558*100)</f>
        <v/>
      </c>
      <c r="O558" s="2">
        <f>A558&amp;"|"&amp;C558</f>
        <v/>
      </c>
    </row>
    <row r="559">
      <c r="A559" s="4" t="inlineStr">
        <is>
          <t>golf</t>
        </is>
      </c>
      <c r="B559" s="4" t="inlineStr">
        <is>
          <t>alex</t>
        </is>
      </c>
      <c r="C559" s="4" t="inlineStr">
        <is>
          <t>2025-10-04 19:44</t>
        </is>
      </c>
      <c r="D559" s="4" t="n">
        <v>83903.39999999999</v>
      </c>
      <c r="E559" s="4" t="inlineStr">
        <is>
          <t>petrol</t>
        </is>
      </c>
      <c r="F559" s="4" t="n">
        <v>32.064</v>
      </c>
      <c r="G559" s="4" t="n">
        <v>1.364</v>
      </c>
      <c r="H559" s="4" t="n">
        <v>43.74</v>
      </c>
      <c r="I559" s="4" t="inlineStr">
        <is>
          <t>no</t>
        </is>
      </c>
      <c r="J559" s="4" t="inlineStr">
        <is>
          <t>BP Ring Road</t>
        </is>
      </c>
      <c r="K559" s="2">
        <f>IF(A559&lt;&gt;A558,"",IF(I558="no",D558,K558))</f>
        <v/>
      </c>
      <c r="L559" s="2">
        <f>IF(OR(A559&lt;&gt;A558,K559=""),"",IF(I558="no",F559,L558+F559))</f>
        <v/>
      </c>
      <c r="M559" s="2">
        <f>IF(AND(I559="no",K559&lt;&gt;""),D559-K559,"")</f>
        <v/>
      </c>
      <c r="N559" s="19">
        <f>IF(M559="","",L559/M559*100)</f>
        <v/>
      </c>
      <c r="O559" s="2">
        <f>A559&amp;"|"&amp;C559</f>
        <v/>
      </c>
    </row>
    <row r="560">
      <c r="A560" s="4" t="inlineStr">
        <is>
          <t>golf</t>
        </is>
      </c>
      <c r="B560" s="4" t="inlineStr">
        <is>
          <t>alex</t>
        </is>
      </c>
      <c r="C560" s="4" t="inlineStr">
        <is>
          <t>2025-10-15 14:06</t>
        </is>
      </c>
      <c r="D560" s="4" t="n">
        <v>84480.39999999999</v>
      </c>
      <c r="E560" s="4" t="inlineStr">
        <is>
          <t>petrol</t>
        </is>
      </c>
      <c r="F560" s="4" t="n">
        <v>37.738</v>
      </c>
      <c r="G560" s="4" t="n">
        <v>1.367</v>
      </c>
      <c r="H560" s="4" t="n">
        <v>51.59</v>
      </c>
      <c r="I560" s="4" t="inlineStr">
        <is>
          <t>no</t>
        </is>
      </c>
      <c r="J560" s="4" t="inlineStr">
        <is>
          <t>Shell Leeds Road</t>
        </is>
      </c>
      <c r="K560" s="2">
        <f>IF(A560&lt;&gt;A559,"",IF(I559="no",D559,K559))</f>
        <v/>
      </c>
      <c r="L560" s="2">
        <f>IF(OR(A560&lt;&gt;A559,K560=""),"",IF(I559="no",F560,L559+F560))</f>
        <v/>
      </c>
      <c r="M560" s="2">
        <f>IF(AND(I560="no",K560&lt;&gt;""),D560-K560,"")</f>
        <v/>
      </c>
      <c r="N560" s="19">
        <f>IF(M560="","",L560/M560*100)</f>
        <v/>
      </c>
      <c r="O560" s="2">
        <f>A560&amp;"|"&amp;C560</f>
        <v/>
      </c>
    </row>
    <row r="561">
      <c r="A561" s="4" t="inlineStr">
        <is>
          <t>golf</t>
        </is>
      </c>
      <c r="B561" s="4" t="inlineStr">
        <is>
          <t>alex</t>
        </is>
      </c>
      <c r="C561" s="4" t="inlineStr">
        <is>
          <t>2025-10-26 14:31</t>
        </is>
      </c>
      <c r="D561" s="4" t="n">
        <v>85098.2</v>
      </c>
      <c r="E561" s="4" t="inlineStr">
        <is>
          <t>petrol</t>
        </is>
      </c>
      <c r="F561" s="4" t="n">
        <v>37.871</v>
      </c>
      <c r="G561" s="4" t="n">
        <v>1.357</v>
      </c>
      <c r="H561" s="4" t="n">
        <v>51.39</v>
      </c>
      <c r="I561" s="4" t="inlineStr">
        <is>
          <t>no</t>
        </is>
      </c>
      <c r="J561" s="4" t="inlineStr">
        <is>
          <t>Shell Leeds Road</t>
        </is>
      </c>
      <c r="K561" s="2">
        <f>IF(A561&lt;&gt;A560,"",IF(I560="no",D560,K560))</f>
        <v/>
      </c>
      <c r="L561" s="2">
        <f>IF(OR(A561&lt;&gt;A560,K561=""),"",IF(I560="no",F561,L560+F561))</f>
        <v/>
      </c>
      <c r="M561" s="2">
        <f>IF(AND(I561="no",K561&lt;&gt;""),D561-K561,"")</f>
        <v/>
      </c>
      <c r="N561" s="19">
        <f>IF(M561="","",L561/M561*100)</f>
        <v/>
      </c>
      <c r="O561" s="2">
        <f>A561&amp;"|"&amp;C561</f>
        <v/>
      </c>
    </row>
    <row r="562">
      <c r="A562" s="4" t="inlineStr">
        <is>
          <t>golf</t>
        </is>
      </c>
      <c r="B562" s="4" t="inlineStr">
        <is>
          <t>sam</t>
        </is>
      </c>
      <c r="C562" s="4" t="inlineStr">
        <is>
          <t>2025-11-03 15:19</t>
        </is>
      </c>
      <c r="D562" s="4" t="n">
        <v>85603</v>
      </c>
      <c r="E562" s="4" t="inlineStr">
        <is>
          <t>petrol</t>
        </is>
      </c>
      <c r="F562" s="4" t="n">
        <v>31.67</v>
      </c>
      <c r="G562" s="4" t="n">
        <v>1.363</v>
      </c>
      <c r="H562" s="4" t="n">
        <v>43.17</v>
      </c>
      <c r="I562" s="4" t="inlineStr">
        <is>
          <t>no</t>
        </is>
      </c>
      <c r="J562" s="4" t="inlineStr">
        <is>
          <t>Tesco Birstall</t>
        </is>
      </c>
      <c r="K562" s="2">
        <f>IF(A562&lt;&gt;A561,"",IF(I561="no",D561,K561))</f>
        <v/>
      </c>
      <c r="L562" s="2">
        <f>IF(OR(A562&lt;&gt;A561,K562=""),"",IF(I561="no",F562,L561+F562))</f>
        <v/>
      </c>
      <c r="M562" s="2">
        <f>IF(AND(I562="no",K562&lt;&gt;""),D562-K562,"")</f>
        <v/>
      </c>
      <c r="N562" s="19">
        <f>IF(M562="","",L562/M562*100)</f>
        <v/>
      </c>
      <c r="O562" s="2">
        <f>A562&amp;"|"&amp;C562</f>
        <v/>
      </c>
    </row>
    <row r="563">
      <c r="A563" s="4" t="inlineStr">
        <is>
          <t>golf</t>
        </is>
      </c>
      <c r="B563" s="4" t="inlineStr">
        <is>
          <t>alex</t>
        </is>
      </c>
      <c r="C563" s="4" t="inlineStr">
        <is>
          <t>2025-11-12 20:12</t>
        </is>
      </c>
      <c r="D563" s="4" t="n">
        <v>86247.8</v>
      </c>
      <c r="E563" s="4" t="inlineStr">
        <is>
          <t>petrol</t>
        </is>
      </c>
      <c r="F563" s="4" t="n">
        <v>38.325</v>
      </c>
      <c r="G563" s="4" t="n">
        <v>1.36</v>
      </c>
      <c r="H563" s="4" t="n">
        <v>52.12</v>
      </c>
      <c r="I563" s="4" t="inlineStr">
        <is>
          <t>no</t>
        </is>
      </c>
      <c r="J563" s="4" t="inlineStr">
        <is>
          <t>BP Ring Road</t>
        </is>
      </c>
      <c r="K563" s="2">
        <f>IF(A563&lt;&gt;A562,"",IF(I562="no",D562,K562))</f>
        <v/>
      </c>
      <c r="L563" s="2">
        <f>IF(OR(A563&lt;&gt;A562,K563=""),"",IF(I562="no",F563,L562+F563))</f>
        <v/>
      </c>
      <c r="M563" s="2">
        <f>IF(AND(I563="no",K563&lt;&gt;""),D563-K563,"")</f>
        <v/>
      </c>
      <c r="N563" s="19">
        <f>IF(M563="","",L563/M563*100)</f>
        <v/>
      </c>
      <c r="O563" s="2">
        <f>A563&amp;"|"&amp;C563</f>
        <v/>
      </c>
    </row>
    <row r="564">
      <c r="A564" s="4" t="inlineStr">
        <is>
          <t>golf</t>
        </is>
      </c>
      <c r="B564" s="4" t="inlineStr">
        <is>
          <t>alex</t>
        </is>
      </c>
      <c r="C564" s="4" t="inlineStr">
        <is>
          <t>2025-11-20 14:49</t>
        </is>
      </c>
      <c r="D564" s="4" t="n">
        <v>86766.7</v>
      </c>
      <c r="E564" s="4" t="inlineStr">
        <is>
          <t>petrol</t>
        </is>
      </c>
      <c r="F564" s="4" t="n">
        <v>34.149</v>
      </c>
      <c r="G564" s="4" t="n">
        <v>1.36</v>
      </c>
      <c r="H564" s="4" t="n">
        <v>46.44</v>
      </c>
      <c r="I564" s="4" t="inlineStr">
        <is>
          <t>no</t>
        </is>
      </c>
      <c r="J564" s="4" t="inlineStr">
        <is>
          <t>Esso Wakefield</t>
        </is>
      </c>
      <c r="K564" s="2">
        <f>IF(A564&lt;&gt;A563,"",IF(I563="no",D563,K563))</f>
        <v/>
      </c>
      <c r="L564" s="2">
        <f>IF(OR(A564&lt;&gt;A563,K564=""),"",IF(I563="no",F564,L563+F564))</f>
        <v/>
      </c>
      <c r="M564" s="2">
        <f>IF(AND(I564="no",K564&lt;&gt;""),D564-K564,"")</f>
        <v/>
      </c>
      <c r="N564" s="19">
        <f>IF(M564="","",L564/M564*100)</f>
        <v/>
      </c>
      <c r="O564" s="2">
        <f>A564&amp;"|"&amp;C564</f>
        <v/>
      </c>
    </row>
    <row r="565">
      <c r="A565" s="4" t="inlineStr">
        <is>
          <t>golf</t>
        </is>
      </c>
      <c r="B565" s="4" t="inlineStr">
        <is>
          <t>sam</t>
        </is>
      </c>
      <c r="C565" s="4" t="inlineStr">
        <is>
          <t>2025-11-29 10:52</t>
        </is>
      </c>
      <c r="D565" s="4" t="n">
        <v>87324.60000000001</v>
      </c>
      <c r="E565" s="4" t="inlineStr">
        <is>
          <t>petrol</t>
        </is>
      </c>
      <c r="F565" s="4" t="n">
        <v>35.47</v>
      </c>
      <c r="G565" s="4" t="n">
        <v>1.349</v>
      </c>
      <c r="H565" s="4" t="n">
        <v>47.85</v>
      </c>
      <c r="I565" s="4" t="inlineStr">
        <is>
          <t>no</t>
        </is>
      </c>
      <c r="J565" s="4" t="inlineStr">
        <is>
          <t>Esso Wakefield</t>
        </is>
      </c>
      <c r="K565" s="2">
        <f>IF(A565&lt;&gt;A564,"",IF(I564="no",D564,K564))</f>
        <v/>
      </c>
      <c r="L565" s="2">
        <f>IF(OR(A565&lt;&gt;A564,K565=""),"",IF(I564="no",F565,L564+F565))</f>
        <v/>
      </c>
      <c r="M565" s="2">
        <f>IF(AND(I565="no",K565&lt;&gt;""),D565-K565,"")</f>
        <v/>
      </c>
      <c r="N565" s="19">
        <f>IF(M565="","",L565/M565*100)</f>
        <v/>
      </c>
      <c r="O565" s="2">
        <f>A565&amp;"|"&amp;C565</f>
        <v/>
      </c>
    </row>
    <row r="566">
      <c r="A566" s="4" t="inlineStr">
        <is>
          <t>golf</t>
        </is>
      </c>
      <c r="B566" s="4" t="inlineStr">
        <is>
          <t>alex</t>
        </is>
      </c>
      <c r="C566" s="4" t="inlineStr">
        <is>
          <t>2025-12-07 19:02</t>
        </is>
      </c>
      <c r="D566" s="4" t="n">
        <v>87866.2</v>
      </c>
      <c r="E566" s="4" t="inlineStr">
        <is>
          <t>petrol</t>
        </is>
      </c>
      <c r="F566" s="4" t="n">
        <v>32.611</v>
      </c>
      <c r="G566" s="4" t="n">
        <v>1.372</v>
      </c>
      <c r="H566" s="4" t="n">
        <v>44.74</v>
      </c>
      <c r="I566" s="4" t="inlineStr">
        <is>
          <t>no</t>
        </is>
      </c>
      <c r="J566" s="4" t="inlineStr">
        <is>
          <t>Tesco Birstall</t>
        </is>
      </c>
      <c r="K566" s="2">
        <f>IF(A566&lt;&gt;A565,"",IF(I565="no",D565,K565))</f>
        <v/>
      </c>
      <c r="L566" s="2">
        <f>IF(OR(A566&lt;&gt;A565,K566=""),"",IF(I565="no",F566,L565+F566))</f>
        <v/>
      </c>
      <c r="M566" s="2">
        <f>IF(AND(I566="no",K566&lt;&gt;""),D566-K566,"")</f>
        <v/>
      </c>
      <c r="N566" s="19">
        <f>IF(M566="","",L566/M566*100)</f>
        <v/>
      </c>
      <c r="O566" s="2">
        <f>A566&amp;"|"&amp;C566</f>
        <v/>
      </c>
    </row>
    <row r="567">
      <c r="A567" s="4" t="inlineStr">
        <is>
          <t>golf</t>
        </is>
      </c>
      <c r="B567" s="4" t="inlineStr">
        <is>
          <t>alex</t>
        </is>
      </c>
      <c r="C567" s="4" t="inlineStr">
        <is>
          <t>2025-12-18 20:41</t>
        </is>
      </c>
      <c r="D567" s="4" t="n">
        <v>88431.89999999999</v>
      </c>
      <c r="E567" s="4" t="inlineStr">
        <is>
          <t>petrol</t>
        </is>
      </c>
      <c r="F567" s="4" t="n">
        <v>35.301</v>
      </c>
      <c r="G567" s="4" t="n">
        <v>1.366</v>
      </c>
      <c r="H567" s="4" t="n">
        <v>48.22</v>
      </c>
      <c r="I567" s="4" t="inlineStr">
        <is>
          <t>no</t>
        </is>
      </c>
      <c r="J567" s="4" t="inlineStr">
        <is>
          <t>Shell Leeds Road</t>
        </is>
      </c>
      <c r="K567" s="2">
        <f>IF(A567&lt;&gt;A566,"",IF(I566="no",D566,K566))</f>
        <v/>
      </c>
      <c r="L567" s="2">
        <f>IF(OR(A567&lt;&gt;A566,K567=""),"",IF(I566="no",F567,L566+F567))</f>
        <v/>
      </c>
      <c r="M567" s="2">
        <f>IF(AND(I567="no",K567&lt;&gt;""),D567-K567,"")</f>
        <v/>
      </c>
      <c r="N567" s="19">
        <f>IF(M567="","",L567/M567*100)</f>
        <v/>
      </c>
      <c r="O567" s="2">
        <f>A567&amp;"|"&amp;C567</f>
        <v/>
      </c>
    </row>
    <row r="568">
      <c r="A568" s="4" t="inlineStr">
        <is>
          <t>golf</t>
        </is>
      </c>
      <c r="B568" s="4" t="inlineStr">
        <is>
          <t>alex</t>
        </is>
      </c>
      <c r="C568" s="4" t="inlineStr">
        <is>
          <t>2025-12-25 07:29</t>
        </is>
      </c>
      <c r="D568" s="4" t="n">
        <v>88876.2</v>
      </c>
      <c r="E568" s="4" t="inlineStr">
        <is>
          <t>petrol</t>
        </is>
      </c>
      <c r="F568" s="4" t="n">
        <v>30.539</v>
      </c>
      <c r="G568" s="4" t="n">
        <v>1.358</v>
      </c>
      <c r="H568" s="4" t="n">
        <v>41.47</v>
      </c>
      <c r="I568" s="4" t="inlineStr">
        <is>
          <t>no</t>
        </is>
      </c>
      <c r="J568" s="4" t="inlineStr">
        <is>
          <t>BP Ring Road</t>
        </is>
      </c>
      <c r="K568" s="2">
        <f>IF(A568&lt;&gt;A567,"",IF(I567="no",D567,K567))</f>
        <v/>
      </c>
      <c r="L568" s="2">
        <f>IF(OR(A568&lt;&gt;A567,K568=""),"",IF(I567="no",F568,L567+F568))</f>
        <v/>
      </c>
      <c r="M568" s="2">
        <f>IF(AND(I568="no",K568&lt;&gt;""),D568-K568,"")</f>
        <v/>
      </c>
      <c r="N568" s="19">
        <f>IF(M568="","",L568/M568*100)</f>
        <v/>
      </c>
      <c r="O568" s="2">
        <f>A568&amp;"|"&amp;C568</f>
        <v/>
      </c>
    </row>
    <row r="569">
      <c r="A569" s="4" t="inlineStr">
        <is>
          <t>golf</t>
        </is>
      </c>
      <c r="B569" s="4" t="inlineStr">
        <is>
          <t>sam</t>
        </is>
      </c>
      <c r="C569" s="4" t="inlineStr">
        <is>
          <t>2026-01-03 16:08</t>
        </is>
      </c>
      <c r="D569" s="4" t="n">
        <v>89435.3</v>
      </c>
      <c r="E569" s="4" t="inlineStr">
        <is>
          <t>petrol</t>
        </is>
      </c>
      <c r="F569" s="4" t="n">
        <v>33.35</v>
      </c>
      <c r="G569" s="4" t="n">
        <v>1.37</v>
      </c>
      <c r="H569" s="4" t="n">
        <v>45.69</v>
      </c>
      <c r="I569" s="4" t="inlineStr">
        <is>
          <t>no</t>
        </is>
      </c>
      <c r="J569" s="4" t="inlineStr">
        <is>
          <t>Tesco Birstall</t>
        </is>
      </c>
      <c r="K569" s="2">
        <f>IF(A569&lt;&gt;A568,"",IF(I568="no",D568,K568))</f>
        <v/>
      </c>
      <c r="L569" s="2">
        <f>IF(OR(A569&lt;&gt;A568,K569=""),"",IF(I568="no",F569,L568+F569))</f>
        <v/>
      </c>
      <c r="M569" s="2">
        <f>IF(AND(I569="no",K569&lt;&gt;""),D569-K569,"")</f>
        <v/>
      </c>
      <c r="N569" s="19">
        <f>IF(M569="","",L569/M569*100)</f>
        <v/>
      </c>
      <c r="O569" s="2">
        <f>A569&amp;"|"&amp;C569</f>
        <v/>
      </c>
    </row>
    <row r="570">
      <c r="A570" s="4" t="inlineStr">
        <is>
          <t>golf</t>
        </is>
      </c>
      <c r="B570" s="4" t="inlineStr">
        <is>
          <t>alex</t>
        </is>
      </c>
      <c r="C570" s="4" t="inlineStr">
        <is>
          <t>2026-01-14 07:15</t>
        </is>
      </c>
      <c r="D570" s="4" t="n">
        <v>90096.2</v>
      </c>
      <c r="E570" s="4" t="inlineStr">
        <is>
          <t>petrol</t>
        </is>
      </c>
      <c r="F570" s="4" t="n">
        <v>41.949</v>
      </c>
      <c r="G570" s="4" t="n">
        <v>1.354</v>
      </c>
      <c r="H570" s="4" t="n">
        <v>56.8</v>
      </c>
      <c r="I570" s="4" t="inlineStr">
        <is>
          <t>no</t>
        </is>
      </c>
      <c r="J570" s="4" t="inlineStr">
        <is>
          <t>Esso Wakefield</t>
        </is>
      </c>
      <c r="K570" s="2">
        <f>IF(A570&lt;&gt;A569,"",IF(I569="no",D569,K569))</f>
        <v/>
      </c>
      <c r="L570" s="2">
        <f>IF(OR(A570&lt;&gt;A569,K570=""),"",IF(I569="no",F570,L569+F570))</f>
        <v/>
      </c>
      <c r="M570" s="2">
        <f>IF(AND(I570="no",K570&lt;&gt;""),D570-K570,"")</f>
        <v/>
      </c>
      <c r="N570" s="19">
        <f>IF(M570="","",L570/M570*100)</f>
        <v/>
      </c>
      <c r="O570" s="2">
        <f>A570&amp;"|"&amp;C570</f>
        <v/>
      </c>
    </row>
    <row r="571">
      <c r="A571" s="4" t="inlineStr">
        <is>
          <t>golf</t>
        </is>
      </c>
      <c r="B571" s="4" t="inlineStr">
        <is>
          <t>sam</t>
        </is>
      </c>
      <c r="C571" s="4" t="inlineStr">
        <is>
          <t>2026-01-25 10:30</t>
        </is>
      </c>
      <c r="D571" s="4" t="n">
        <v>90819.3</v>
      </c>
      <c r="E571" s="4" t="inlineStr">
        <is>
          <t>petrol</t>
        </is>
      </c>
      <c r="F571" s="4" t="n">
        <v>45.612</v>
      </c>
      <c r="G571" s="4" t="n">
        <v>1.371</v>
      </c>
      <c r="H571" s="4" t="n">
        <v>62.53</v>
      </c>
      <c r="I571" s="4" t="inlineStr">
        <is>
          <t>no</t>
        </is>
      </c>
      <c r="J571" s="4" t="inlineStr">
        <is>
          <t>Tesco Birstall</t>
        </is>
      </c>
      <c r="K571" s="2">
        <f>IF(A571&lt;&gt;A570,"",IF(I570="no",D570,K570))</f>
        <v/>
      </c>
      <c r="L571" s="2">
        <f>IF(OR(A571&lt;&gt;A570,K571=""),"",IF(I570="no",F571,L570+F571))</f>
        <v/>
      </c>
      <c r="M571" s="2">
        <f>IF(AND(I571="no",K571&lt;&gt;""),D571-K571,"")</f>
        <v/>
      </c>
      <c r="N571" s="19">
        <f>IF(M571="","",L571/M571*100)</f>
        <v/>
      </c>
      <c r="O571" s="2">
        <f>A571&amp;"|"&amp;C571</f>
        <v/>
      </c>
    </row>
    <row r="572">
      <c r="A572" s="4" t="inlineStr">
        <is>
          <t>golf</t>
        </is>
      </c>
      <c r="B572" s="4" t="inlineStr">
        <is>
          <t>alex</t>
        </is>
      </c>
      <c r="C572" s="4" t="inlineStr">
        <is>
          <t>2026-02-04 17:44</t>
        </is>
      </c>
      <c r="D572" s="4" t="n">
        <v>91467.8</v>
      </c>
      <c r="E572" s="4" t="inlineStr">
        <is>
          <t>petrol</t>
        </is>
      </c>
      <c r="F572" s="4" t="n">
        <v>30.288</v>
      </c>
      <c r="G572" s="4" t="n">
        <v>1.373</v>
      </c>
      <c r="H572" s="4" t="n">
        <v>41.59</v>
      </c>
      <c r="I572" s="4" t="inlineStr">
        <is>
          <t>yes</t>
        </is>
      </c>
      <c r="J572" s="4" t="inlineStr">
        <is>
          <t>Shell Leeds Road</t>
        </is>
      </c>
      <c r="K572" s="2">
        <f>IF(A572&lt;&gt;A571,"",IF(I571="no",D571,K571))</f>
        <v/>
      </c>
      <c r="L572" s="2">
        <f>IF(OR(A572&lt;&gt;A571,K572=""),"",IF(I571="no",F572,L571+F572))</f>
        <v/>
      </c>
      <c r="M572" s="2">
        <f>IF(AND(I572="no",K572&lt;&gt;""),D572-K572,"")</f>
        <v/>
      </c>
      <c r="N572" s="19">
        <f>IF(M572="","",L572/M572*100)</f>
        <v/>
      </c>
      <c r="O572" s="2">
        <f>A572&amp;"|"&amp;C572</f>
        <v/>
      </c>
    </row>
    <row r="573">
      <c r="A573" s="4" t="inlineStr">
        <is>
          <t>golf</t>
        </is>
      </c>
      <c r="B573" s="4" t="inlineStr">
        <is>
          <t>alex</t>
        </is>
      </c>
      <c r="C573" s="4" t="inlineStr">
        <is>
          <t>2026-02-14 09:57</t>
        </is>
      </c>
      <c r="D573" s="4" t="n">
        <v>91944.5</v>
      </c>
      <c r="E573" s="4" t="inlineStr">
        <is>
          <t>petrol</t>
        </is>
      </c>
      <c r="F573" s="4" t="n">
        <v>38.768</v>
      </c>
      <c r="G573" s="4" t="n">
        <v>1.356</v>
      </c>
      <c r="H573" s="4" t="n">
        <v>52.57</v>
      </c>
      <c r="I573" s="4" t="inlineStr">
        <is>
          <t>no</t>
        </is>
      </c>
      <c r="J573" s="4" t="inlineStr">
        <is>
          <t>Tesco Birstall</t>
        </is>
      </c>
      <c r="K573" s="2">
        <f>IF(A573&lt;&gt;A572,"",IF(I572="no",D572,K572))</f>
        <v/>
      </c>
      <c r="L573" s="2">
        <f>IF(OR(A573&lt;&gt;A572,K573=""),"",IF(I572="no",F573,L572+F573))</f>
        <v/>
      </c>
      <c r="M573" s="2">
        <f>IF(AND(I573="no",K573&lt;&gt;""),D573-K573,"")</f>
        <v/>
      </c>
      <c r="N573" s="19">
        <f>IF(M573="","",L573/M573*100)</f>
        <v/>
      </c>
      <c r="O573" s="2">
        <f>A573&amp;"|"&amp;C573</f>
        <v/>
      </c>
    </row>
    <row r="574">
      <c r="A574" s="4" t="inlineStr">
        <is>
          <t>golf</t>
        </is>
      </c>
      <c r="B574" s="4" t="inlineStr">
        <is>
          <t>alex</t>
        </is>
      </c>
      <c r="C574" s="4" t="inlineStr">
        <is>
          <t>2026-02-23 20:12</t>
        </is>
      </c>
      <c r="D574" s="4" t="n">
        <v>92532.2</v>
      </c>
      <c r="E574" s="4" t="inlineStr">
        <is>
          <t>petrol</t>
        </is>
      </c>
      <c r="F574" s="4" t="n">
        <v>26.328</v>
      </c>
      <c r="G574" s="4" t="n">
        <v>1.371</v>
      </c>
      <c r="H574" s="4" t="n">
        <v>36.1</v>
      </c>
      <c r="I574" s="4" t="inlineStr">
        <is>
          <t>yes</t>
        </is>
      </c>
      <c r="J574" s="4" t="inlineStr">
        <is>
          <t>BP Ring Road</t>
        </is>
      </c>
      <c r="K574" s="2">
        <f>IF(A574&lt;&gt;A573,"",IF(I573="no",D573,K573))</f>
        <v/>
      </c>
      <c r="L574" s="2">
        <f>IF(OR(A574&lt;&gt;A573,K574=""),"",IF(I573="no",F574,L573+F574))</f>
        <v/>
      </c>
      <c r="M574" s="2">
        <f>IF(AND(I574="no",K574&lt;&gt;""),D574-K574,"")</f>
        <v/>
      </c>
      <c r="N574" s="19">
        <f>IF(M574="","",L574/M574*100)</f>
        <v/>
      </c>
      <c r="O574" s="2">
        <f>A574&amp;"|"&amp;C574</f>
        <v/>
      </c>
    </row>
    <row r="575">
      <c r="A575" s="4" t="inlineStr">
        <is>
          <t>golf</t>
        </is>
      </c>
      <c r="B575" s="4" t="inlineStr">
        <is>
          <t>alex</t>
        </is>
      </c>
      <c r="C575" s="4" t="inlineStr">
        <is>
          <t>2026-03-01 14:18</t>
        </is>
      </c>
      <c r="D575" s="4" t="n">
        <v>92895.89999999999</v>
      </c>
      <c r="E575" s="4" t="inlineStr">
        <is>
          <t>petrol</t>
        </is>
      </c>
      <c r="F575" s="4" t="n">
        <v>32.592</v>
      </c>
      <c r="G575" s="4" t="n">
        <v>1.371</v>
      </c>
      <c r="H575" s="4" t="n">
        <v>44.68</v>
      </c>
      <c r="I575" s="4" t="inlineStr">
        <is>
          <t>no</t>
        </is>
      </c>
      <c r="J575" s="4" t="inlineStr">
        <is>
          <t>Shell Leeds Road</t>
        </is>
      </c>
      <c r="K575" s="2">
        <f>IF(A575&lt;&gt;A574,"",IF(I574="no",D574,K574))</f>
        <v/>
      </c>
      <c r="L575" s="2">
        <f>IF(OR(A575&lt;&gt;A574,K575=""),"",IF(I574="no",F575,L574+F575))</f>
        <v/>
      </c>
      <c r="M575" s="2">
        <f>IF(AND(I575="no",K575&lt;&gt;""),D575-K575,"")</f>
        <v/>
      </c>
      <c r="N575" s="19">
        <f>IF(M575="","",L575/M575*100)</f>
        <v/>
      </c>
      <c r="O575" s="2">
        <f>A575&amp;"|"&amp;C575</f>
        <v/>
      </c>
    </row>
    <row r="576">
      <c r="A576" s="4" t="inlineStr">
        <is>
          <t>golf</t>
        </is>
      </c>
      <c r="B576" s="4" t="inlineStr">
        <is>
          <t>alex</t>
        </is>
      </c>
      <c r="C576" s="4" t="inlineStr">
        <is>
          <t>2026-03-11 19:41</t>
        </is>
      </c>
      <c r="D576" s="4" t="n">
        <v>93490.8</v>
      </c>
      <c r="E576" s="4" t="inlineStr">
        <is>
          <t>petrol</t>
        </is>
      </c>
      <c r="F576" s="4" t="n">
        <v>36.618</v>
      </c>
      <c r="G576" s="4" t="n">
        <v>1.357</v>
      </c>
      <c r="H576" s="4" t="n">
        <v>49.69</v>
      </c>
      <c r="I576" s="4" t="inlineStr">
        <is>
          <t>no</t>
        </is>
      </c>
      <c r="J576" s="4" t="inlineStr">
        <is>
          <t>Esso Wakefield</t>
        </is>
      </c>
      <c r="K576" s="2">
        <f>IF(A576&lt;&gt;A575,"",IF(I575="no",D575,K575))</f>
        <v/>
      </c>
      <c r="L576" s="2">
        <f>IF(OR(A576&lt;&gt;A575,K576=""),"",IF(I575="no",F576,L575+F576))</f>
        <v/>
      </c>
      <c r="M576" s="2">
        <f>IF(AND(I576="no",K576&lt;&gt;""),D576-K576,"")</f>
        <v/>
      </c>
      <c r="N576" s="19">
        <f>IF(M576="","",L576/M576*100)</f>
        <v/>
      </c>
      <c r="O576" s="2">
        <f>A576&amp;"|"&amp;C576</f>
        <v/>
      </c>
    </row>
    <row r="577">
      <c r="A577" s="4" t="inlineStr">
        <is>
          <t>golf</t>
        </is>
      </c>
      <c r="B577" s="4" t="inlineStr">
        <is>
          <t>alex</t>
        </is>
      </c>
      <c r="C577" s="4" t="inlineStr">
        <is>
          <t>2026-03-19 10:11</t>
        </is>
      </c>
      <c r="D577" s="4" t="n">
        <v>94021.39999999999</v>
      </c>
      <c r="E577" s="4" t="inlineStr">
        <is>
          <t>petrol</t>
        </is>
      </c>
      <c r="F577" s="4" t="n">
        <v>34.736</v>
      </c>
      <c r="G577" s="4" t="n">
        <v>1.357</v>
      </c>
      <c r="H577" s="4" t="n">
        <v>47.14</v>
      </c>
      <c r="I577" s="4" t="inlineStr">
        <is>
          <t>no</t>
        </is>
      </c>
      <c r="J577" s="4" t="inlineStr">
        <is>
          <t>Tesco Birstall</t>
        </is>
      </c>
      <c r="K577" s="2">
        <f>IF(A577&lt;&gt;A576,"",IF(I576="no",D576,K576))</f>
        <v/>
      </c>
      <c r="L577" s="2">
        <f>IF(OR(A577&lt;&gt;A576,K577=""),"",IF(I576="no",F577,L576+F577))</f>
        <v/>
      </c>
      <c r="M577" s="2">
        <f>IF(AND(I577="no",K577&lt;&gt;""),D577-K577,"")</f>
        <v/>
      </c>
      <c r="N577" s="19">
        <f>IF(M577="","",L577/M577*100)</f>
        <v/>
      </c>
      <c r="O577" s="2">
        <f>A577&amp;"|"&amp;C577</f>
        <v/>
      </c>
    </row>
    <row r="578">
      <c r="A578" s="4" t="inlineStr">
        <is>
          <t>golf</t>
        </is>
      </c>
      <c r="B578" s="4" t="inlineStr">
        <is>
          <t>sam</t>
        </is>
      </c>
      <c r="C578" s="4" t="inlineStr">
        <is>
          <t>2026-03-29 11:45</t>
        </is>
      </c>
      <c r="D578" s="4" t="n">
        <v>94587.7</v>
      </c>
      <c r="E578" s="4" t="inlineStr">
        <is>
          <t>petrol</t>
        </is>
      </c>
      <c r="F578" s="4" t="n">
        <v>35.072</v>
      </c>
      <c r="G578" s="4" t="n">
        <v>1.374</v>
      </c>
      <c r="H578" s="4" t="n">
        <v>48.19</v>
      </c>
      <c r="I578" s="4" t="inlineStr">
        <is>
          <t>no</t>
        </is>
      </c>
      <c r="J578" s="4" t="inlineStr">
        <is>
          <t>Esso Wakefield</t>
        </is>
      </c>
      <c r="K578" s="2">
        <f>IF(A578&lt;&gt;A577,"",IF(I577="no",D577,K577))</f>
        <v/>
      </c>
      <c r="L578" s="2">
        <f>IF(OR(A578&lt;&gt;A577,K578=""),"",IF(I577="no",F578,L577+F578))</f>
        <v/>
      </c>
      <c r="M578" s="2">
        <f>IF(AND(I578="no",K578&lt;&gt;""),D578-K578,"")</f>
        <v/>
      </c>
      <c r="N578" s="19">
        <f>IF(M578="","",L578/M578*100)</f>
        <v/>
      </c>
      <c r="O578" s="2">
        <f>A578&amp;"|"&amp;C578</f>
        <v/>
      </c>
    </row>
    <row r="579">
      <c r="A579" s="4" t="inlineStr">
        <is>
          <t>golf</t>
        </is>
      </c>
      <c r="B579" s="4" t="inlineStr">
        <is>
          <t>alex</t>
        </is>
      </c>
      <c r="C579" s="4" t="inlineStr">
        <is>
          <t>2026-04-07 19:20</t>
        </is>
      </c>
      <c r="D579" s="4" t="n">
        <v>95239.2</v>
      </c>
      <c r="E579" s="4" t="inlineStr">
        <is>
          <t>petrol</t>
        </is>
      </c>
      <c r="F579" s="4" t="n">
        <v>40.7</v>
      </c>
      <c r="G579" s="4" t="n">
        <v>1.374</v>
      </c>
      <c r="H579" s="4" t="n">
        <v>55.92</v>
      </c>
      <c r="I579" s="4" t="inlineStr">
        <is>
          <t>no</t>
        </is>
      </c>
      <c r="J579" s="4" t="inlineStr">
        <is>
          <t>Shell Leeds Road</t>
        </is>
      </c>
      <c r="K579" s="2">
        <f>IF(A579&lt;&gt;A578,"",IF(I578="no",D578,K578))</f>
        <v/>
      </c>
      <c r="L579" s="2">
        <f>IF(OR(A579&lt;&gt;A578,K579=""),"",IF(I578="no",F579,L578+F579))</f>
        <v/>
      </c>
      <c r="M579" s="2">
        <f>IF(AND(I579="no",K579&lt;&gt;""),D579-K579,"")</f>
        <v/>
      </c>
      <c r="N579" s="19">
        <f>IF(M579="","",L579/M579*100)</f>
        <v/>
      </c>
      <c r="O579" s="2">
        <f>A579&amp;"|"&amp;C579</f>
        <v/>
      </c>
    </row>
    <row r="580">
      <c r="A580" s="4" t="inlineStr">
        <is>
          <t>golf</t>
        </is>
      </c>
      <c r="B580" s="4" t="inlineStr">
        <is>
          <t>alex</t>
        </is>
      </c>
      <c r="C580" s="4" t="inlineStr">
        <is>
          <t>2026-04-13 11:19</t>
        </is>
      </c>
      <c r="D580" s="4" t="n">
        <v>95680.39999999999</v>
      </c>
      <c r="E580" s="4" t="inlineStr">
        <is>
          <t>petrol</t>
        </is>
      </c>
      <c r="F580" s="4" t="n">
        <v>28.869</v>
      </c>
      <c r="G580" s="4" t="n">
        <v>1.371</v>
      </c>
      <c r="H580" s="4" t="n">
        <v>39.58</v>
      </c>
      <c r="I580" s="4" t="inlineStr">
        <is>
          <t>no</t>
        </is>
      </c>
      <c r="J580" s="4" t="inlineStr">
        <is>
          <t>Esso Wakefield</t>
        </is>
      </c>
      <c r="K580" s="2">
        <f>IF(A580&lt;&gt;A579,"",IF(I579="no",D579,K579))</f>
        <v/>
      </c>
      <c r="L580" s="2">
        <f>IF(OR(A580&lt;&gt;A579,K580=""),"",IF(I579="no",F580,L579+F580))</f>
        <v/>
      </c>
      <c r="M580" s="2">
        <f>IF(AND(I580="no",K580&lt;&gt;""),D580-K580,"")</f>
        <v/>
      </c>
      <c r="N580" s="19">
        <f>IF(M580="","",L580/M580*100)</f>
        <v/>
      </c>
      <c r="O580" s="2">
        <f>A580&amp;"|"&amp;C580</f>
        <v/>
      </c>
    </row>
    <row r="581">
      <c r="A581" s="4" t="inlineStr">
        <is>
          <t>golf</t>
        </is>
      </c>
      <c r="B581" s="4" t="inlineStr">
        <is>
          <t>alex</t>
        </is>
      </c>
      <c r="C581" s="4" t="inlineStr">
        <is>
          <t>2026-04-24 12:34</t>
        </is>
      </c>
      <c r="D581" s="4" t="n">
        <v>96346.8</v>
      </c>
      <c r="E581" s="4" t="inlineStr">
        <is>
          <t>petrol</t>
        </is>
      </c>
      <c r="F581" s="4" t="n">
        <v>41.485</v>
      </c>
      <c r="G581" s="4" t="n">
        <v>1.366</v>
      </c>
      <c r="H581" s="4" t="n">
        <v>56.67</v>
      </c>
      <c r="I581" s="4" t="inlineStr">
        <is>
          <t>no</t>
        </is>
      </c>
      <c r="J581" s="4" t="inlineStr">
        <is>
          <t>Esso Wakefield</t>
        </is>
      </c>
      <c r="K581" s="2">
        <f>IF(A581&lt;&gt;A580,"",IF(I580="no",D580,K580))</f>
        <v/>
      </c>
      <c r="L581" s="2">
        <f>IF(OR(A581&lt;&gt;A580,K581=""),"",IF(I580="no",F581,L580+F581))</f>
        <v/>
      </c>
      <c r="M581" s="2">
        <f>IF(AND(I581="no",K581&lt;&gt;""),D581-K581,"")</f>
        <v/>
      </c>
      <c r="N581" s="19">
        <f>IF(M581="","",L581/M581*100)</f>
        <v/>
      </c>
      <c r="O581" s="2">
        <f>A581&amp;"|"&amp;C581</f>
        <v/>
      </c>
    </row>
    <row r="582">
      <c r="A582" s="4" t="inlineStr">
        <is>
          <t>golf</t>
        </is>
      </c>
      <c r="B582" s="4" t="inlineStr">
        <is>
          <t>alex</t>
        </is>
      </c>
      <c r="C582" s="4" t="inlineStr">
        <is>
          <t>2026-05-04 17:25</t>
        </is>
      </c>
      <c r="D582" s="4" t="n">
        <v>96992.8</v>
      </c>
      <c r="E582" s="4" t="inlineStr">
        <is>
          <t>petrol</t>
        </is>
      </c>
      <c r="F582" s="4" t="n">
        <v>39.781</v>
      </c>
      <c r="G582" s="4" t="n">
        <v>1.365</v>
      </c>
      <c r="H582" s="4" t="n">
        <v>54.3</v>
      </c>
      <c r="I582" s="4" t="inlineStr">
        <is>
          <t>no</t>
        </is>
      </c>
      <c r="J582" s="4" t="inlineStr">
        <is>
          <t>Tesco Birstall</t>
        </is>
      </c>
      <c r="K582" s="2">
        <f>IF(A582&lt;&gt;A581,"",IF(I581="no",D581,K581))</f>
        <v/>
      </c>
      <c r="L582" s="2">
        <f>IF(OR(A582&lt;&gt;A581,K582=""),"",IF(I581="no",F582,L581+F582))</f>
        <v/>
      </c>
      <c r="M582" s="2">
        <f>IF(AND(I582="no",K582&lt;&gt;""),D582-K582,"")</f>
        <v/>
      </c>
      <c r="N582" s="19">
        <f>IF(M582="","",L582/M582*100)</f>
        <v/>
      </c>
      <c r="O582" s="2">
        <f>A582&amp;"|"&amp;C582</f>
        <v/>
      </c>
    </row>
    <row r="583">
      <c r="A583" s="4" t="inlineStr">
        <is>
          <t>golf</t>
        </is>
      </c>
      <c r="B583" s="4" t="inlineStr">
        <is>
          <t>alex</t>
        </is>
      </c>
      <c r="C583" s="4" t="inlineStr">
        <is>
          <t>2026-05-11 15:35</t>
        </is>
      </c>
      <c r="D583" s="4" t="n">
        <v>97468.60000000001</v>
      </c>
      <c r="E583" s="4" t="inlineStr">
        <is>
          <t>petrol</t>
        </is>
      </c>
      <c r="F583" s="4" t="n">
        <v>29.935</v>
      </c>
      <c r="G583" s="4" t="n">
        <v>1.371</v>
      </c>
      <c r="H583" s="4" t="n">
        <v>41.04</v>
      </c>
      <c r="I583" s="4" t="inlineStr">
        <is>
          <t>no</t>
        </is>
      </c>
      <c r="J583" s="4" t="inlineStr">
        <is>
          <t>Shell Leeds Road</t>
        </is>
      </c>
      <c r="K583" s="2">
        <f>IF(A583&lt;&gt;A582,"",IF(I582="no",D582,K582))</f>
        <v/>
      </c>
      <c r="L583" s="2">
        <f>IF(OR(A583&lt;&gt;A582,K583=""),"",IF(I582="no",F583,L582+F583))</f>
        <v/>
      </c>
      <c r="M583" s="2">
        <f>IF(AND(I583="no",K583&lt;&gt;""),D583-K583,"")</f>
        <v/>
      </c>
      <c r="N583" s="19">
        <f>IF(M583="","",L583/M583*100)</f>
        <v/>
      </c>
      <c r="O583" s="2">
        <f>A583&amp;"|"&amp;C583</f>
        <v/>
      </c>
    </row>
    <row r="584">
      <c r="A584" s="4" t="inlineStr">
        <is>
          <t>golf</t>
        </is>
      </c>
      <c r="B584" s="4" t="inlineStr">
        <is>
          <t>alex</t>
        </is>
      </c>
      <c r="C584" s="4" t="inlineStr">
        <is>
          <t>2026-05-20 08:20</t>
        </is>
      </c>
      <c r="D584" s="4" t="n">
        <v>98015.2</v>
      </c>
      <c r="E584" s="4" t="inlineStr">
        <is>
          <t>petrol</t>
        </is>
      </c>
      <c r="F584" s="4" t="n">
        <v>36.162</v>
      </c>
      <c r="G584" s="4" t="n">
        <v>1.372</v>
      </c>
      <c r="H584" s="4" t="n">
        <v>49.61</v>
      </c>
      <c r="I584" s="4" t="inlineStr">
        <is>
          <t>no</t>
        </is>
      </c>
      <c r="J584" s="4" t="inlineStr">
        <is>
          <t>Tesco Birstall</t>
        </is>
      </c>
      <c r="K584" s="2">
        <f>IF(A584&lt;&gt;A583,"",IF(I583="no",D583,K583))</f>
        <v/>
      </c>
      <c r="L584" s="2">
        <f>IF(OR(A584&lt;&gt;A583,K584=""),"",IF(I583="no",F584,L583+F584))</f>
        <v/>
      </c>
      <c r="M584" s="2">
        <f>IF(AND(I584="no",K584&lt;&gt;""),D584-K584,"")</f>
        <v/>
      </c>
      <c r="N584" s="19">
        <f>IF(M584="","",L584/M584*100)</f>
        <v/>
      </c>
      <c r="O584" s="2">
        <f>A584&amp;"|"&amp;C584</f>
        <v/>
      </c>
    </row>
    <row r="585">
      <c r="A585" s="4" t="inlineStr">
        <is>
          <t>golf</t>
        </is>
      </c>
      <c r="B585" s="4" t="inlineStr">
        <is>
          <t>alex</t>
        </is>
      </c>
      <c r="C585" s="4" t="inlineStr">
        <is>
          <t>2026-05-29 13:47</t>
        </is>
      </c>
      <c r="D585" s="4" t="n">
        <v>98644.8</v>
      </c>
      <c r="E585" s="4" t="inlineStr">
        <is>
          <t>petrol</t>
        </is>
      </c>
      <c r="F585" s="4" t="n">
        <v>37.679</v>
      </c>
      <c r="G585" s="4" t="n">
        <v>1.36</v>
      </c>
      <c r="H585" s="4" t="n">
        <v>51.24</v>
      </c>
      <c r="I585" s="4" t="inlineStr">
        <is>
          <t>no</t>
        </is>
      </c>
      <c r="J585" s="4" t="inlineStr">
        <is>
          <t>Esso Wakefield</t>
        </is>
      </c>
      <c r="K585" s="2">
        <f>IF(A585&lt;&gt;A584,"",IF(I584="no",D584,K584))</f>
        <v/>
      </c>
      <c r="L585" s="2">
        <f>IF(OR(A585&lt;&gt;A584,K585=""),"",IF(I584="no",F585,L584+F585))</f>
        <v/>
      </c>
      <c r="M585" s="2">
        <f>IF(AND(I585="no",K585&lt;&gt;""),D585-K585,"")</f>
        <v/>
      </c>
      <c r="N585" s="19">
        <f>IF(M585="","",L585/M585*100)</f>
        <v/>
      </c>
      <c r="O585" s="2">
        <f>A585&amp;"|"&amp;C585</f>
        <v/>
      </c>
    </row>
    <row r="586">
      <c r="A586" s="4" t="inlineStr">
        <is>
          <t>golf</t>
        </is>
      </c>
      <c r="B586" s="4" t="inlineStr">
        <is>
          <t>alex</t>
        </is>
      </c>
      <c r="C586" s="4" t="inlineStr">
        <is>
          <t>2026-06-09 19:39</t>
        </is>
      </c>
      <c r="D586" s="4" t="n">
        <v>99335.39999999999</v>
      </c>
      <c r="E586" s="4" t="inlineStr">
        <is>
          <t>petrol</t>
        </is>
      </c>
      <c r="F586" s="4" t="n">
        <v>43.371</v>
      </c>
      <c r="G586" s="4" t="n">
        <v>1.362</v>
      </c>
      <c r="H586" s="4" t="n">
        <v>59.07</v>
      </c>
      <c r="I586" s="4" t="inlineStr">
        <is>
          <t>no</t>
        </is>
      </c>
      <c r="J586" s="4" t="inlineStr">
        <is>
          <t>Tesco Birstall</t>
        </is>
      </c>
      <c r="K586" s="2">
        <f>IF(A586&lt;&gt;A585,"",IF(I585="no",D585,K585))</f>
        <v/>
      </c>
      <c r="L586" s="2">
        <f>IF(OR(A586&lt;&gt;A585,K586=""),"",IF(I585="no",F586,L585+F586))</f>
        <v/>
      </c>
      <c r="M586" s="2">
        <f>IF(AND(I586="no",K586&lt;&gt;""),D586-K586,"")</f>
        <v/>
      </c>
      <c r="N586" s="19">
        <f>IF(M586="","",L586/M586*100)</f>
        <v/>
      </c>
      <c r="O586" s="2">
        <f>A586&amp;"|"&amp;C586</f>
        <v/>
      </c>
    </row>
    <row r="587">
      <c r="A587" s="4" t="inlineStr">
        <is>
          <t>golf</t>
        </is>
      </c>
      <c r="B587" s="4" t="inlineStr">
        <is>
          <t>alex</t>
        </is>
      </c>
      <c r="C587" s="4" t="inlineStr">
        <is>
          <t>2026-06-20 18:25</t>
        </is>
      </c>
      <c r="D587" s="4" t="n">
        <v>99984.8</v>
      </c>
      <c r="E587" s="4" t="inlineStr">
        <is>
          <t>petrol</t>
        </is>
      </c>
      <c r="F587" s="4" t="n">
        <v>40.352</v>
      </c>
      <c r="G587" s="4" t="n">
        <v>1.372</v>
      </c>
      <c r="H587" s="4" t="n">
        <v>55.36</v>
      </c>
      <c r="I587" s="4" t="inlineStr">
        <is>
          <t>no</t>
        </is>
      </c>
      <c r="J587" s="4" t="inlineStr">
        <is>
          <t>Shell Leeds Road</t>
        </is>
      </c>
      <c r="K587" s="2">
        <f>IF(A587&lt;&gt;A586,"",IF(I586="no",D586,K586))</f>
        <v/>
      </c>
      <c r="L587" s="2">
        <f>IF(OR(A587&lt;&gt;A586,K587=""),"",IF(I586="no",F587,L586+F587))</f>
        <v/>
      </c>
      <c r="M587" s="2">
        <f>IF(AND(I587="no",K587&lt;&gt;""),D587-K587,"")</f>
        <v/>
      </c>
      <c r="N587" s="19">
        <f>IF(M587="","",L587/M587*100)</f>
        <v/>
      </c>
      <c r="O587" s="2">
        <f>A587&amp;"|"&amp;C587</f>
        <v/>
      </c>
    </row>
    <row r="588">
      <c r="A588" s="4" t="inlineStr">
        <is>
          <t>golf</t>
        </is>
      </c>
      <c r="B588" s="4" t="inlineStr">
        <is>
          <t>alex</t>
        </is>
      </c>
      <c r="C588" s="4" t="inlineStr">
        <is>
          <t>2026-06-29 10:08</t>
        </is>
      </c>
      <c r="D588" s="4" t="n">
        <v>100498.5</v>
      </c>
      <c r="E588" s="4" t="inlineStr">
        <is>
          <t>petrol</t>
        </is>
      </c>
      <c r="F588" s="4" t="n">
        <v>27.205</v>
      </c>
      <c r="G588" s="4" t="n">
        <v>1.373</v>
      </c>
      <c r="H588" s="4" t="n">
        <v>37.35</v>
      </c>
      <c r="I588" s="4" t="inlineStr">
        <is>
          <t>yes</t>
        </is>
      </c>
      <c r="J588" s="4" t="inlineStr">
        <is>
          <t>Shell Leeds Road</t>
        </is>
      </c>
      <c r="K588" s="2">
        <f>IF(A588&lt;&gt;A587,"",IF(I587="no",D587,K587))</f>
        <v/>
      </c>
      <c r="L588" s="2">
        <f>IF(OR(A588&lt;&gt;A587,K588=""),"",IF(I587="no",F588,L587+F588))</f>
        <v/>
      </c>
      <c r="M588" s="2">
        <f>IF(AND(I588="no",K588&lt;&gt;""),D588-K588,"")</f>
        <v/>
      </c>
      <c r="N588" s="19">
        <f>IF(M588="","",L588/M588*100)</f>
        <v/>
      </c>
      <c r="O588" s="2">
        <f>A588&amp;"|"&amp;C588</f>
        <v/>
      </c>
    </row>
    <row r="589">
      <c r="A589" s="4" t="inlineStr">
        <is>
          <t>golf</t>
        </is>
      </c>
      <c r="B589" s="4" t="inlineStr">
        <is>
          <t>alex</t>
        </is>
      </c>
      <c r="C589" s="4" t="inlineStr">
        <is>
          <t>2026-07-06 13:05</t>
        </is>
      </c>
      <c r="D589" s="4" t="n">
        <v>100995.8</v>
      </c>
      <c r="E589" s="4" t="inlineStr">
        <is>
          <t>petrol</t>
        </is>
      </c>
      <c r="F589" s="4" t="n">
        <v>38.218</v>
      </c>
      <c r="G589" s="4" t="n">
        <v>1.374</v>
      </c>
      <c r="H589" s="4" t="n">
        <v>52.51</v>
      </c>
      <c r="I589" s="4" t="inlineStr">
        <is>
          <t>no</t>
        </is>
      </c>
      <c r="J589" s="4" t="inlineStr">
        <is>
          <t>Shell Leeds Road</t>
        </is>
      </c>
      <c r="K589" s="2">
        <f>IF(A589&lt;&gt;A588,"",IF(I588="no",D588,K588))</f>
        <v/>
      </c>
      <c r="L589" s="2">
        <f>IF(OR(A589&lt;&gt;A588,K589=""),"",IF(I588="no",F589,L588+F589))</f>
        <v/>
      </c>
      <c r="M589" s="2">
        <f>IF(AND(I589="no",K589&lt;&gt;""),D589-K589,"")</f>
        <v/>
      </c>
      <c r="N589" s="19">
        <f>IF(M589="","",L589/M589*100)</f>
        <v/>
      </c>
      <c r="O589" s="2">
        <f>A589&amp;"|"&amp;C589</f>
        <v/>
      </c>
    </row>
    <row r="590">
      <c r="A590" s="4" t="inlineStr">
        <is>
          <t>golf</t>
        </is>
      </c>
      <c r="B590" s="4" t="inlineStr">
        <is>
          <t>alex</t>
        </is>
      </c>
      <c r="C590" s="4" t="inlineStr">
        <is>
          <t>2026-07-16 08:34</t>
        </is>
      </c>
      <c r="D590" s="4" t="n">
        <v>101609.5</v>
      </c>
      <c r="E590" s="4" t="inlineStr">
        <is>
          <t>petrol</t>
        </is>
      </c>
      <c r="F590" s="4" t="n">
        <v>37.76</v>
      </c>
      <c r="G590" s="4" t="n">
        <v>1.383</v>
      </c>
      <c r="H590" s="4" t="n">
        <v>52.22</v>
      </c>
      <c r="I590" s="4" t="inlineStr">
        <is>
          <t>no</t>
        </is>
      </c>
      <c r="J590" s="4" t="inlineStr">
        <is>
          <t>BP Ring Road</t>
        </is>
      </c>
      <c r="K590" s="2">
        <f>IF(A590&lt;&gt;A589,"",IF(I589="no",D589,K589))</f>
        <v/>
      </c>
      <c r="L590" s="2">
        <f>IF(OR(A590&lt;&gt;A589,K590=""),"",IF(I589="no",F590,L589+F590))</f>
        <v/>
      </c>
      <c r="M590" s="2">
        <f>IF(AND(I590="no",K590&lt;&gt;""),D590-K590,"")</f>
        <v/>
      </c>
      <c r="N590" s="19">
        <f>IF(M590="","",L590/M590*100)</f>
        <v/>
      </c>
      <c r="O590" s="2">
        <f>A590&amp;"|"&amp;C590</f>
        <v/>
      </c>
    </row>
    <row r="591">
      <c r="A591" s="4" t="inlineStr">
        <is>
          <t>golf</t>
        </is>
      </c>
      <c r="B591" s="4" t="inlineStr">
        <is>
          <t>alex</t>
        </is>
      </c>
      <c r="C591" s="4" t="inlineStr">
        <is>
          <t>2026-07-23 14:13</t>
        </is>
      </c>
      <c r="D591" s="4" t="n">
        <v>102132.3</v>
      </c>
      <c r="E591" s="4" t="inlineStr">
        <is>
          <t>petrol</t>
        </is>
      </c>
      <c r="F591" s="4" t="n">
        <v>32.251</v>
      </c>
      <c r="G591" s="4" t="n">
        <v>1.386</v>
      </c>
      <c r="H591" s="4" t="n">
        <v>44.7</v>
      </c>
      <c r="I591" s="4" t="inlineStr">
        <is>
          <t>no</t>
        </is>
      </c>
      <c r="J591" s="4" t="inlineStr">
        <is>
          <t>Esso Wakefield</t>
        </is>
      </c>
      <c r="K591" s="2">
        <f>IF(A591&lt;&gt;A590,"",IF(I590="no",D590,K590))</f>
        <v/>
      </c>
      <c r="L591" s="2">
        <f>IF(OR(A591&lt;&gt;A590,K591=""),"",IF(I590="no",F591,L590+F591))</f>
        <v/>
      </c>
      <c r="M591" s="2">
        <f>IF(AND(I591="no",K591&lt;&gt;""),D591-K591,"")</f>
        <v/>
      </c>
      <c r="N591" s="19">
        <f>IF(M591="","",L591/M591*100)</f>
        <v/>
      </c>
      <c r="O591" s="2">
        <f>A591&amp;"|"&amp;C591</f>
        <v/>
      </c>
    </row>
    <row r="592">
      <c r="A592" s="4" t="inlineStr">
        <is>
          <t>golf</t>
        </is>
      </c>
      <c r="B592" s="4" t="inlineStr">
        <is>
          <t>alex</t>
        </is>
      </c>
      <c r="C592" s="4" t="inlineStr">
        <is>
          <t>2026-07-31 20:36</t>
        </is>
      </c>
      <c r="D592" s="4" t="n">
        <v>102725.8</v>
      </c>
      <c r="E592" s="4" t="inlineStr">
        <is>
          <t>petrol</t>
        </is>
      </c>
      <c r="F592" s="4" t="n">
        <v>34.99</v>
      </c>
      <c r="G592" s="4" t="n">
        <v>1.363</v>
      </c>
      <c r="H592" s="4" t="n">
        <v>47.69</v>
      </c>
      <c r="I592" s="4" t="inlineStr">
        <is>
          <t>no</t>
        </is>
      </c>
      <c r="J592" s="4" t="inlineStr">
        <is>
          <t>BP Ring Road</t>
        </is>
      </c>
      <c r="K592" s="2">
        <f>IF(A592&lt;&gt;A591,"",IF(I591="no",D591,K591))</f>
        <v/>
      </c>
      <c r="L592" s="2">
        <f>IF(OR(A592&lt;&gt;A591,K592=""),"",IF(I591="no",F592,L591+F592))</f>
        <v/>
      </c>
      <c r="M592" s="2">
        <f>IF(AND(I592="no",K592&lt;&gt;""),D592-K592,"")</f>
        <v/>
      </c>
      <c r="N592" s="19">
        <f>IF(M592="","",L592/M592*100)</f>
        <v/>
      </c>
      <c r="O592" s="2">
        <f>A592&amp;"|"&amp;C592</f>
        <v/>
      </c>
    </row>
    <row r="593">
      <c r="A593" s="4" t="inlineStr">
        <is>
          <t>golf</t>
        </is>
      </c>
      <c r="B593" s="4" t="inlineStr">
        <is>
          <t>alex</t>
        </is>
      </c>
      <c r="C593" s="4" t="inlineStr">
        <is>
          <t>2026-08-10 20:06</t>
        </is>
      </c>
      <c r="D593" s="4" t="n">
        <v>103404.1</v>
      </c>
      <c r="E593" s="4" t="inlineStr">
        <is>
          <t>petrol</t>
        </is>
      </c>
      <c r="F593" s="4" t="n">
        <v>42.87</v>
      </c>
      <c r="G593" s="4" t="n">
        <v>1.366</v>
      </c>
      <c r="H593" s="4" t="n">
        <v>58.56</v>
      </c>
      <c r="I593" s="4" t="inlineStr">
        <is>
          <t>no</t>
        </is>
      </c>
      <c r="J593" s="4" t="inlineStr">
        <is>
          <t>Shell Leeds Road</t>
        </is>
      </c>
      <c r="K593" s="2">
        <f>IF(A593&lt;&gt;A592,"",IF(I592="no",D592,K592))</f>
        <v/>
      </c>
      <c r="L593" s="2">
        <f>IF(OR(A593&lt;&gt;A592,K593=""),"",IF(I592="no",F593,L592+F593))</f>
        <v/>
      </c>
      <c r="M593" s="2">
        <f>IF(AND(I593="no",K593&lt;&gt;""),D593-K593,"")</f>
        <v/>
      </c>
      <c r="N593" s="19">
        <f>IF(M593="","",L593/M593*100)</f>
        <v/>
      </c>
      <c r="O593" s="2">
        <f>A593&amp;"|"&amp;C593</f>
        <v/>
      </c>
    </row>
    <row r="594">
      <c r="A594" s="4" t="inlineStr">
        <is>
          <t>golf</t>
        </is>
      </c>
      <c r="B594" s="4" t="inlineStr">
        <is>
          <t>alex</t>
        </is>
      </c>
      <c r="C594" s="4" t="inlineStr">
        <is>
          <t>2026-08-21 14:28</t>
        </is>
      </c>
      <c r="D594" s="4" t="n">
        <v>104016.1</v>
      </c>
      <c r="E594" s="4" t="inlineStr">
        <is>
          <t>petrol</t>
        </is>
      </c>
      <c r="F594" s="4" t="n">
        <v>37.623</v>
      </c>
      <c r="G594" s="4" t="n">
        <v>1.386</v>
      </c>
      <c r="H594" s="4" t="n">
        <v>52.15</v>
      </c>
      <c r="I594" s="4" t="inlineStr">
        <is>
          <t>no</t>
        </is>
      </c>
      <c r="J594" s="4" t="inlineStr">
        <is>
          <t>Tesco Birstall</t>
        </is>
      </c>
      <c r="K594" s="2">
        <f>IF(A594&lt;&gt;A593,"",IF(I593="no",D593,K593))</f>
        <v/>
      </c>
      <c r="L594" s="2">
        <f>IF(OR(A594&lt;&gt;A593,K594=""),"",IF(I593="no",F594,L593+F594))</f>
        <v/>
      </c>
      <c r="M594" s="2">
        <f>IF(AND(I594="no",K594&lt;&gt;""),D594-K594,"")</f>
        <v/>
      </c>
      <c r="N594" s="19">
        <f>IF(M594="","",L594/M594*100)</f>
        <v/>
      </c>
      <c r="O594" s="2">
        <f>A594&amp;"|"&amp;C594</f>
        <v/>
      </c>
    </row>
    <row r="595">
      <c r="A595" s="4" t="inlineStr">
        <is>
          <t>golf</t>
        </is>
      </c>
      <c r="B595" s="4" t="inlineStr">
        <is>
          <t>alex</t>
        </is>
      </c>
      <c r="C595" s="4" t="inlineStr">
        <is>
          <t>2026-08-30 15:02</t>
        </is>
      </c>
      <c r="D595" s="4" t="n">
        <v>104691.2</v>
      </c>
      <c r="E595" s="4" t="inlineStr">
        <is>
          <t>petrol</t>
        </is>
      </c>
      <c r="F595" s="4" t="n">
        <v>42.211</v>
      </c>
      <c r="G595" s="4" t="n">
        <v>1.373</v>
      </c>
      <c r="H595" s="4" t="n">
        <v>57.96</v>
      </c>
      <c r="I595" s="4" t="inlineStr">
        <is>
          <t>no</t>
        </is>
      </c>
      <c r="J595" s="4" t="inlineStr">
        <is>
          <t>BP Ring Road</t>
        </is>
      </c>
      <c r="K595" s="2">
        <f>IF(A595&lt;&gt;A594,"",IF(I594="no",D594,K594))</f>
        <v/>
      </c>
      <c r="L595" s="2">
        <f>IF(OR(A595&lt;&gt;A594,K595=""),"",IF(I594="no",F595,L594+F595))</f>
        <v/>
      </c>
      <c r="M595" s="2">
        <f>IF(AND(I595="no",K595&lt;&gt;""),D595-K595,"")</f>
        <v/>
      </c>
      <c r="N595" s="19">
        <f>IF(M595="","",L595/M595*100)</f>
        <v/>
      </c>
      <c r="O595" s="2">
        <f>A595&amp;"|"&amp;C595</f>
        <v/>
      </c>
    </row>
    <row r="596">
      <c r="A596" s="4" t="inlineStr">
        <is>
          <t>golf</t>
        </is>
      </c>
      <c r="B596" s="4" t="inlineStr">
        <is>
          <t>alex</t>
        </is>
      </c>
      <c r="C596" s="4" t="inlineStr">
        <is>
          <t>2026-09-11 14:35</t>
        </is>
      </c>
      <c r="D596" s="4" t="n">
        <v>105360.8</v>
      </c>
      <c r="E596" s="4" t="inlineStr">
        <is>
          <t>petrol</t>
        </is>
      </c>
      <c r="F596" s="4" t="n">
        <v>42.65</v>
      </c>
      <c r="G596" s="4" t="n">
        <v>1.383</v>
      </c>
      <c r="H596" s="4" t="n">
        <v>58.98</v>
      </c>
      <c r="I596" s="4" t="inlineStr">
        <is>
          <t>no</t>
        </is>
      </c>
      <c r="J596" s="4" t="inlineStr">
        <is>
          <t>Tesco Birstall</t>
        </is>
      </c>
      <c r="K596" s="2">
        <f>IF(A596&lt;&gt;A595,"",IF(I595="no",D595,K595))</f>
        <v/>
      </c>
      <c r="L596" s="2">
        <f>IF(OR(A596&lt;&gt;A595,K596=""),"",IF(I595="no",F596,L595+F596))</f>
        <v/>
      </c>
      <c r="M596" s="2">
        <f>IF(AND(I596="no",K596&lt;&gt;""),D596-K596,"")</f>
        <v/>
      </c>
      <c r="N596" s="19">
        <f>IF(M596="","",L596/M596*100)</f>
        <v/>
      </c>
      <c r="O596" s="2">
        <f>A596&amp;"|"&amp;C596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10" customWidth="1" min="5" max="5"/>
  </cols>
  <sheetData>
    <row r="1">
      <c r="A1" s="7" t="inlineStr">
        <is>
          <t>vehicle</t>
        </is>
      </c>
      <c r="B1" s="7" t="inlineStr">
        <is>
          <t>date</t>
        </is>
      </c>
      <c r="C1" s="7" t="inlineStr">
        <is>
          <t>category</t>
        </is>
      </c>
      <c r="D1" s="7" t="inlineStr">
        <is>
          <t>amount</t>
        </is>
      </c>
      <c r="E1" s="7" t="inlineStr">
        <is>
          <t>note</t>
        </is>
      </c>
    </row>
    <row r="2">
      <c r="A2" s="4" t="inlineStr">
        <is>
          <t>corolla</t>
        </is>
      </c>
      <c r="B2" s="4" t="inlineStr">
        <is>
          <t>2023-11-04</t>
        </is>
      </c>
      <c r="C2" s="4" t="inlineStr">
        <is>
          <t>tax</t>
        </is>
      </c>
      <c r="D2" s="4" t="n">
        <v>190</v>
      </c>
      <c r="E2" s="4" t="inlineStr">
        <is>
          <t>Motor tax</t>
        </is>
      </c>
    </row>
    <row r="3">
      <c r="A3" s="4" t="inlineStr">
        <is>
          <t>corolla</t>
        </is>
      </c>
      <c r="B3" s="4" t="inlineStr">
        <is>
          <t>2023-11-10</t>
        </is>
      </c>
      <c r="C3" s="4" t="inlineStr">
        <is>
          <t>parking</t>
        </is>
      </c>
      <c r="D3" s="4" t="n">
        <v>6.6</v>
      </c>
      <c r="E3" s="4" t="inlineStr">
        <is>
          <t>Parking</t>
        </is>
      </c>
    </row>
    <row r="4">
      <c r="A4" s="4" t="inlineStr">
        <is>
          <t>corolla</t>
        </is>
      </c>
      <c r="B4" s="4" t="inlineStr">
        <is>
          <t>2023-12-31</t>
        </is>
      </c>
      <c r="C4" s="4" t="inlineStr">
        <is>
          <t>parking</t>
        </is>
      </c>
      <c r="D4" s="4" t="n">
        <v>3.3</v>
      </c>
      <c r="E4" s="4" t="inlineStr">
        <is>
          <t>Parking</t>
        </is>
      </c>
    </row>
    <row r="5">
      <c r="A5" s="4" t="inlineStr">
        <is>
          <t>corolla</t>
        </is>
      </c>
      <c r="B5" s="4" t="inlineStr">
        <is>
          <t>2024-01-30</t>
        </is>
      </c>
      <c r="C5" s="4" t="inlineStr">
        <is>
          <t>parking</t>
        </is>
      </c>
      <c r="D5" s="4" t="n">
        <v>5.8</v>
      </c>
      <c r="E5" s="4" t="inlineStr">
        <is>
          <t>Parking</t>
        </is>
      </c>
    </row>
    <row r="6">
      <c r="A6" s="4" t="inlineStr">
        <is>
          <t>corolla</t>
        </is>
      </c>
      <c r="B6" s="4" t="inlineStr">
        <is>
          <t>2024-02-18</t>
        </is>
      </c>
      <c r="C6" s="4" t="inlineStr">
        <is>
          <t>tolls</t>
        </is>
      </c>
      <c r="D6" s="4" t="n">
        <v>3.1</v>
      </c>
      <c r="E6" s="4" t="inlineStr">
        <is>
          <t>M50 eFlow</t>
        </is>
      </c>
    </row>
    <row r="7">
      <c r="A7" s="4" t="inlineStr">
        <is>
          <t>corolla</t>
        </is>
      </c>
      <c r="B7" s="4" t="inlineStr">
        <is>
          <t>2024-02-18</t>
        </is>
      </c>
      <c r="C7" s="4" t="inlineStr">
        <is>
          <t>parking</t>
        </is>
      </c>
      <c r="D7" s="4" t="n">
        <v>8.800000000000001</v>
      </c>
      <c r="E7" s="4" t="inlineStr">
        <is>
          <t>Parking</t>
        </is>
      </c>
    </row>
    <row r="8">
      <c r="A8" s="4" t="inlineStr">
        <is>
          <t>corolla</t>
        </is>
      </c>
      <c r="B8" s="4" t="inlineStr">
        <is>
          <t>2024-03-31</t>
        </is>
      </c>
      <c r="C8" s="4" t="inlineStr">
        <is>
          <t>parking</t>
        </is>
      </c>
      <c r="D8" s="4" t="n">
        <v>9.800000000000001</v>
      </c>
      <c r="E8" s="4" t="inlineStr">
        <is>
          <t>Parking</t>
        </is>
      </c>
    </row>
    <row r="9">
      <c r="A9" s="4" t="inlineStr">
        <is>
          <t>corolla</t>
        </is>
      </c>
      <c r="B9" s="4" t="inlineStr">
        <is>
          <t>2024-04-18</t>
        </is>
      </c>
      <c r="C9" s="4" t="inlineStr">
        <is>
          <t>parking</t>
        </is>
      </c>
      <c r="D9" s="4" t="n">
        <v>4.3</v>
      </c>
      <c r="E9" s="4" t="inlineStr">
        <is>
          <t>Parking</t>
        </is>
      </c>
    </row>
    <row r="10">
      <c r="A10" s="4" t="inlineStr">
        <is>
          <t>corolla</t>
        </is>
      </c>
      <c r="B10" s="4" t="inlineStr">
        <is>
          <t>2024-05-25</t>
        </is>
      </c>
      <c r="C10" s="4" t="inlineStr">
        <is>
          <t>parking</t>
        </is>
      </c>
      <c r="D10" s="4" t="n">
        <v>2.4</v>
      </c>
      <c r="E10" s="4" t="inlineStr">
        <is>
          <t>Parking</t>
        </is>
      </c>
    </row>
    <row r="11">
      <c r="A11" s="4" t="inlineStr">
        <is>
          <t>corolla</t>
        </is>
      </c>
      <c r="B11" s="4" t="inlineStr">
        <is>
          <t>2024-06-25</t>
        </is>
      </c>
      <c r="C11" s="4" t="inlineStr">
        <is>
          <t>parking</t>
        </is>
      </c>
      <c r="D11" s="4" t="n">
        <v>9.699999999999999</v>
      </c>
      <c r="E11" s="4" t="inlineStr">
        <is>
          <t>Parking</t>
        </is>
      </c>
    </row>
    <row r="12">
      <c r="A12" s="4" t="inlineStr">
        <is>
          <t>corolla</t>
        </is>
      </c>
      <c r="B12" s="4" t="inlineStr">
        <is>
          <t>2024-07-19</t>
        </is>
      </c>
      <c r="C12" s="4" t="inlineStr">
        <is>
          <t>parking</t>
        </is>
      </c>
      <c r="D12" s="4" t="n">
        <v>6.5</v>
      </c>
      <c r="E12" s="4" t="inlineStr">
        <is>
          <t>Parking</t>
        </is>
      </c>
    </row>
    <row r="13">
      <c r="A13" s="4" t="inlineStr">
        <is>
          <t>corolla</t>
        </is>
      </c>
      <c r="B13" s="4" t="inlineStr">
        <is>
          <t>2024-08-25</t>
        </is>
      </c>
      <c r="C13" s="4" t="inlineStr">
        <is>
          <t>parking</t>
        </is>
      </c>
      <c r="D13" s="4" t="n">
        <v>8.9</v>
      </c>
      <c r="E13" s="4" t="inlineStr">
        <is>
          <t>Parking</t>
        </is>
      </c>
    </row>
    <row r="14">
      <c r="A14" s="4" t="inlineStr">
        <is>
          <t>corolla</t>
        </is>
      </c>
      <c r="B14" s="4" t="inlineStr">
        <is>
          <t>2024-09-07</t>
        </is>
      </c>
      <c r="C14" s="4" t="inlineStr">
        <is>
          <t>tolls</t>
        </is>
      </c>
      <c r="D14" s="4" t="n">
        <v>3.1</v>
      </c>
      <c r="E14" s="4" t="inlineStr">
        <is>
          <t>M50 eFlow</t>
        </is>
      </c>
    </row>
    <row r="15">
      <c r="A15" s="4" t="inlineStr">
        <is>
          <t>corolla</t>
        </is>
      </c>
      <c r="B15" s="4" t="inlineStr">
        <is>
          <t>2024-09-28</t>
        </is>
      </c>
      <c r="C15" s="4" t="inlineStr">
        <is>
          <t>parking</t>
        </is>
      </c>
      <c r="D15" s="4" t="n">
        <v>5.9</v>
      </c>
      <c r="E15" s="4" t="inlineStr">
        <is>
          <t>Parking</t>
        </is>
      </c>
    </row>
    <row r="16">
      <c r="A16" s="4" t="inlineStr">
        <is>
          <t>corolla</t>
        </is>
      </c>
      <c r="B16" s="4" t="inlineStr">
        <is>
          <t>2024-10-26</t>
        </is>
      </c>
      <c r="C16" s="4" t="inlineStr">
        <is>
          <t>parking</t>
        </is>
      </c>
      <c r="D16" s="4" t="n">
        <v>4.6</v>
      </c>
      <c r="E16" s="4" t="inlineStr">
        <is>
          <t>Parking</t>
        </is>
      </c>
    </row>
    <row r="17">
      <c r="A17" s="4" t="inlineStr">
        <is>
          <t>corolla</t>
        </is>
      </c>
      <c r="B17" s="4" t="inlineStr">
        <is>
          <t>2024-11-01</t>
        </is>
      </c>
      <c r="C17" s="4" t="inlineStr">
        <is>
          <t>tax</t>
        </is>
      </c>
      <c r="D17" s="4" t="n">
        <v>190</v>
      </c>
      <c r="E17" s="4" t="inlineStr">
        <is>
          <t>Motor tax</t>
        </is>
      </c>
    </row>
    <row r="18">
      <c r="A18" s="4" t="inlineStr">
        <is>
          <t>corolla</t>
        </is>
      </c>
      <c r="B18" s="4" t="inlineStr">
        <is>
          <t>2024-11-24</t>
        </is>
      </c>
      <c r="C18" s="4" t="inlineStr">
        <is>
          <t>parking</t>
        </is>
      </c>
      <c r="D18" s="4" t="n">
        <v>7.7</v>
      </c>
      <c r="E18" s="4" t="inlineStr">
        <is>
          <t>Parking</t>
        </is>
      </c>
    </row>
    <row r="19">
      <c r="A19" s="4" t="inlineStr">
        <is>
          <t>corolla</t>
        </is>
      </c>
      <c r="B19" s="4" t="inlineStr">
        <is>
          <t>2024-12-20</t>
        </is>
      </c>
      <c r="C19" s="4" t="inlineStr">
        <is>
          <t>parking</t>
        </is>
      </c>
      <c r="D19" s="4" t="n">
        <v>4.5</v>
      </c>
      <c r="E19" s="4" t="inlineStr">
        <is>
          <t>Parking</t>
        </is>
      </c>
    </row>
    <row r="20">
      <c r="A20" s="4" t="inlineStr">
        <is>
          <t>corolla</t>
        </is>
      </c>
      <c r="B20" s="4" t="inlineStr">
        <is>
          <t>2025-01-20</t>
        </is>
      </c>
      <c r="C20" s="4" t="inlineStr">
        <is>
          <t>parking</t>
        </is>
      </c>
      <c r="D20" s="4" t="n">
        <v>3.9</v>
      </c>
      <c r="E20" s="4" t="inlineStr">
        <is>
          <t>Parking</t>
        </is>
      </c>
    </row>
    <row r="21">
      <c r="A21" s="4" t="inlineStr">
        <is>
          <t>corolla</t>
        </is>
      </c>
      <c r="B21" s="4" t="inlineStr">
        <is>
          <t>2025-02-20</t>
        </is>
      </c>
      <c r="C21" s="4" t="inlineStr">
        <is>
          <t>parking</t>
        </is>
      </c>
      <c r="D21" s="4" t="n">
        <v>4.5</v>
      </c>
      <c r="E21" s="4" t="inlineStr">
        <is>
          <t>Parking</t>
        </is>
      </c>
    </row>
    <row r="22">
      <c r="A22" s="4" t="inlineStr">
        <is>
          <t>corolla</t>
        </is>
      </c>
      <c r="B22" s="4" t="inlineStr">
        <is>
          <t>2025-04-01</t>
        </is>
      </c>
      <c r="C22" s="4" t="inlineStr">
        <is>
          <t>parking</t>
        </is>
      </c>
      <c r="D22" s="4" t="n">
        <v>6.1</v>
      </c>
      <c r="E22" s="4" t="inlineStr">
        <is>
          <t>Parking</t>
        </is>
      </c>
    </row>
    <row r="23">
      <c r="A23" s="4" t="inlineStr">
        <is>
          <t>corolla</t>
        </is>
      </c>
      <c r="B23" s="4" t="inlineStr">
        <is>
          <t>2025-05-06</t>
        </is>
      </c>
      <c r="C23" s="4" t="inlineStr">
        <is>
          <t>parking</t>
        </is>
      </c>
      <c r="D23" s="4" t="n">
        <v>3.5</v>
      </c>
      <c r="E23" s="4" t="inlineStr">
        <is>
          <t>Parking</t>
        </is>
      </c>
    </row>
    <row r="24">
      <c r="A24" s="4" t="inlineStr">
        <is>
          <t>corolla</t>
        </is>
      </c>
      <c r="B24" s="4" t="inlineStr">
        <is>
          <t>2025-05-10</t>
        </is>
      </c>
      <c r="C24" s="4" t="inlineStr">
        <is>
          <t>parking</t>
        </is>
      </c>
      <c r="D24" s="4" t="n">
        <v>6.2</v>
      </c>
      <c r="E24" s="4" t="inlineStr">
        <is>
          <t>Parking</t>
        </is>
      </c>
    </row>
    <row r="25">
      <c r="A25" s="4" t="inlineStr">
        <is>
          <t>corolla</t>
        </is>
      </c>
      <c r="B25" s="4" t="inlineStr">
        <is>
          <t>2025-05-22</t>
        </is>
      </c>
      <c r="C25" s="4" t="inlineStr">
        <is>
          <t>tolls</t>
        </is>
      </c>
      <c r="D25" s="4" t="n">
        <v>3.2</v>
      </c>
      <c r="E25" s="4" t="inlineStr">
        <is>
          <t>M50 eFlow</t>
        </is>
      </c>
    </row>
    <row r="26">
      <c r="A26" s="4" t="inlineStr">
        <is>
          <t>corolla</t>
        </is>
      </c>
      <c r="B26" s="4" t="inlineStr">
        <is>
          <t>2025-06-16</t>
        </is>
      </c>
      <c r="C26" s="4" t="inlineStr">
        <is>
          <t>parking</t>
        </is>
      </c>
      <c r="D26" s="4" t="n">
        <v>4.6</v>
      </c>
      <c r="E26" s="4" t="inlineStr">
        <is>
          <t>Parking</t>
        </is>
      </c>
    </row>
    <row r="27">
      <c r="A27" s="4" t="inlineStr">
        <is>
          <t>corolla</t>
        </is>
      </c>
      <c r="B27" s="4" t="inlineStr">
        <is>
          <t>2025-07-13</t>
        </is>
      </c>
      <c r="C27" s="4" t="inlineStr">
        <is>
          <t>parking</t>
        </is>
      </c>
      <c r="D27" s="4" t="n">
        <v>9.699999999999999</v>
      </c>
      <c r="E27" s="4" t="inlineStr">
        <is>
          <t>Parking</t>
        </is>
      </c>
    </row>
    <row r="28">
      <c r="A28" s="4" t="inlineStr">
        <is>
          <t>corolla</t>
        </is>
      </c>
      <c r="B28" s="4" t="inlineStr">
        <is>
          <t>2025-08-15</t>
        </is>
      </c>
      <c r="C28" s="4" t="inlineStr">
        <is>
          <t>parking</t>
        </is>
      </c>
      <c r="D28" s="4" t="n">
        <v>4</v>
      </c>
      <c r="E28" s="4" t="inlineStr">
        <is>
          <t>Parking</t>
        </is>
      </c>
    </row>
    <row r="29">
      <c r="A29" s="4" t="inlineStr">
        <is>
          <t>corolla</t>
        </is>
      </c>
      <c r="B29" s="4" t="inlineStr">
        <is>
          <t>2025-10-07</t>
        </is>
      </c>
      <c r="C29" s="4" t="inlineStr">
        <is>
          <t>parking</t>
        </is>
      </c>
      <c r="D29" s="4" t="n">
        <v>4.3</v>
      </c>
      <c r="E29" s="4" t="inlineStr">
        <is>
          <t>Parking</t>
        </is>
      </c>
    </row>
    <row r="30">
      <c r="A30" s="4" t="inlineStr">
        <is>
          <t>corolla</t>
        </is>
      </c>
      <c r="B30" s="4" t="inlineStr">
        <is>
          <t>2025-10-26</t>
        </is>
      </c>
      <c r="C30" s="4" t="inlineStr">
        <is>
          <t>parking</t>
        </is>
      </c>
      <c r="D30" s="4" t="n">
        <v>8.4</v>
      </c>
      <c r="E30" s="4" t="inlineStr">
        <is>
          <t>Parking</t>
        </is>
      </c>
    </row>
    <row r="31">
      <c r="A31" s="4" t="inlineStr">
        <is>
          <t>corolla</t>
        </is>
      </c>
      <c r="B31" s="4" t="inlineStr">
        <is>
          <t>2025-11-01</t>
        </is>
      </c>
      <c r="C31" s="4" t="inlineStr">
        <is>
          <t>tax</t>
        </is>
      </c>
      <c r="D31" s="4" t="n">
        <v>200</v>
      </c>
      <c r="E31" s="4" t="inlineStr">
        <is>
          <t>Motor tax</t>
        </is>
      </c>
    </row>
    <row r="32">
      <c r="A32" s="4" t="inlineStr">
        <is>
          <t>corolla</t>
        </is>
      </c>
      <c r="B32" s="4" t="inlineStr">
        <is>
          <t>2025-11-11</t>
        </is>
      </c>
      <c r="C32" s="4" t="inlineStr">
        <is>
          <t>parking</t>
        </is>
      </c>
      <c r="D32" s="4" t="n">
        <v>4.3</v>
      </c>
      <c r="E32" s="4" t="inlineStr">
        <is>
          <t>Parking</t>
        </is>
      </c>
    </row>
    <row r="33">
      <c r="A33" s="4" t="inlineStr">
        <is>
          <t>corolla</t>
        </is>
      </c>
      <c r="B33" s="4" t="inlineStr">
        <is>
          <t>2025-12-28</t>
        </is>
      </c>
      <c r="C33" s="4" t="inlineStr">
        <is>
          <t>parking</t>
        </is>
      </c>
      <c r="D33" s="4" t="n">
        <v>8.699999999999999</v>
      </c>
      <c r="E33" s="4" t="inlineStr">
        <is>
          <t>Parking</t>
        </is>
      </c>
    </row>
    <row r="34">
      <c r="A34" s="4" t="inlineStr">
        <is>
          <t>corolla</t>
        </is>
      </c>
      <c r="B34" s="4" t="inlineStr">
        <is>
          <t>2026-01-26</t>
        </is>
      </c>
      <c r="C34" s="4" t="inlineStr">
        <is>
          <t>parking</t>
        </is>
      </c>
      <c r="D34" s="4" t="n">
        <v>4.4</v>
      </c>
      <c r="E34" s="4" t="inlineStr">
        <is>
          <t>Parking</t>
        </is>
      </c>
    </row>
    <row r="35">
      <c r="A35" s="4" t="inlineStr">
        <is>
          <t>corolla</t>
        </is>
      </c>
      <c r="B35" s="4" t="inlineStr">
        <is>
          <t>2026-03-04</t>
        </is>
      </c>
      <c r="C35" s="4" t="inlineStr">
        <is>
          <t>parking</t>
        </is>
      </c>
      <c r="D35" s="4" t="n">
        <v>4.9</v>
      </c>
      <c r="E35" s="4" t="inlineStr">
        <is>
          <t>Parking</t>
        </is>
      </c>
    </row>
    <row r="36">
      <c r="A36" s="4" t="inlineStr">
        <is>
          <t>corolla</t>
        </is>
      </c>
      <c r="B36" s="4" t="inlineStr">
        <is>
          <t>2026-03-15</t>
        </is>
      </c>
      <c r="C36" s="4" t="inlineStr">
        <is>
          <t>parking</t>
        </is>
      </c>
      <c r="D36" s="4" t="n">
        <v>3</v>
      </c>
      <c r="E36" s="4" t="inlineStr">
        <is>
          <t>Parking</t>
        </is>
      </c>
    </row>
    <row r="37">
      <c r="A37" s="4" t="inlineStr">
        <is>
          <t>corolla</t>
        </is>
      </c>
      <c r="B37" s="4" t="inlineStr">
        <is>
          <t>2026-03-30</t>
        </is>
      </c>
      <c r="C37" s="4" t="inlineStr">
        <is>
          <t>tolls</t>
        </is>
      </c>
      <c r="D37" s="4" t="n">
        <v>3.2</v>
      </c>
      <c r="E37" s="4" t="inlineStr">
        <is>
          <t>M50 eFlow</t>
        </is>
      </c>
    </row>
    <row r="38">
      <c r="A38" s="4" t="inlineStr">
        <is>
          <t>corolla</t>
        </is>
      </c>
      <c r="B38" s="4" t="inlineStr">
        <is>
          <t>2026-05-01</t>
        </is>
      </c>
      <c r="C38" s="4" t="inlineStr">
        <is>
          <t>parking</t>
        </is>
      </c>
      <c r="D38" s="4" t="n">
        <v>2.6</v>
      </c>
      <c r="E38" s="4" t="inlineStr">
        <is>
          <t>Parking</t>
        </is>
      </c>
    </row>
    <row r="39">
      <c r="A39" s="4" t="inlineStr">
        <is>
          <t>corolla</t>
        </is>
      </c>
      <c r="B39" s="4" t="inlineStr">
        <is>
          <t>2026-05-25</t>
        </is>
      </c>
      <c r="C39" s="4" t="inlineStr">
        <is>
          <t>parking</t>
        </is>
      </c>
      <c r="D39" s="4" t="n">
        <v>9.800000000000001</v>
      </c>
      <c r="E39" s="4" t="inlineStr">
        <is>
          <t>Parking</t>
        </is>
      </c>
    </row>
    <row r="40">
      <c r="A40" s="4" t="inlineStr">
        <is>
          <t>corolla</t>
        </is>
      </c>
      <c r="B40" s="4" t="inlineStr">
        <is>
          <t>2026-06-24</t>
        </is>
      </c>
      <c r="C40" s="4" t="inlineStr">
        <is>
          <t>parking</t>
        </is>
      </c>
      <c r="D40" s="4" t="n">
        <v>2.9</v>
      </c>
      <c r="E40" s="4" t="inlineStr">
        <is>
          <t>Parking</t>
        </is>
      </c>
    </row>
    <row r="41">
      <c r="A41" s="4" t="inlineStr">
        <is>
          <t>corolla</t>
        </is>
      </c>
      <c r="B41" s="4" t="inlineStr">
        <is>
          <t>2026-07-15</t>
        </is>
      </c>
      <c r="C41" s="4" t="inlineStr">
        <is>
          <t>parking</t>
        </is>
      </c>
      <c r="D41" s="4" t="n">
        <v>6.2</v>
      </c>
      <c r="E41" s="4" t="inlineStr">
        <is>
          <t>Parking</t>
        </is>
      </c>
    </row>
    <row r="42">
      <c r="A42" s="4" t="inlineStr">
        <is>
          <t>corolla</t>
        </is>
      </c>
      <c r="B42" s="4" t="inlineStr">
        <is>
          <t>2026-09-01</t>
        </is>
      </c>
      <c r="C42" s="4" t="inlineStr">
        <is>
          <t>parking</t>
        </is>
      </c>
      <c r="D42" s="4" t="n">
        <v>7.7</v>
      </c>
      <c r="E42" s="4" t="inlineStr">
        <is>
          <t>Parking</t>
        </is>
      </c>
    </row>
    <row r="43">
      <c r="A43" s="4" t="inlineStr">
        <is>
          <t>ev</t>
        </is>
      </c>
      <c r="B43" s="4" t="inlineStr">
        <is>
          <t>2024-02-10</t>
        </is>
      </c>
      <c r="C43" s="4" t="inlineStr">
        <is>
          <t>tax</t>
        </is>
      </c>
      <c r="D43" s="4" t="n">
        <v>0</v>
      </c>
      <c r="E43" s="4" t="inlineStr">
        <is>
          <t>Vehicle tax (zero-rated EV)</t>
        </is>
      </c>
    </row>
    <row r="44">
      <c r="A44" s="4" t="inlineStr">
        <is>
          <t>ev</t>
        </is>
      </c>
      <c r="B44" s="4" t="inlineStr">
        <is>
          <t>2024-02-12</t>
        </is>
      </c>
      <c r="C44" s="4" t="inlineStr">
        <is>
          <t>accessories</t>
        </is>
      </c>
      <c r="D44" s="4" t="n">
        <v>42.99</v>
      </c>
      <c r="E44" s="4" t="inlineStr">
        <is>
          <t>Type 2 cable bag</t>
        </is>
      </c>
    </row>
    <row r="45">
      <c r="A45" s="4" t="inlineStr">
        <is>
          <t>ev</t>
        </is>
      </c>
      <c r="B45" s="4" t="inlineStr">
        <is>
          <t>2025-04-01</t>
        </is>
      </c>
      <c r="C45" s="4" t="inlineStr">
        <is>
          <t>tax</t>
        </is>
      </c>
      <c r="D45" s="4" t="n">
        <v>195</v>
      </c>
      <c r="E45" s="4" t="inlineStr">
        <is>
          <t>Vehicle tax</t>
        </is>
      </c>
    </row>
    <row r="46">
      <c r="A46" s="4" t="inlineStr">
        <is>
          <t>ev</t>
        </is>
      </c>
      <c r="B46" s="4" t="inlineStr">
        <is>
          <t>2026-04-01</t>
        </is>
      </c>
      <c r="C46" s="4" t="inlineStr">
        <is>
          <t>tax</t>
        </is>
      </c>
      <c r="D46" s="4" t="n">
        <v>195</v>
      </c>
      <c r="E46" s="4" t="inlineStr">
        <is>
          <t>Vehicle tax</t>
        </is>
      </c>
    </row>
    <row r="47">
      <c r="A47" s="4" t="inlineStr">
        <is>
          <t>focus</t>
        </is>
      </c>
      <c r="B47" s="4" t="inlineStr">
        <is>
          <t>2023-09-20</t>
        </is>
      </c>
      <c r="C47" s="4" t="inlineStr">
        <is>
          <t>tax</t>
        </is>
      </c>
      <c r="D47" s="4" t="n">
        <v>35</v>
      </c>
      <c r="E47" s="4" t="inlineStr">
        <is>
          <t>Vehicle tax</t>
        </is>
      </c>
    </row>
    <row r="48">
      <c r="A48" s="4" t="inlineStr">
        <is>
          <t>focus</t>
        </is>
      </c>
      <c r="B48" s="4" t="inlineStr">
        <is>
          <t>2023-10-05</t>
        </is>
      </c>
      <c r="C48" s="4" t="inlineStr">
        <is>
          <t>parking</t>
        </is>
      </c>
      <c r="D48" s="4" t="n">
        <v>7.3</v>
      </c>
      <c r="E48" s="4" t="inlineStr">
        <is>
          <t>Parking</t>
        </is>
      </c>
    </row>
    <row r="49">
      <c r="A49" s="4" t="inlineStr">
        <is>
          <t>focus</t>
        </is>
      </c>
      <c r="B49" s="4" t="inlineStr">
        <is>
          <t>2023-11-03</t>
        </is>
      </c>
      <c r="C49" s="4" t="inlineStr">
        <is>
          <t>parking</t>
        </is>
      </c>
      <c r="D49" s="4" t="n">
        <v>4.8</v>
      </c>
      <c r="E49" s="4" t="inlineStr">
        <is>
          <t>Parking</t>
        </is>
      </c>
    </row>
    <row r="50">
      <c r="A50" s="4" t="inlineStr">
        <is>
          <t>focus</t>
        </is>
      </c>
      <c r="B50" s="4" t="inlineStr">
        <is>
          <t>2023-12-01</t>
        </is>
      </c>
      <c r="C50" s="4" t="inlineStr">
        <is>
          <t>parking</t>
        </is>
      </c>
      <c r="D50" s="4" t="n">
        <v>7.2</v>
      </c>
      <c r="E50" s="4" t="inlineStr">
        <is>
          <t>Parking</t>
        </is>
      </c>
    </row>
    <row r="51">
      <c r="A51" s="4" t="inlineStr">
        <is>
          <t>focus</t>
        </is>
      </c>
      <c r="B51" s="4" t="inlineStr">
        <is>
          <t>2023-12-29</t>
        </is>
      </c>
      <c r="C51" s="4" t="inlineStr">
        <is>
          <t>parking</t>
        </is>
      </c>
      <c r="D51" s="4" t="n">
        <v>5</v>
      </c>
      <c r="E51" s="4" t="inlineStr">
        <is>
          <t>Parking</t>
        </is>
      </c>
    </row>
    <row r="52">
      <c r="A52" s="4" t="inlineStr">
        <is>
          <t>focus</t>
        </is>
      </c>
      <c r="B52" s="4" t="inlineStr">
        <is>
          <t>2024-02-08</t>
        </is>
      </c>
      <c r="C52" s="4" t="inlineStr">
        <is>
          <t>parking</t>
        </is>
      </c>
      <c r="D52" s="4" t="n">
        <v>2.7</v>
      </c>
      <c r="E52" s="4" t="inlineStr">
        <is>
          <t>Parking</t>
        </is>
      </c>
    </row>
    <row r="53">
      <c r="A53" s="4" t="inlineStr">
        <is>
          <t>focus</t>
        </is>
      </c>
      <c r="B53" s="4" t="inlineStr">
        <is>
          <t>2024-03-16</t>
        </is>
      </c>
      <c r="C53" s="4" t="inlineStr">
        <is>
          <t>parking</t>
        </is>
      </c>
      <c r="D53" s="4" t="n">
        <v>9.5</v>
      </c>
      <c r="E53" s="4" t="inlineStr">
        <is>
          <t>Parking</t>
        </is>
      </c>
    </row>
    <row r="54">
      <c r="A54" s="4" t="inlineStr">
        <is>
          <t>focus</t>
        </is>
      </c>
      <c r="B54" s="4" t="inlineStr">
        <is>
          <t>2024-04-21</t>
        </is>
      </c>
      <c r="C54" s="4" t="inlineStr">
        <is>
          <t>parking</t>
        </is>
      </c>
      <c r="D54" s="4" t="n">
        <v>4.1</v>
      </c>
      <c r="E54" s="4" t="inlineStr">
        <is>
          <t>Parking</t>
        </is>
      </c>
    </row>
    <row r="55">
      <c r="A55" s="4" t="inlineStr">
        <is>
          <t>focus</t>
        </is>
      </c>
      <c r="B55" s="4" t="inlineStr">
        <is>
          <t>2024-05-08</t>
        </is>
      </c>
      <c r="C55" s="4" t="inlineStr">
        <is>
          <t>parking</t>
        </is>
      </c>
      <c r="D55" s="4" t="n">
        <v>2.7</v>
      </c>
      <c r="E55" s="4" t="inlineStr">
        <is>
          <t>Parking</t>
        </is>
      </c>
    </row>
    <row r="56">
      <c r="A56" s="4" t="inlineStr">
        <is>
          <t>focus</t>
        </is>
      </c>
      <c r="B56" s="4" t="inlineStr">
        <is>
          <t>2024-06-09</t>
        </is>
      </c>
      <c r="C56" s="4" t="inlineStr">
        <is>
          <t>parking</t>
        </is>
      </c>
      <c r="D56" s="4" t="n">
        <v>5.9</v>
      </c>
      <c r="E56" s="4" t="inlineStr">
        <is>
          <t>Parking</t>
        </is>
      </c>
    </row>
    <row r="57">
      <c r="A57" s="4" t="inlineStr">
        <is>
          <t>focus</t>
        </is>
      </c>
      <c r="B57" s="4" t="inlineStr">
        <is>
          <t>2024-07-17</t>
        </is>
      </c>
      <c r="C57" s="4" t="inlineStr">
        <is>
          <t>parking</t>
        </is>
      </c>
      <c r="D57" s="4" t="n">
        <v>2.4</v>
      </c>
      <c r="E57" s="4" t="inlineStr">
        <is>
          <t>Parking</t>
        </is>
      </c>
    </row>
    <row r="58">
      <c r="A58" s="4" t="inlineStr">
        <is>
          <t>focus</t>
        </is>
      </c>
      <c r="B58" s="4" t="inlineStr">
        <is>
          <t>2024-08-07</t>
        </is>
      </c>
      <c r="C58" s="4" t="inlineStr">
        <is>
          <t>parking</t>
        </is>
      </c>
      <c r="D58" s="4" t="n">
        <v>8.800000000000001</v>
      </c>
      <c r="E58" s="4" t="inlineStr">
        <is>
          <t>Parking</t>
        </is>
      </c>
    </row>
    <row r="59">
      <c r="A59" s="4" t="inlineStr">
        <is>
          <t>focus</t>
        </is>
      </c>
      <c r="B59" s="4" t="inlineStr">
        <is>
          <t>2024-09-01</t>
        </is>
      </c>
      <c r="C59" s="4" t="inlineStr">
        <is>
          <t>tax</t>
        </is>
      </c>
      <c r="D59" s="4" t="n">
        <v>35</v>
      </c>
      <c r="E59" s="4" t="inlineStr">
        <is>
          <t>Vehicle tax</t>
        </is>
      </c>
    </row>
    <row r="60">
      <c r="A60" s="4" t="inlineStr">
        <is>
          <t>focus</t>
        </is>
      </c>
      <c r="B60" s="4" t="inlineStr">
        <is>
          <t>2024-09-03</t>
        </is>
      </c>
      <c r="C60" s="4" t="inlineStr">
        <is>
          <t>parking</t>
        </is>
      </c>
      <c r="D60" s="4" t="n">
        <v>5.2</v>
      </c>
      <c r="E60" s="4" t="inlineStr">
        <is>
          <t>Parking</t>
        </is>
      </c>
    </row>
    <row r="61">
      <c r="A61" s="4" t="inlineStr">
        <is>
          <t>focus</t>
        </is>
      </c>
      <c r="B61" s="4" t="inlineStr">
        <is>
          <t>2024-10-15</t>
        </is>
      </c>
      <c r="C61" s="4" t="inlineStr">
        <is>
          <t>parking</t>
        </is>
      </c>
      <c r="D61" s="4" t="n">
        <v>2.4</v>
      </c>
      <c r="E61" s="4" t="inlineStr">
        <is>
          <t>Parking</t>
        </is>
      </c>
    </row>
    <row r="62">
      <c r="A62" s="4" t="inlineStr">
        <is>
          <t>focus</t>
        </is>
      </c>
      <c r="B62" s="4" t="inlineStr">
        <is>
          <t>2024-11-10</t>
        </is>
      </c>
      <c r="C62" s="4" t="inlineStr">
        <is>
          <t>parking</t>
        </is>
      </c>
      <c r="D62" s="4" t="n">
        <v>6.8</v>
      </c>
      <c r="E62" s="4" t="inlineStr">
        <is>
          <t>Parking</t>
        </is>
      </c>
    </row>
    <row r="63">
      <c r="A63" s="4" t="inlineStr">
        <is>
          <t>focus</t>
        </is>
      </c>
      <c r="B63" s="4" t="inlineStr">
        <is>
          <t>2024-12-07</t>
        </is>
      </c>
      <c r="C63" s="4" t="inlineStr">
        <is>
          <t>parking</t>
        </is>
      </c>
      <c r="D63" s="4" t="n">
        <v>6.5</v>
      </c>
      <c r="E63" s="4" t="inlineStr">
        <is>
          <t>Parking</t>
        </is>
      </c>
    </row>
    <row r="64">
      <c r="A64" s="4" t="inlineStr">
        <is>
          <t>focus</t>
        </is>
      </c>
      <c r="B64" s="4" t="inlineStr">
        <is>
          <t>2025-01-11</t>
        </is>
      </c>
      <c r="C64" s="4" t="inlineStr">
        <is>
          <t>parking</t>
        </is>
      </c>
      <c r="D64" s="4" t="n">
        <v>4</v>
      </c>
      <c r="E64" s="4" t="inlineStr">
        <is>
          <t>Parking</t>
        </is>
      </c>
    </row>
    <row r="65">
      <c r="A65" s="4" t="inlineStr">
        <is>
          <t>focus</t>
        </is>
      </c>
      <c r="B65" s="4" t="inlineStr">
        <is>
          <t>2025-02-13</t>
        </is>
      </c>
      <c r="C65" s="4" t="inlineStr">
        <is>
          <t>parking</t>
        </is>
      </c>
      <c r="D65" s="4" t="n">
        <v>6.1</v>
      </c>
      <c r="E65" s="4" t="inlineStr">
        <is>
          <t>Parking</t>
        </is>
      </c>
    </row>
    <row r="66">
      <c r="A66" s="4" t="inlineStr">
        <is>
          <t>focus</t>
        </is>
      </c>
      <c r="B66" s="4" t="inlineStr">
        <is>
          <t>2025-03-04</t>
        </is>
      </c>
      <c r="C66" s="4" t="inlineStr">
        <is>
          <t>parking</t>
        </is>
      </c>
      <c r="D66" s="4" t="n">
        <v>6.3</v>
      </c>
      <c r="E66" s="4" t="inlineStr">
        <is>
          <t>Parking</t>
        </is>
      </c>
    </row>
    <row r="67">
      <c r="A67" s="4" t="inlineStr">
        <is>
          <t>focus</t>
        </is>
      </c>
      <c r="B67" s="4" t="inlineStr">
        <is>
          <t>2025-03-25</t>
        </is>
      </c>
      <c r="C67" s="4" t="inlineStr">
        <is>
          <t>parking</t>
        </is>
      </c>
      <c r="D67" s="4" t="n">
        <v>5.8</v>
      </c>
      <c r="E67" s="4" t="inlineStr">
        <is>
          <t>Parking</t>
        </is>
      </c>
    </row>
    <row r="68">
      <c r="A68" s="4" t="inlineStr">
        <is>
          <t>focus</t>
        </is>
      </c>
      <c r="B68" s="4" t="inlineStr">
        <is>
          <t>2025-05-12</t>
        </is>
      </c>
      <c r="C68" s="4" t="inlineStr">
        <is>
          <t>parking</t>
        </is>
      </c>
      <c r="D68" s="4" t="n">
        <v>3.1</v>
      </c>
      <c r="E68" s="4" t="inlineStr">
        <is>
          <t>Parking</t>
        </is>
      </c>
    </row>
    <row r="69">
      <c r="A69" s="4" t="inlineStr">
        <is>
          <t>focus</t>
        </is>
      </c>
      <c r="B69" s="4" t="inlineStr">
        <is>
          <t>2025-06-14</t>
        </is>
      </c>
      <c r="C69" s="4" t="inlineStr">
        <is>
          <t>parking</t>
        </is>
      </c>
      <c r="D69" s="4" t="n">
        <v>6</v>
      </c>
      <c r="E69" s="4" t="inlineStr">
        <is>
          <t>Parking</t>
        </is>
      </c>
    </row>
    <row r="70">
      <c r="A70" s="4" t="inlineStr">
        <is>
          <t>focus</t>
        </is>
      </c>
      <c r="B70" s="4" t="inlineStr">
        <is>
          <t>2025-07-01</t>
        </is>
      </c>
      <c r="C70" s="4" t="inlineStr">
        <is>
          <t>parking</t>
        </is>
      </c>
      <c r="D70" s="4" t="n">
        <v>6.7</v>
      </c>
      <c r="E70" s="4" t="inlineStr">
        <is>
          <t>Parking</t>
        </is>
      </c>
    </row>
    <row r="71">
      <c r="A71" s="4" t="inlineStr">
        <is>
          <t>focus</t>
        </is>
      </c>
      <c r="B71" s="4" t="inlineStr">
        <is>
          <t>2025-08-20</t>
        </is>
      </c>
      <c r="C71" s="4" t="inlineStr">
        <is>
          <t>parking</t>
        </is>
      </c>
      <c r="D71" s="4" t="n">
        <v>7.9</v>
      </c>
      <c r="E71" s="4" t="inlineStr">
        <is>
          <t>Parking</t>
        </is>
      </c>
    </row>
    <row r="72">
      <c r="A72" s="4" t="inlineStr">
        <is>
          <t>focus</t>
        </is>
      </c>
      <c r="B72" s="4" t="inlineStr">
        <is>
          <t>2025-09-01</t>
        </is>
      </c>
      <c r="C72" s="4" t="inlineStr">
        <is>
          <t>tax</t>
        </is>
      </c>
      <c r="D72" s="4" t="n">
        <v>35</v>
      </c>
      <c r="E72" s="4" t="inlineStr">
        <is>
          <t>Vehicle tax</t>
        </is>
      </c>
    </row>
    <row r="73">
      <c r="A73" s="4" t="inlineStr">
        <is>
          <t>focus</t>
        </is>
      </c>
      <c r="B73" s="4" t="inlineStr">
        <is>
          <t>2025-09-02</t>
        </is>
      </c>
      <c r="C73" s="4" t="inlineStr">
        <is>
          <t>parking</t>
        </is>
      </c>
      <c r="D73" s="4" t="n">
        <v>4.2</v>
      </c>
      <c r="E73" s="4" t="inlineStr">
        <is>
          <t>Parking</t>
        </is>
      </c>
    </row>
    <row r="74">
      <c r="A74" s="4" t="inlineStr">
        <is>
          <t>focus</t>
        </is>
      </c>
      <c r="B74" s="4" t="inlineStr">
        <is>
          <t>2025-10-20</t>
        </is>
      </c>
      <c r="C74" s="4" t="inlineStr">
        <is>
          <t>parking</t>
        </is>
      </c>
      <c r="D74" s="4" t="n">
        <v>3.2</v>
      </c>
      <c r="E74" s="4" t="inlineStr">
        <is>
          <t>Parking</t>
        </is>
      </c>
    </row>
    <row r="75">
      <c r="A75" s="4" t="inlineStr">
        <is>
          <t>focus</t>
        </is>
      </c>
      <c r="B75" s="4" t="inlineStr">
        <is>
          <t>2025-11-06</t>
        </is>
      </c>
      <c r="C75" s="4" t="inlineStr">
        <is>
          <t>parking</t>
        </is>
      </c>
      <c r="D75" s="4" t="n">
        <v>6.3</v>
      </c>
      <c r="E75" s="4" t="inlineStr">
        <is>
          <t>Parking</t>
        </is>
      </c>
    </row>
    <row r="76">
      <c r="A76" s="4" t="inlineStr">
        <is>
          <t>focus</t>
        </is>
      </c>
      <c r="B76" s="4" t="inlineStr">
        <is>
          <t>2025-12-20</t>
        </is>
      </c>
      <c r="C76" s="4" t="inlineStr">
        <is>
          <t>parking</t>
        </is>
      </c>
      <c r="D76" s="4" t="n">
        <v>5.1</v>
      </c>
      <c r="E76" s="4" t="inlineStr">
        <is>
          <t>Parking</t>
        </is>
      </c>
    </row>
    <row r="77">
      <c r="A77" s="4" t="inlineStr">
        <is>
          <t>focus</t>
        </is>
      </c>
      <c r="B77" s="4" t="inlineStr">
        <is>
          <t>2026-01-13</t>
        </is>
      </c>
      <c r="C77" s="4" t="inlineStr">
        <is>
          <t>parking</t>
        </is>
      </c>
      <c r="D77" s="4" t="n">
        <v>5.5</v>
      </c>
      <c r="E77" s="4" t="inlineStr">
        <is>
          <t>Parking</t>
        </is>
      </c>
    </row>
    <row r="78">
      <c r="A78" s="4" t="inlineStr">
        <is>
          <t>focus</t>
        </is>
      </c>
      <c r="B78" s="4" t="inlineStr">
        <is>
          <t>2026-02-17</t>
        </is>
      </c>
      <c r="C78" s="4" t="inlineStr">
        <is>
          <t>parking</t>
        </is>
      </c>
      <c r="D78" s="4" t="n">
        <v>8.199999999999999</v>
      </c>
      <c r="E78" s="4" t="inlineStr">
        <is>
          <t>Parking</t>
        </is>
      </c>
    </row>
    <row r="79">
      <c r="A79" s="4" t="inlineStr">
        <is>
          <t>focus</t>
        </is>
      </c>
      <c r="B79" s="4" t="inlineStr">
        <is>
          <t>2026-03-02</t>
        </is>
      </c>
      <c r="C79" s="4" t="inlineStr">
        <is>
          <t>parking</t>
        </is>
      </c>
      <c r="D79" s="4" t="n">
        <v>7.2</v>
      </c>
      <c r="E79" s="4" t="inlineStr">
        <is>
          <t>Parking</t>
        </is>
      </c>
    </row>
    <row r="80">
      <c r="A80" s="4" t="inlineStr">
        <is>
          <t>focus</t>
        </is>
      </c>
      <c r="B80" s="4" t="inlineStr">
        <is>
          <t>2026-04-02</t>
        </is>
      </c>
      <c r="C80" s="4" t="inlineStr">
        <is>
          <t>parking</t>
        </is>
      </c>
      <c r="D80" s="4" t="n">
        <v>6.8</v>
      </c>
      <c r="E80" s="4" t="inlineStr">
        <is>
          <t>Parking</t>
        </is>
      </c>
    </row>
    <row r="81">
      <c r="A81" s="4" t="inlineStr">
        <is>
          <t>focus</t>
        </is>
      </c>
      <c r="B81" s="4" t="inlineStr">
        <is>
          <t>2026-05-03</t>
        </is>
      </c>
      <c r="C81" s="4" t="inlineStr">
        <is>
          <t>parking</t>
        </is>
      </c>
      <c r="D81" s="4" t="n">
        <v>3</v>
      </c>
      <c r="E81" s="4" t="inlineStr">
        <is>
          <t>Parking</t>
        </is>
      </c>
    </row>
    <row r="82">
      <c r="A82" s="4" t="inlineStr">
        <is>
          <t>focus</t>
        </is>
      </c>
      <c r="B82" s="4" t="inlineStr">
        <is>
          <t>2026-06-16</t>
        </is>
      </c>
      <c r="C82" s="4" t="inlineStr">
        <is>
          <t>parking</t>
        </is>
      </c>
      <c r="D82" s="4" t="n">
        <v>6.1</v>
      </c>
      <c r="E82" s="4" t="inlineStr">
        <is>
          <t>Parking</t>
        </is>
      </c>
    </row>
    <row r="83">
      <c r="A83" s="4" t="inlineStr">
        <is>
          <t>focus</t>
        </is>
      </c>
      <c r="B83" s="4" t="inlineStr">
        <is>
          <t>2026-07-02</t>
        </is>
      </c>
      <c r="C83" s="4" t="inlineStr">
        <is>
          <t>parking</t>
        </is>
      </c>
      <c r="D83" s="4" t="n">
        <v>2.6</v>
      </c>
      <c r="E83" s="4" t="inlineStr">
        <is>
          <t>Parking</t>
        </is>
      </c>
    </row>
    <row r="84">
      <c r="A84" s="4" t="inlineStr">
        <is>
          <t>focus</t>
        </is>
      </c>
      <c r="B84" s="4" t="inlineStr">
        <is>
          <t>2026-07-28</t>
        </is>
      </c>
      <c r="C84" s="4" t="inlineStr">
        <is>
          <t>parking</t>
        </is>
      </c>
      <c r="D84" s="4" t="n">
        <v>4.4</v>
      </c>
      <c r="E84" s="4" t="inlineStr">
        <is>
          <t>Parking</t>
        </is>
      </c>
    </row>
    <row r="85">
      <c r="A85" s="4" t="inlineStr">
        <is>
          <t>golf</t>
        </is>
      </c>
      <c r="B85" s="4" t="inlineStr">
        <is>
          <t>2023-10-07</t>
        </is>
      </c>
      <c r="C85" s="4" t="inlineStr">
        <is>
          <t>tax</t>
        </is>
      </c>
      <c r="D85" s="4" t="n">
        <v>190</v>
      </c>
      <c r="E85" s="4" t="inlineStr">
        <is>
          <t>Vehicle tax</t>
        </is>
      </c>
    </row>
    <row r="86">
      <c r="A86" s="4" t="inlineStr">
        <is>
          <t>golf</t>
        </is>
      </c>
      <c r="B86" s="4" t="inlineStr">
        <is>
          <t>2023-10-19</t>
        </is>
      </c>
      <c r="C86" s="4" t="inlineStr">
        <is>
          <t>parking</t>
        </is>
      </c>
      <c r="D86" s="4" t="n">
        <v>7.6</v>
      </c>
      <c r="E86" s="4" t="inlineStr">
        <is>
          <t>Parking</t>
        </is>
      </c>
    </row>
    <row r="87">
      <c r="A87" s="4" t="inlineStr">
        <is>
          <t>golf</t>
        </is>
      </c>
      <c r="B87" s="4" t="inlineStr">
        <is>
          <t>2023-10-23</t>
        </is>
      </c>
      <c r="C87" s="4" t="inlineStr">
        <is>
          <t>parking</t>
        </is>
      </c>
      <c r="D87" s="4" t="n">
        <v>3.5</v>
      </c>
      <c r="E87" s="4" t="inlineStr">
        <is>
          <t>Parking</t>
        </is>
      </c>
    </row>
    <row r="88">
      <c r="A88" s="4" t="inlineStr">
        <is>
          <t>golf</t>
        </is>
      </c>
      <c r="B88" s="4" t="inlineStr">
        <is>
          <t>2023-11-16</t>
        </is>
      </c>
      <c r="C88" s="4" t="inlineStr">
        <is>
          <t>parking</t>
        </is>
      </c>
      <c r="D88" s="4" t="n">
        <v>2.6</v>
      </c>
      <c r="E88" s="4" t="inlineStr">
        <is>
          <t>Parking</t>
        </is>
      </c>
    </row>
    <row r="89">
      <c r="A89" s="4" t="inlineStr">
        <is>
          <t>golf</t>
        </is>
      </c>
      <c r="B89" s="4" t="inlineStr">
        <is>
          <t>2023-11-17</t>
        </is>
      </c>
      <c r="C89" s="4" t="inlineStr">
        <is>
          <t>parking</t>
        </is>
      </c>
      <c r="D89" s="4" t="n">
        <v>4.6</v>
      </c>
      <c r="E89" s="4" t="inlineStr">
        <is>
          <t>Parking</t>
        </is>
      </c>
    </row>
    <row r="90">
      <c r="A90" s="4" t="inlineStr">
        <is>
          <t>golf</t>
        </is>
      </c>
      <c r="B90" s="4" t="inlineStr">
        <is>
          <t>2023-12-11</t>
        </is>
      </c>
      <c r="C90" s="4" t="inlineStr">
        <is>
          <t>parking</t>
        </is>
      </c>
      <c r="D90" s="4" t="n">
        <v>7.6</v>
      </c>
      <c r="E90" s="4" t="inlineStr">
        <is>
          <t>Parking</t>
        </is>
      </c>
    </row>
    <row r="91">
      <c r="A91" s="4" t="inlineStr">
        <is>
          <t>golf</t>
        </is>
      </c>
      <c r="B91" s="4" t="inlineStr">
        <is>
          <t>2024-01-01</t>
        </is>
      </c>
      <c r="C91" s="4" t="inlineStr">
        <is>
          <t>parking</t>
        </is>
      </c>
      <c r="D91" s="4" t="n">
        <v>8.199999999999999</v>
      </c>
      <c r="E91" s="4" t="inlineStr">
        <is>
          <t>Parking</t>
        </is>
      </c>
    </row>
    <row r="92">
      <c r="A92" s="4" t="inlineStr">
        <is>
          <t>golf</t>
        </is>
      </c>
      <c r="B92" s="4" t="inlineStr">
        <is>
          <t>2024-01-13</t>
        </is>
      </c>
      <c r="C92" s="4" t="inlineStr">
        <is>
          <t>parking</t>
        </is>
      </c>
      <c r="D92" s="4" t="n">
        <v>3.8</v>
      </c>
      <c r="E92" s="4" t="inlineStr">
        <is>
          <t>Parking</t>
        </is>
      </c>
    </row>
    <row r="93">
      <c r="A93" s="4" t="inlineStr">
        <is>
          <t>golf</t>
        </is>
      </c>
      <c r="B93" s="4" t="inlineStr">
        <is>
          <t>2024-01-17</t>
        </is>
      </c>
      <c r="C93" s="4" t="inlineStr">
        <is>
          <t>parking</t>
        </is>
      </c>
      <c r="D93" s="4" t="n">
        <v>5.9</v>
      </c>
      <c r="E93" s="4" t="inlineStr">
        <is>
          <t>Parking</t>
        </is>
      </c>
    </row>
    <row r="94">
      <c r="A94" s="4" t="inlineStr">
        <is>
          <t>golf</t>
        </is>
      </c>
      <c r="B94" s="4" t="inlineStr">
        <is>
          <t>2024-02-15</t>
        </is>
      </c>
      <c r="C94" s="4" t="inlineStr">
        <is>
          <t>parking</t>
        </is>
      </c>
      <c r="D94" s="4" t="n">
        <v>5.2</v>
      </c>
      <c r="E94" s="4" t="inlineStr">
        <is>
          <t>Parking</t>
        </is>
      </c>
    </row>
    <row r="95">
      <c r="A95" s="4" t="inlineStr">
        <is>
          <t>golf</t>
        </is>
      </c>
      <c r="B95" s="4" t="inlineStr">
        <is>
          <t>2024-03-06</t>
        </is>
      </c>
      <c r="C95" s="4" t="inlineStr">
        <is>
          <t>parking</t>
        </is>
      </c>
      <c r="D95" s="4" t="n">
        <v>5.6</v>
      </c>
      <c r="E95" s="4" t="inlineStr">
        <is>
          <t>Parking</t>
        </is>
      </c>
    </row>
    <row r="96">
      <c r="A96" s="4" t="inlineStr">
        <is>
          <t>golf</t>
        </is>
      </c>
      <c r="B96" s="4" t="inlineStr">
        <is>
          <t>2024-03-17</t>
        </is>
      </c>
      <c r="C96" s="4" t="inlineStr">
        <is>
          <t>parking</t>
        </is>
      </c>
      <c r="D96" s="4" t="n">
        <v>8.800000000000001</v>
      </c>
      <c r="E96" s="4" t="inlineStr">
        <is>
          <t>Parking</t>
        </is>
      </c>
    </row>
    <row r="97">
      <c r="A97" s="4" t="inlineStr">
        <is>
          <t>golf</t>
        </is>
      </c>
      <c r="B97" s="4" t="inlineStr">
        <is>
          <t>2024-04-03</t>
        </is>
      </c>
      <c r="C97" s="4" t="inlineStr">
        <is>
          <t>parking</t>
        </is>
      </c>
      <c r="D97" s="4" t="n">
        <v>9.300000000000001</v>
      </c>
      <c r="E97" s="4" t="inlineStr">
        <is>
          <t>Parking</t>
        </is>
      </c>
    </row>
    <row r="98">
      <c r="A98" s="4" t="inlineStr">
        <is>
          <t>golf</t>
        </is>
      </c>
      <c r="B98" s="4" t="inlineStr">
        <is>
          <t>2024-04-21</t>
        </is>
      </c>
      <c r="C98" s="4" t="inlineStr">
        <is>
          <t>parking</t>
        </is>
      </c>
      <c r="D98" s="4" t="n">
        <v>5.1</v>
      </c>
      <c r="E98" s="4" t="inlineStr">
        <is>
          <t>Parking</t>
        </is>
      </c>
    </row>
    <row r="99">
      <c r="A99" s="4" t="inlineStr">
        <is>
          <t>golf</t>
        </is>
      </c>
      <c r="B99" s="4" t="inlineStr">
        <is>
          <t>2024-05-06</t>
        </is>
      </c>
      <c r="C99" s="4" t="inlineStr">
        <is>
          <t>parking</t>
        </is>
      </c>
      <c r="D99" s="4" t="n">
        <v>7.2</v>
      </c>
      <c r="E99" s="4" t="inlineStr">
        <is>
          <t>Parking</t>
        </is>
      </c>
    </row>
    <row r="100">
      <c r="A100" s="4" t="inlineStr">
        <is>
          <t>golf</t>
        </is>
      </c>
      <c r="B100" s="4" t="inlineStr">
        <is>
          <t>2024-05-17</t>
        </is>
      </c>
      <c r="C100" s="4" t="inlineStr">
        <is>
          <t>parking</t>
        </is>
      </c>
      <c r="D100" s="4" t="n">
        <v>9.6</v>
      </c>
      <c r="E100" s="4" t="inlineStr">
        <is>
          <t>Parking</t>
        </is>
      </c>
    </row>
    <row r="101">
      <c r="A101" s="4" t="inlineStr">
        <is>
          <t>golf</t>
        </is>
      </c>
      <c r="B101" s="4" t="inlineStr">
        <is>
          <t>2024-06-05</t>
        </is>
      </c>
      <c r="C101" s="4" t="inlineStr">
        <is>
          <t>parking</t>
        </is>
      </c>
      <c r="D101" s="4" t="n">
        <v>2.9</v>
      </c>
      <c r="E101" s="4" t="inlineStr">
        <is>
          <t>Parking</t>
        </is>
      </c>
    </row>
    <row r="102">
      <c r="A102" s="4" t="inlineStr">
        <is>
          <t>golf</t>
        </is>
      </c>
      <c r="B102" s="4" t="inlineStr">
        <is>
          <t>2024-06-11</t>
        </is>
      </c>
      <c r="C102" s="4" t="inlineStr">
        <is>
          <t>parking</t>
        </is>
      </c>
      <c r="D102" s="4" t="n">
        <v>2.7</v>
      </c>
      <c r="E102" s="4" t="inlineStr">
        <is>
          <t>Parking</t>
        </is>
      </c>
    </row>
    <row r="103">
      <c r="A103" s="4" t="inlineStr">
        <is>
          <t>golf</t>
        </is>
      </c>
      <c r="B103" s="4" t="inlineStr">
        <is>
          <t>2024-06-15</t>
        </is>
      </c>
      <c r="C103" s="4" t="inlineStr">
        <is>
          <t>parking</t>
        </is>
      </c>
      <c r="D103" s="4" t="n">
        <v>3.4</v>
      </c>
      <c r="E103" s="4" t="inlineStr">
        <is>
          <t>Parking</t>
        </is>
      </c>
    </row>
    <row r="104">
      <c r="A104" s="4" t="inlineStr">
        <is>
          <t>golf</t>
        </is>
      </c>
      <c r="B104" s="4" t="inlineStr">
        <is>
          <t>2024-07-24</t>
        </is>
      </c>
      <c r="C104" s="4" t="inlineStr">
        <is>
          <t>parking</t>
        </is>
      </c>
      <c r="D104" s="4" t="n">
        <v>4.8</v>
      </c>
      <c r="E104" s="4" t="inlineStr">
        <is>
          <t>Parking</t>
        </is>
      </c>
    </row>
    <row r="105">
      <c r="A105" s="4" t="inlineStr">
        <is>
          <t>golf</t>
        </is>
      </c>
      <c r="B105" s="4" t="inlineStr">
        <is>
          <t>2024-07-31</t>
        </is>
      </c>
      <c r="C105" s="4" t="inlineStr">
        <is>
          <t>parking</t>
        </is>
      </c>
      <c r="D105" s="4" t="n">
        <v>7.8</v>
      </c>
      <c r="E105" s="4" t="inlineStr">
        <is>
          <t>Parking</t>
        </is>
      </c>
    </row>
    <row r="106">
      <c r="A106" s="4" t="inlineStr">
        <is>
          <t>golf</t>
        </is>
      </c>
      <c r="B106" s="4" t="inlineStr">
        <is>
          <t>2024-08-12</t>
        </is>
      </c>
      <c r="C106" s="4" t="inlineStr">
        <is>
          <t>parking</t>
        </is>
      </c>
      <c r="D106" s="4" t="n">
        <v>7.9</v>
      </c>
      <c r="E106" s="4" t="inlineStr">
        <is>
          <t>Parking</t>
        </is>
      </c>
    </row>
    <row r="107">
      <c r="A107" s="4" t="inlineStr">
        <is>
          <t>golf</t>
        </is>
      </c>
      <c r="B107" s="4" t="inlineStr">
        <is>
          <t>2024-08-19</t>
        </is>
      </c>
      <c r="C107" s="4" t="inlineStr">
        <is>
          <t>parking</t>
        </is>
      </c>
      <c r="D107" s="4" t="n">
        <v>7.9</v>
      </c>
      <c r="E107" s="4" t="inlineStr">
        <is>
          <t>Parking</t>
        </is>
      </c>
    </row>
    <row r="108">
      <c r="A108" s="4" t="inlineStr">
        <is>
          <t>golf</t>
        </is>
      </c>
      <c r="B108" s="4" t="inlineStr">
        <is>
          <t>2024-09-22</t>
        </is>
      </c>
      <c r="C108" s="4" t="inlineStr">
        <is>
          <t>parking</t>
        </is>
      </c>
      <c r="D108" s="4" t="n">
        <v>4.9</v>
      </c>
      <c r="E108" s="4" t="inlineStr">
        <is>
          <t>Parking</t>
        </is>
      </c>
    </row>
    <row r="109">
      <c r="A109" s="4" t="inlineStr">
        <is>
          <t>golf</t>
        </is>
      </c>
      <c r="B109" s="4" t="inlineStr">
        <is>
          <t>2024-09-27</t>
        </is>
      </c>
      <c r="C109" s="4" t="inlineStr">
        <is>
          <t>parking</t>
        </is>
      </c>
      <c r="D109" s="4" t="n">
        <v>2.9</v>
      </c>
      <c r="E109" s="4" t="inlineStr">
        <is>
          <t>Parking</t>
        </is>
      </c>
    </row>
    <row r="110">
      <c r="A110" s="4" t="inlineStr">
        <is>
          <t>golf</t>
        </is>
      </c>
      <c r="B110" s="4" t="inlineStr">
        <is>
          <t>2024-10-01</t>
        </is>
      </c>
      <c r="C110" s="4" t="inlineStr">
        <is>
          <t>tax</t>
        </is>
      </c>
      <c r="D110" s="4" t="n">
        <v>190</v>
      </c>
      <c r="E110" s="4" t="inlineStr">
        <is>
          <t>Vehicle tax</t>
        </is>
      </c>
    </row>
    <row r="111">
      <c r="A111" s="4" t="inlineStr">
        <is>
          <t>golf</t>
        </is>
      </c>
      <c r="B111" s="4" t="inlineStr">
        <is>
          <t>2024-10-11</t>
        </is>
      </c>
      <c r="C111" s="4" t="inlineStr">
        <is>
          <t>parking</t>
        </is>
      </c>
      <c r="D111" s="4" t="n">
        <v>5.5</v>
      </c>
      <c r="E111" s="4" t="inlineStr">
        <is>
          <t>Parking</t>
        </is>
      </c>
    </row>
    <row r="112">
      <c r="A112" s="4" t="inlineStr">
        <is>
          <t>golf</t>
        </is>
      </c>
      <c r="B112" s="4" t="inlineStr">
        <is>
          <t>2024-10-14</t>
        </is>
      </c>
      <c r="C112" s="4" t="inlineStr">
        <is>
          <t>parking</t>
        </is>
      </c>
      <c r="D112" s="4" t="n">
        <v>7</v>
      </c>
      <c r="E112" s="4" t="inlineStr">
        <is>
          <t>Parking</t>
        </is>
      </c>
    </row>
    <row r="113">
      <c r="A113" s="4" t="inlineStr">
        <is>
          <t>golf</t>
        </is>
      </c>
      <c r="B113" s="4" t="inlineStr">
        <is>
          <t>2024-11-22</t>
        </is>
      </c>
      <c r="C113" s="4" t="inlineStr">
        <is>
          <t>parking</t>
        </is>
      </c>
      <c r="D113" s="4" t="n">
        <v>5.5</v>
      </c>
      <c r="E113" s="4" t="inlineStr">
        <is>
          <t>Parking</t>
        </is>
      </c>
    </row>
    <row r="114">
      <c r="A114" s="4" t="inlineStr">
        <is>
          <t>golf</t>
        </is>
      </c>
      <c r="B114" s="4" t="inlineStr">
        <is>
          <t>2024-11-29</t>
        </is>
      </c>
      <c r="C114" s="4" t="inlineStr">
        <is>
          <t>parking</t>
        </is>
      </c>
      <c r="D114" s="4" t="n">
        <v>7.4</v>
      </c>
      <c r="E114" s="4" t="inlineStr">
        <is>
          <t>Parking</t>
        </is>
      </c>
    </row>
    <row r="115">
      <c r="A115" s="4" t="inlineStr">
        <is>
          <t>golf</t>
        </is>
      </c>
      <c r="B115" s="4" t="inlineStr">
        <is>
          <t>2024-12-29</t>
        </is>
      </c>
      <c r="C115" s="4" t="inlineStr">
        <is>
          <t>parking</t>
        </is>
      </c>
      <c r="D115" s="4" t="n">
        <v>3.8</v>
      </c>
      <c r="E115" s="4" t="inlineStr">
        <is>
          <t>Parking</t>
        </is>
      </c>
    </row>
    <row r="116">
      <c r="A116" s="4" t="inlineStr">
        <is>
          <t>golf</t>
        </is>
      </c>
      <c r="B116" s="4" t="inlineStr">
        <is>
          <t>2025-01-05</t>
        </is>
      </c>
      <c r="C116" s="4" t="inlineStr">
        <is>
          <t>parking</t>
        </is>
      </c>
      <c r="D116" s="4" t="n">
        <v>9.6</v>
      </c>
      <c r="E116" s="4" t="inlineStr">
        <is>
          <t>Parking</t>
        </is>
      </c>
    </row>
    <row r="117">
      <c r="A117" s="4" t="inlineStr">
        <is>
          <t>golf</t>
        </is>
      </c>
      <c r="B117" s="4" t="inlineStr">
        <is>
          <t>2025-01-10</t>
        </is>
      </c>
      <c r="C117" s="4" t="inlineStr">
        <is>
          <t>parking</t>
        </is>
      </c>
      <c r="D117" s="4" t="n">
        <v>4.8</v>
      </c>
      <c r="E117" s="4" t="inlineStr">
        <is>
          <t>Parking</t>
        </is>
      </c>
    </row>
    <row r="118">
      <c r="A118" s="4" t="inlineStr">
        <is>
          <t>golf</t>
        </is>
      </c>
      <c r="B118" s="4" t="inlineStr">
        <is>
          <t>2025-01-15</t>
        </is>
      </c>
      <c r="C118" s="4" t="inlineStr">
        <is>
          <t>parking</t>
        </is>
      </c>
      <c r="D118" s="4" t="n">
        <v>7.5</v>
      </c>
      <c r="E118" s="4" t="inlineStr">
        <is>
          <t>Parking</t>
        </is>
      </c>
    </row>
    <row r="119">
      <c r="A119" s="4" t="inlineStr">
        <is>
          <t>golf</t>
        </is>
      </c>
      <c r="B119" s="4" t="inlineStr">
        <is>
          <t>2025-02-20</t>
        </is>
      </c>
      <c r="C119" s="4" t="inlineStr">
        <is>
          <t>parking</t>
        </is>
      </c>
      <c r="D119" s="4" t="n">
        <v>9.5</v>
      </c>
      <c r="E119" s="4" t="inlineStr">
        <is>
          <t>Parking</t>
        </is>
      </c>
    </row>
    <row r="120">
      <c r="A120" s="4" t="inlineStr">
        <is>
          <t>golf</t>
        </is>
      </c>
      <c r="B120" s="4" t="inlineStr">
        <is>
          <t>2025-02-27</t>
        </is>
      </c>
      <c r="C120" s="4" t="inlineStr">
        <is>
          <t>parking</t>
        </is>
      </c>
      <c r="D120" s="4" t="n">
        <v>5.9</v>
      </c>
      <c r="E120" s="4" t="inlineStr">
        <is>
          <t>Parking</t>
        </is>
      </c>
    </row>
    <row r="121">
      <c r="A121" s="4" t="inlineStr">
        <is>
          <t>golf</t>
        </is>
      </c>
      <c r="B121" s="4" t="inlineStr">
        <is>
          <t>2025-04-01</t>
        </is>
      </c>
      <c r="C121" s="4" t="inlineStr">
        <is>
          <t>parking</t>
        </is>
      </c>
      <c r="D121" s="4" t="n">
        <v>5.7</v>
      </c>
      <c r="E121" s="4" t="inlineStr">
        <is>
          <t>Parking</t>
        </is>
      </c>
    </row>
    <row r="122">
      <c r="A122" s="4" t="inlineStr">
        <is>
          <t>golf</t>
        </is>
      </c>
      <c r="B122" s="4" t="inlineStr">
        <is>
          <t>2025-04-06</t>
        </is>
      </c>
      <c r="C122" s="4" t="inlineStr">
        <is>
          <t>parking</t>
        </is>
      </c>
      <c r="D122" s="4" t="n">
        <v>3.8</v>
      </c>
      <c r="E122" s="4" t="inlineStr">
        <is>
          <t>Parking</t>
        </is>
      </c>
    </row>
    <row r="123">
      <c r="A123" s="4" t="inlineStr">
        <is>
          <t>golf</t>
        </is>
      </c>
      <c r="B123" s="4" t="inlineStr">
        <is>
          <t>2025-04-12</t>
        </is>
      </c>
      <c r="C123" s="4" t="inlineStr">
        <is>
          <t>parking</t>
        </is>
      </c>
      <c r="D123" s="4" t="n">
        <v>4.9</v>
      </c>
      <c r="E123" s="4" t="inlineStr">
        <is>
          <t>Parking</t>
        </is>
      </c>
    </row>
    <row r="124">
      <c r="A124" s="4" t="inlineStr">
        <is>
          <t>golf</t>
        </is>
      </c>
      <c r="B124" s="4" t="inlineStr">
        <is>
          <t>2025-04-18</t>
        </is>
      </c>
      <c r="C124" s="4" t="inlineStr">
        <is>
          <t>parking</t>
        </is>
      </c>
      <c r="D124" s="4" t="n">
        <v>2.5</v>
      </c>
      <c r="E124" s="4" t="inlineStr">
        <is>
          <t>Parking</t>
        </is>
      </c>
    </row>
    <row r="125">
      <c r="A125" s="4" t="inlineStr">
        <is>
          <t>golf</t>
        </is>
      </c>
      <c r="B125" s="4" t="inlineStr">
        <is>
          <t>2025-05-19</t>
        </is>
      </c>
      <c r="C125" s="4" t="inlineStr">
        <is>
          <t>parking</t>
        </is>
      </c>
      <c r="D125" s="4" t="n">
        <v>2.9</v>
      </c>
      <c r="E125" s="4" t="inlineStr">
        <is>
          <t>Parking</t>
        </is>
      </c>
    </row>
    <row r="126">
      <c r="A126" s="4" t="inlineStr">
        <is>
          <t>golf</t>
        </is>
      </c>
      <c r="B126" s="4" t="inlineStr">
        <is>
          <t>2025-06-02</t>
        </is>
      </c>
      <c r="C126" s="4" t="inlineStr">
        <is>
          <t>parking</t>
        </is>
      </c>
      <c r="D126" s="4" t="n">
        <v>8.300000000000001</v>
      </c>
      <c r="E126" s="4" t="inlineStr">
        <is>
          <t>Parking</t>
        </is>
      </c>
    </row>
    <row r="127">
      <c r="A127" s="4" t="inlineStr">
        <is>
          <t>golf</t>
        </is>
      </c>
      <c r="B127" s="4" t="inlineStr">
        <is>
          <t>2025-06-14</t>
        </is>
      </c>
      <c r="C127" s="4" t="inlineStr">
        <is>
          <t>parking</t>
        </is>
      </c>
      <c r="D127" s="4" t="n">
        <v>6.8</v>
      </c>
      <c r="E127" s="4" t="inlineStr">
        <is>
          <t>Parking</t>
        </is>
      </c>
    </row>
    <row r="128">
      <c r="A128" s="4" t="inlineStr">
        <is>
          <t>golf</t>
        </is>
      </c>
      <c r="B128" s="4" t="inlineStr">
        <is>
          <t>2025-07-03</t>
        </is>
      </c>
      <c r="C128" s="4" t="inlineStr">
        <is>
          <t>parking</t>
        </is>
      </c>
      <c r="D128" s="4" t="n">
        <v>3.2</v>
      </c>
      <c r="E128" s="4" t="inlineStr">
        <is>
          <t>Parking</t>
        </is>
      </c>
    </row>
    <row r="129">
      <c r="A129" s="4" t="inlineStr">
        <is>
          <t>golf</t>
        </is>
      </c>
      <c r="B129" s="4" t="inlineStr">
        <is>
          <t>2025-07-22</t>
        </is>
      </c>
      <c r="C129" s="4" t="inlineStr">
        <is>
          <t>parking</t>
        </is>
      </c>
      <c r="D129" s="4" t="n">
        <v>5.6</v>
      </c>
      <c r="E129" s="4" t="inlineStr">
        <is>
          <t>Parking</t>
        </is>
      </c>
    </row>
    <row r="130">
      <c r="A130" s="4" t="inlineStr">
        <is>
          <t>golf</t>
        </is>
      </c>
      <c r="B130" s="4" t="inlineStr">
        <is>
          <t>2025-07-25</t>
        </is>
      </c>
      <c r="C130" s="4" t="inlineStr">
        <is>
          <t>parking</t>
        </is>
      </c>
      <c r="D130" s="4" t="n">
        <v>8</v>
      </c>
      <c r="E130" s="4" t="inlineStr">
        <is>
          <t>Parking</t>
        </is>
      </c>
    </row>
    <row r="131">
      <c r="A131" s="4" t="inlineStr">
        <is>
          <t>golf</t>
        </is>
      </c>
      <c r="B131" s="4" t="inlineStr">
        <is>
          <t>2025-08-15</t>
        </is>
      </c>
      <c r="C131" s="4" t="inlineStr">
        <is>
          <t>parking</t>
        </is>
      </c>
      <c r="D131" s="4" t="n">
        <v>9.800000000000001</v>
      </c>
      <c r="E131" s="4" t="inlineStr">
        <is>
          <t>Parking</t>
        </is>
      </c>
    </row>
    <row r="132">
      <c r="A132" s="4" t="inlineStr">
        <is>
          <t>golf</t>
        </is>
      </c>
      <c r="B132" s="4" t="inlineStr">
        <is>
          <t>2025-08-27</t>
        </is>
      </c>
      <c r="C132" s="4" t="inlineStr">
        <is>
          <t>parking</t>
        </is>
      </c>
      <c r="D132" s="4" t="n">
        <v>2.7</v>
      </c>
      <c r="E132" s="4" t="inlineStr">
        <is>
          <t>Parking</t>
        </is>
      </c>
    </row>
    <row r="133">
      <c r="A133" s="4" t="inlineStr">
        <is>
          <t>golf</t>
        </is>
      </c>
      <c r="B133" s="4" t="inlineStr">
        <is>
          <t>2025-09-15</t>
        </is>
      </c>
      <c r="C133" s="4" t="inlineStr">
        <is>
          <t>parking</t>
        </is>
      </c>
      <c r="D133" s="4" t="n">
        <v>2.5</v>
      </c>
      <c r="E133" s="4" t="inlineStr">
        <is>
          <t>Parking</t>
        </is>
      </c>
    </row>
    <row r="134">
      <c r="A134" s="4" t="inlineStr">
        <is>
          <t>golf</t>
        </is>
      </c>
      <c r="B134" s="4" t="inlineStr">
        <is>
          <t>2025-09-19</t>
        </is>
      </c>
      <c r="C134" s="4" t="inlineStr">
        <is>
          <t>parking</t>
        </is>
      </c>
      <c r="D134" s="4" t="n">
        <v>5.2</v>
      </c>
      <c r="E134" s="4" t="inlineStr">
        <is>
          <t>Parking</t>
        </is>
      </c>
    </row>
    <row r="135">
      <c r="A135" s="4" t="inlineStr">
        <is>
          <t>golf</t>
        </is>
      </c>
      <c r="B135" s="4" t="inlineStr">
        <is>
          <t>2025-10-01</t>
        </is>
      </c>
      <c r="C135" s="4" t="inlineStr">
        <is>
          <t>tax</t>
        </is>
      </c>
      <c r="D135" s="4" t="n">
        <v>195</v>
      </c>
      <c r="E135" s="4" t="inlineStr">
        <is>
          <t>Vehicle tax</t>
        </is>
      </c>
    </row>
    <row r="136">
      <c r="A136" s="4" t="inlineStr">
        <is>
          <t>golf</t>
        </is>
      </c>
      <c r="B136" s="4" t="inlineStr">
        <is>
          <t>2025-10-11</t>
        </is>
      </c>
      <c r="C136" s="4" t="inlineStr">
        <is>
          <t>parking</t>
        </is>
      </c>
      <c r="D136" s="4" t="n">
        <v>4.8</v>
      </c>
      <c r="E136" s="4" t="inlineStr">
        <is>
          <t>Parking</t>
        </is>
      </c>
    </row>
    <row r="137">
      <c r="A137" s="4" t="inlineStr">
        <is>
          <t>golf</t>
        </is>
      </c>
      <c r="B137" s="4" t="inlineStr">
        <is>
          <t>2025-10-26</t>
        </is>
      </c>
      <c r="C137" s="4" t="inlineStr">
        <is>
          <t>parking</t>
        </is>
      </c>
      <c r="D137" s="4" t="n">
        <v>5.9</v>
      </c>
      <c r="E137" s="4" t="inlineStr">
        <is>
          <t>Parking</t>
        </is>
      </c>
    </row>
    <row r="138">
      <c r="A138" s="4" t="inlineStr">
        <is>
          <t>golf</t>
        </is>
      </c>
      <c r="B138" s="4" t="inlineStr">
        <is>
          <t>2025-11-27</t>
        </is>
      </c>
      <c r="C138" s="4" t="inlineStr">
        <is>
          <t>parking</t>
        </is>
      </c>
      <c r="D138" s="4" t="n">
        <v>7.2</v>
      </c>
      <c r="E138" s="4" t="inlineStr">
        <is>
          <t>Parking</t>
        </is>
      </c>
    </row>
    <row r="139">
      <c r="A139" s="4" t="inlineStr">
        <is>
          <t>golf</t>
        </is>
      </c>
      <c r="B139" s="4" t="inlineStr">
        <is>
          <t>2025-11-30</t>
        </is>
      </c>
      <c r="C139" s="4" t="inlineStr">
        <is>
          <t>parking</t>
        </is>
      </c>
      <c r="D139" s="4" t="n">
        <v>6.4</v>
      </c>
      <c r="E139" s="4" t="inlineStr">
        <is>
          <t>Parking</t>
        </is>
      </c>
    </row>
    <row r="140">
      <c r="A140" s="4" t="inlineStr">
        <is>
          <t>golf</t>
        </is>
      </c>
      <c r="B140" s="4" t="inlineStr">
        <is>
          <t>2026-01-02</t>
        </is>
      </c>
      <c r="C140" s="4" t="inlineStr">
        <is>
          <t>parking</t>
        </is>
      </c>
      <c r="D140" s="4" t="n">
        <v>8.699999999999999</v>
      </c>
      <c r="E140" s="4" t="inlineStr">
        <is>
          <t>Parking</t>
        </is>
      </c>
    </row>
    <row r="141">
      <c r="A141" s="4" t="inlineStr">
        <is>
          <t>golf</t>
        </is>
      </c>
      <c r="B141" s="4" t="inlineStr">
        <is>
          <t>2026-01-04</t>
        </is>
      </c>
      <c r="C141" s="4" t="inlineStr">
        <is>
          <t>parking</t>
        </is>
      </c>
      <c r="D141" s="4" t="n">
        <v>8.6</v>
      </c>
      <c r="E141" s="4" t="inlineStr">
        <is>
          <t>Parking</t>
        </is>
      </c>
    </row>
    <row r="142">
      <c r="A142" s="4" t="inlineStr">
        <is>
          <t>golf</t>
        </is>
      </c>
      <c r="B142" s="4" t="inlineStr">
        <is>
          <t>2026-01-11</t>
        </is>
      </c>
      <c r="C142" s="4" t="inlineStr">
        <is>
          <t>parking</t>
        </is>
      </c>
      <c r="D142" s="4" t="n">
        <v>6.8</v>
      </c>
      <c r="E142" s="4" t="inlineStr">
        <is>
          <t>Parking</t>
        </is>
      </c>
    </row>
    <row r="143">
      <c r="A143" s="4" t="inlineStr">
        <is>
          <t>golf</t>
        </is>
      </c>
      <c r="B143" s="4" t="inlineStr">
        <is>
          <t>2026-02-06</t>
        </is>
      </c>
      <c r="C143" s="4" t="inlineStr">
        <is>
          <t>parking</t>
        </is>
      </c>
      <c r="D143" s="4" t="n">
        <v>3</v>
      </c>
      <c r="E143" s="4" t="inlineStr">
        <is>
          <t>Parking</t>
        </is>
      </c>
    </row>
    <row r="144">
      <c r="A144" s="4" t="inlineStr">
        <is>
          <t>golf</t>
        </is>
      </c>
      <c r="B144" s="4" t="inlineStr">
        <is>
          <t>2026-02-18</t>
        </is>
      </c>
      <c r="C144" s="4" t="inlineStr">
        <is>
          <t>parking</t>
        </is>
      </c>
      <c r="D144" s="4" t="n">
        <v>9.199999999999999</v>
      </c>
      <c r="E144" s="4" t="inlineStr">
        <is>
          <t>Parking</t>
        </is>
      </c>
    </row>
    <row r="145">
      <c r="A145" s="4" t="inlineStr">
        <is>
          <t>golf</t>
        </is>
      </c>
      <c r="B145" s="4" t="inlineStr">
        <is>
          <t>2026-02-19</t>
        </is>
      </c>
      <c r="C145" s="4" t="inlineStr">
        <is>
          <t>parking</t>
        </is>
      </c>
      <c r="D145" s="4" t="n">
        <v>6.5</v>
      </c>
      <c r="E145" s="4" t="inlineStr">
        <is>
          <t>Parking</t>
        </is>
      </c>
    </row>
    <row r="146">
      <c r="A146" s="4" t="inlineStr">
        <is>
          <t>golf</t>
        </is>
      </c>
      <c r="B146" s="4" t="inlineStr">
        <is>
          <t>2026-03-16</t>
        </is>
      </c>
      <c r="C146" s="4" t="inlineStr">
        <is>
          <t>parking</t>
        </is>
      </c>
      <c r="D146" s="4" t="n">
        <v>4.5</v>
      </c>
      <c r="E146" s="4" t="inlineStr">
        <is>
          <t>Parking</t>
        </is>
      </c>
    </row>
    <row r="147">
      <c r="A147" s="4" t="inlineStr">
        <is>
          <t>golf</t>
        </is>
      </c>
      <c r="B147" s="4" t="inlineStr">
        <is>
          <t>2026-03-19</t>
        </is>
      </c>
      <c r="C147" s="4" t="inlineStr">
        <is>
          <t>parking</t>
        </is>
      </c>
      <c r="D147" s="4" t="n">
        <v>5.5</v>
      </c>
      <c r="E147" s="4" t="inlineStr">
        <is>
          <t>Parking</t>
        </is>
      </c>
    </row>
    <row r="148">
      <c r="A148" s="4" t="inlineStr">
        <is>
          <t>golf</t>
        </is>
      </c>
      <c r="B148" s="4" t="inlineStr">
        <is>
          <t>2026-04-12</t>
        </is>
      </c>
      <c r="C148" s="4" t="inlineStr">
        <is>
          <t>parking</t>
        </is>
      </c>
      <c r="D148" s="4" t="n">
        <v>2.8</v>
      </c>
      <c r="E148" s="4" t="inlineStr">
        <is>
          <t>Parking</t>
        </is>
      </c>
    </row>
    <row r="149">
      <c r="A149" s="4" t="inlineStr">
        <is>
          <t>golf</t>
        </is>
      </c>
      <c r="B149" s="4" t="inlineStr">
        <is>
          <t>2026-05-03</t>
        </is>
      </c>
      <c r="C149" s="4" t="inlineStr">
        <is>
          <t>parking</t>
        </is>
      </c>
      <c r="D149" s="4" t="n">
        <v>2.8</v>
      </c>
      <c r="E149" s="4" t="inlineStr">
        <is>
          <t>Parking</t>
        </is>
      </c>
    </row>
    <row r="150">
      <c r="A150" s="4" t="inlineStr">
        <is>
          <t>golf</t>
        </is>
      </c>
      <c r="B150" s="4" t="inlineStr">
        <is>
          <t>2026-05-19</t>
        </is>
      </c>
      <c r="C150" s="4" t="inlineStr">
        <is>
          <t>parking</t>
        </is>
      </c>
      <c r="D150" s="4" t="n">
        <v>5.1</v>
      </c>
      <c r="E150" s="4" t="inlineStr">
        <is>
          <t>Parking</t>
        </is>
      </c>
    </row>
    <row r="151">
      <c r="A151" s="4" t="inlineStr">
        <is>
          <t>golf</t>
        </is>
      </c>
      <c r="B151" s="4" t="inlineStr">
        <is>
          <t>2026-05-31</t>
        </is>
      </c>
      <c r="C151" s="4" t="inlineStr">
        <is>
          <t>parking</t>
        </is>
      </c>
      <c r="D151" s="4" t="n">
        <v>6.6</v>
      </c>
      <c r="E151" s="4" t="inlineStr">
        <is>
          <t>Parking</t>
        </is>
      </c>
    </row>
    <row r="152">
      <c r="A152" s="4" t="inlineStr">
        <is>
          <t>golf</t>
        </is>
      </c>
      <c r="B152" s="4" t="inlineStr">
        <is>
          <t>2026-06-27</t>
        </is>
      </c>
      <c r="C152" s="4" t="inlineStr">
        <is>
          <t>parking</t>
        </is>
      </c>
      <c r="D152" s="4" t="n">
        <v>6.1</v>
      </c>
      <c r="E152" s="4" t="inlineStr">
        <is>
          <t>Parking</t>
        </is>
      </c>
    </row>
    <row r="153">
      <c r="A153" s="4" t="inlineStr">
        <is>
          <t>golf</t>
        </is>
      </c>
      <c r="B153" s="4" t="inlineStr">
        <is>
          <t>2026-06-27</t>
        </is>
      </c>
      <c r="C153" s="4" t="inlineStr">
        <is>
          <t>parking</t>
        </is>
      </c>
      <c r="D153" s="4" t="n">
        <v>3.7</v>
      </c>
      <c r="E153" s="4" t="inlineStr">
        <is>
          <t>Parking</t>
        </is>
      </c>
    </row>
    <row r="154">
      <c r="A154" s="4" t="inlineStr">
        <is>
          <t>golf</t>
        </is>
      </c>
      <c r="B154" s="4" t="inlineStr">
        <is>
          <t>2026-07-24</t>
        </is>
      </c>
      <c r="C154" s="4" t="inlineStr">
        <is>
          <t>parking</t>
        </is>
      </c>
      <c r="D154" s="4" t="n">
        <v>3.9</v>
      </c>
      <c r="E154" s="4" t="inlineStr">
        <is>
          <t>Parking</t>
        </is>
      </c>
    </row>
    <row r="155">
      <c r="A155" s="4" t="inlineStr">
        <is>
          <t>golf</t>
        </is>
      </c>
      <c r="B155" s="4" t="inlineStr">
        <is>
          <t>2026-08-02</t>
        </is>
      </c>
      <c r="C155" s="4" t="inlineStr">
        <is>
          <t>parking</t>
        </is>
      </c>
      <c r="D155" s="4" t="n">
        <v>6.2</v>
      </c>
      <c r="E155" s="4" t="inlineStr">
        <is>
          <t>Parking</t>
        </is>
      </c>
    </row>
    <row r="156">
      <c r="A156" s="4" t="inlineStr">
        <is>
          <t>golf</t>
        </is>
      </c>
      <c r="B156" s="4" t="inlineStr">
        <is>
          <t>2026-09-01</t>
        </is>
      </c>
      <c r="C156" s="4" t="inlineStr">
        <is>
          <t>parking</t>
        </is>
      </c>
      <c r="D156" s="4" t="n">
        <v>8.1</v>
      </c>
      <c r="E156" s="4" t="inlineStr">
        <is>
          <t>Parking</t>
        </is>
      </c>
    </row>
    <row r="157">
      <c r="A157" s="4" t="inlineStr">
        <is>
          <t>golf</t>
        </is>
      </c>
      <c r="B157" s="4" t="inlineStr">
        <is>
          <t>2026-09-03</t>
        </is>
      </c>
      <c r="C157" s="4" t="inlineStr">
        <is>
          <t>parking</t>
        </is>
      </c>
      <c r="D157" s="4" t="n">
        <v>5.7</v>
      </c>
      <c r="E157" s="4" t="inlineStr">
        <is>
          <t>Parking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>
      <c r="A1" s="7" t="inlineStr">
        <is>
          <t>vehicle</t>
        </is>
      </c>
      <c r="B1" s="7" t="inlineStr">
        <is>
          <t>date</t>
        </is>
      </c>
      <c r="C1" s="7" t="inlineStr">
        <is>
          <t>category</t>
        </is>
      </c>
      <c r="D1" s="7" t="inlineStr">
        <is>
          <t>title</t>
        </is>
      </c>
      <c r="E1" s="7" t="inlineStr">
        <is>
          <t>cost</t>
        </is>
      </c>
      <c r="F1" s="7" t="inlineStr">
        <is>
          <t>odometer_km</t>
        </is>
      </c>
      <c r="G1" s="7" t="inlineStr">
        <is>
          <t>vendor</t>
        </is>
      </c>
    </row>
    <row r="2">
      <c r="A2" s="4" t="inlineStr">
        <is>
          <t>corolla</t>
        </is>
      </c>
      <c r="B2" s="4" t="inlineStr">
        <is>
          <t>2024-11-12</t>
        </is>
      </c>
      <c r="C2" s="4" t="inlineStr">
        <is>
          <t>service</t>
        </is>
      </c>
      <c r="D2" s="4" t="inlineStr">
        <is>
          <t>Toyota service</t>
        </is>
      </c>
      <c r="E2" s="4" t="n">
        <v>269</v>
      </c>
      <c r="F2" s="4" t="n">
        <v>69446.5</v>
      </c>
      <c r="G2" s="4" t="inlineStr">
        <is>
          <t>Toyota Swords</t>
        </is>
      </c>
    </row>
    <row r="3">
      <c r="A3" s="4" t="inlineStr">
        <is>
          <t>corolla</t>
        </is>
      </c>
      <c r="B3" s="4" t="inlineStr">
        <is>
          <t>2025-01-28</t>
        </is>
      </c>
      <c r="C3" s="4" t="inlineStr">
        <is>
          <t>repair</t>
        </is>
      </c>
      <c r="D3" s="4" t="inlineStr">
        <is>
          <t>NCT pre-check: wiper blades, bulb</t>
        </is>
      </c>
      <c r="E3" s="4" t="n">
        <v>38.4</v>
      </c>
      <c r="F3" s="4" t="n">
        <v>72795.3</v>
      </c>
      <c r="G3" s="4" t="inlineStr">
        <is>
          <t>Toyota Swords</t>
        </is>
      </c>
    </row>
    <row r="4">
      <c r="A4" s="4" t="inlineStr">
        <is>
          <t>corolla</t>
        </is>
      </c>
      <c r="B4" s="4" t="inlineStr">
        <is>
          <t>2025-11-18</t>
        </is>
      </c>
      <c r="C4" s="4" t="inlineStr">
        <is>
          <t>service</t>
        </is>
      </c>
      <c r="D4" s="4" t="inlineStr">
        <is>
          <t>Toyota service</t>
        </is>
      </c>
      <c r="E4" s="4" t="n">
        <v>284</v>
      </c>
      <c r="F4" s="4" t="n">
        <v>85698.89999999999</v>
      </c>
      <c r="G4" s="4" t="inlineStr">
        <is>
          <t>Toyota Swords</t>
        </is>
      </c>
    </row>
    <row r="5">
      <c r="A5" s="4" t="inlineStr">
        <is>
          <t>ev</t>
        </is>
      </c>
      <c r="B5" s="4" t="inlineStr">
        <is>
          <t>2025-02-21</t>
        </is>
      </c>
      <c r="C5" s="4" t="inlineStr">
        <is>
          <t>service</t>
        </is>
      </c>
      <c r="D5" s="4" t="inlineStr">
        <is>
          <t>Annual EV health check</t>
        </is>
      </c>
      <c r="E5" s="4" t="n">
        <v>149</v>
      </c>
      <c r="F5" s="4" t="n">
        <v>17641.2</v>
      </c>
      <c r="G5" s="4" t="inlineStr">
        <is>
          <t>Kia Leeds</t>
        </is>
      </c>
    </row>
    <row r="6">
      <c r="A6" s="4" t="inlineStr">
        <is>
          <t>ev</t>
        </is>
      </c>
      <c r="B6" s="4" t="inlineStr">
        <is>
          <t>2025-10-03</t>
        </is>
      </c>
      <c r="C6" s="4" t="inlineStr">
        <is>
          <t>tyres</t>
        </is>
      </c>
      <c r="D6" s="4" t="inlineStr">
        <is>
          <t>Four tyres (EV rated)</t>
        </is>
      </c>
      <c r="E6" s="4" t="n">
        <v>736</v>
      </c>
      <c r="F6" s="4" t="n">
        <v>24590.1</v>
      </c>
      <c r="G6" s="4" t="inlineStr">
        <is>
          <t>Kwik Fit</t>
        </is>
      </c>
    </row>
    <row r="7">
      <c r="A7" s="4" t="inlineStr">
        <is>
          <t>ev</t>
        </is>
      </c>
      <c r="B7" s="4" t="inlineStr">
        <is>
          <t>2026-02-26</t>
        </is>
      </c>
      <c r="C7" s="4" t="inlineStr">
        <is>
          <t>service</t>
        </is>
      </c>
      <c r="D7" s="4" t="inlineStr">
        <is>
          <t>Annual EV health check and cabin filter</t>
        </is>
      </c>
      <c r="E7" s="4" t="n">
        <v>189</v>
      </c>
      <c r="F7" s="4" t="n">
        <v>29047.2</v>
      </c>
      <c r="G7" s="4" t="inlineStr">
        <is>
          <t>Kia Leeds</t>
        </is>
      </c>
    </row>
    <row r="8">
      <c r="A8" s="4" t="inlineStr">
        <is>
          <t>focus</t>
        </is>
      </c>
      <c r="B8" s="4" t="inlineStr">
        <is>
          <t>2024-05-13</t>
        </is>
      </c>
      <c r="C8" s="4" t="inlineStr">
        <is>
          <t>repair</t>
        </is>
      </c>
      <c r="D8" s="4" t="inlineStr">
        <is>
          <t>MOT advisory: rear brake hoses</t>
        </is>
      </c>
      <c r="E8" s="4" t="n">
        <v>96</v>
      </c>
      <c r="F8" s="4" t="n">
        <v>104994.4</v>
      </c>
      <c r="G8" s="4" t="inlineStr">
        <is>
          <t>Halfords</t>
        </is>
      </c>
    </row>
    <row r="9">
      <c r="A9" s="4" t="inlineStr">
        <is>
          <t>focus</t>
        </is>
      </c>
      <c r="B9" s="4" t="inlineStr">
        <is>
          <t>2024-08-02</t>
        </is>
      </c>
      <c r="C9" s="4" t="inlineStr">
        <is>
          <t>service</t>
        </is>
      </c>
      <c r="D9" s="4" t="inlineStr">
        <is>
          <t>Interim service</t>
        </is>
      </c>
      <c r="E9" s="4" t="n">
        <v>179</v>
      </c>
      <c r="F9" s="4" t="n">
        <v>108020</v>
      </c>
      <c r="G9" s="4" t="inlineStr">
        <is>
          <t>Local garage</t>
        </is>
      </c>
    </row>
    <row r="10">
      <c r="A10" s="4" t="inlineStr">
        <is>
          <t>focus</t>
        </is>
      </c>
      <c r="B10" s="4" t="inlineStr">
        <is>
          <t>2024-12-02</t>
        </is>
      </c>
      <c r="C10" s="4" t="inlineStr">
        <is>
          <t>bodywork</t>
        </is>
      </c>
      <c r="D10" s="4" t="inlineStr">
        <is>
          <t>Accident repair: rear bumper and tailgate</t>
        </is>
      </c>
      <c r="E10" s="4" t="n">
        <v>1430</v>
      </c>
      <c r="F10" s="4" t="n">
        <v>112667.9</v>
      </c>
      <c r="G10" s="4" t="inlineStr">
        <is>
          <t>Leeds Body Shop</t>
        </is>
      </c>
    </row>
    <row r="11">
      <c r="A11" s="4" t="inlineStr">
        <is>
          <t>focus</t>
        </is>
      </c>
      <c r="B11" s="4" t="inlineStr">
        <is>
          <t>2025-04-08</t>
        </is>
      </c>
      <c r="C11" s="4" t="inlineStr">
        <is>
          <t>battery</t>
        </is>
      </c>
      <c r="D11" s="4" t="inlineStr">
        <is>
          <t>New battery</t>
        </is>
      </c>
      <c r="E11" s="4" t="n">
        <v>128.5</v>
      </c>
      <c r="F11" s="4" t="n">
        <v>117469.2</v>
      </c>
      <c r="G11" s="4" t="inlineStr">
        <is>
          <t>Halfords</t>
        </is>
      </c>
    </row>
    <row r="12">
      <c r="A12" s="4" t="inlineStr">
        <is>
          <t>golf</t>
        </is>
      </c>
      <c r="B12" s="4" t="inlineStr">
        <is>
          <t>2024-03-14</t>
        </is>
      </c>
      <c r="C12" s="4" t="inlineStr">
        <is>
          <t>service</t>
        </is>
      </c>
      <c r="D12" s="4" t="inlineStr">
        <is>
          <t>Annual service</t>
        </is>
      </c>
      <c r="E12" s="4" t="n">
        <v>289</v>
      </c>
      <c r="F12" s="4" t="n">
        <v>48586.1</v>
      </c>
      <c r="G12" s="4" t="inlineStr">
        <is>
          <t>Leeds VW</t>
        </is>
      </c>
    </row>
    <row r="13">
      <c r="A13" s="4" t="inlineStr">
        <is>
          <t>golf</t>
        </is>
      </c>
      <c r="B13" s="4" t="inlineStr">
        <is>
          <t>2024-11-22</t>
        </is>
      </c>
      <c r="C13" s="4" t="inlineStr">
        <is>
          <t>tyres</t>
        </is>
      </c>
      <c r="D13" s="4" t="inlineStr">
        <is>
          <t>Two front tyres</t>
        </is>
      </c>
      <c r="E13" s="4" t="n">
        <v>412.5</v>
      </c>
      <c r="F13" s="4" t="n">
        <v>64376.6</v>
      </c>
      <c r="G13" s="4" t="inlineStr">
        <is>
          <t>Kwik Fit</t>
        </is>
      </c>
    </row>
    <row r="14">
      <c r="A14" s="4" t="inlineStr">
        <is>
          <t>golf</t>
        </is>
      </c>
      <c r="B14" s="4" t="inlineStr">
        <is>
          <t>2025-03-20</t>
        </is>
      </c>
      <c r="C14" s="4" t="inlineStr">
        <is>
          <t>service</t>
        </is>
      </c>
      <c r="D14" s="4" t="inlineStr">
        <is>
          <t>Major service</t>
        </is>
      </c>
      <c r="E14" s="4" t="n">
        <v>345</v>
      </c>
      <c r="F14" s="4" t="n">
        <v>71684.2</v>
      </c>
      <c r="G14" s="4" t="inlineStr">
        <is>
          <t>Leeds VW</t>
        </is>
      </c>
    </row>
    <row r="15">
      <c r="A15" s="4" t="inlineStr">
        <is>
          <t>golf</t>
        </is>
      </c>
      <c r="B15" s="4" t="inlineStr">
        <is>
          <t>2025-09-18</t>
        </is>
      </c>
      <c r="C15" s="4" t="inlineStr">
        <is>
          <t>other</t>
        </is>
      </c>
      <c r="D15" s="4" t="inlineStr">
        <is>
          <t>MOT test (failed: front brake discs)</t>
        </is>
      </c>
      <c r="E15" s="4" t="n">
        <v>54.85</v>
      </c>
      <c r="F15" s="4" t="n">
        <v>82834</v>
      </c>
      <c r="G15" s="4" t="inlineStr">
        <is>
          <t>Kwik Fit</t>
        </is>
      </c>
    </row>
    <row r="16">
      <c r="A16" s="4" t="inlineStr">
        <is>
          <t>golf</t>
        </is>
      </c>
      <c r="B16" s="4" t="inlineStr">
        <is>
          <t>2025-09-19</t>
        </is>
      </c>
      <c r="C16" s="4" t="inlineStr">
        <is>
          <t>brakes</t>
        </is>
      </c>
      <c r="D16" s="4" t="inlineStr">
        <is>
          <t>Front discs and pads</t>
        </is>
      </c>
      <c r="E16" s="4" t="n">
        <v>286.4</v>
      </c>
      <c r="F16" s="4" t="n">
        <v>82891.60000000001</v>
      </c>
      <c r="G16" s="4" t="inlineStr">
        <is>
          <t>Kwik Fit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s="7" t="inlineStr">
        <is>
          <t>vehicle</t>
        </is>
      </c>
      <c r="B1" s="7" t="inlineStr">
        <is>
          <t>type</t>
        </is>
      </c>
      <c r="C1" s="7" t="inlineStr">
        <is>
          <t>title</t>
        </is>
      </c>
      <c r="D1" s="7" t="inlineStr">
        <is>
          <t>provider</t>
        </is>
      </c>
      <c r="E1" s="7" t="inlineStr">
        <is>
          <t>start_on</t>
        </is>
      </c>
      <c r="F1" s="7" t="inlineStr">
        <is>
          <t>expiry_on</t>
        </is>
      </c>
      <c r="G1" s="7" t="inlineStr">
        <is>
          <t>cost</t>
        </is>
      </c>
    </row>
    <row r="2">
      <c r="A2" s="4" t="inlineStr">
        <is>
          <t>corolla</t>
        </is>
      </c>
      <c r="B2" s="4" t="inlineStr">
        <is>
          <t>insurance</t>
        </is>
      </c>
      <c r="C2" s="4" t="inlineStr">
        <is>
          <t>Car insurance</t>
        </is>
      </c>
      <c r="D2" s="4" t="inlineStr">
        <is>
          <t>FBD</t>
        </is>
      </c>
      <c r="E2" s="4" t="inlineStr">
        <is>
          <t>2023-11-04</t>
        </is>
      </c>
      <c r="F2" s="4" t="inlineStr">
        <is>
          <t>2024-11-03</t>
        </is>
      </c>
      <c r="G2" s="4" t="n">
        <v>642</v>
      </c>
    </row>
    <row r="3">
      <c r="A3" s="4" t="inlineStr">
        <is>
          <t>corolla</t>
        </is>
      </c>
      <c r="B3" s="4" t="inlineStr">
        <is>
          <t>insurance</t>
        </is>
      </c>
      <c r="C3" s="4" t="inlineStr">
        <is>
          <t>Car insurance</t>
        </is>
      </c>
      <c r="D3" s="4" t="inlineStr">
        <is>
          <t>FBD</t>
        </is>
      </c>
      <c r="E3" s="4" t="inlineStr">
        <is>
          <t>2024-11-04</t>
        </is>
      </c>
      <c r="F3" s="4" t="inlineStr">
        <is>
          <t>2025-11-03</t>
        </is>
      </c>
      <c r="G3" s="4" t="n">
        <v>688.5</v>
      </c>
    </row>
    <row r="4">
      <c r="A4" s="4" t="inlineStr">
        <is>
          <t>corolla</t>
        </is>
      </c>
      <c r="B4" s="4" t="inlineStr">
        <is>
          <t>inspection</t>
        </is>
      </c>
      <c r="C4" s="4" t="inlineStr">
        <is>
          <t>NCT</t>
        </is>
      </c>
      <c r="D4" s="4" t="inlineStr">
        <is>
          <t>NCTS Northpoint</t>
        </is>
      </c>
      <c r="E4" s="4" t="inlineStr">
        <is>
          <t>2025-02-03</t>
        </is>
      </c>
      <c r="F4" s="4" t="inlineStr">
        <is>
          <t>2027-02-02</t>
        </is>
      </c>
      <c r="G4" s="4" t="n">
        <v>55</v>
      </c>
    </row>
    <row r="5">
      <c r="A5" s="4" t="inlineStr">
        <is>
          <t>corolla</t>
        </is>
      </c>
      <c r="B5" s="4" t="inlineStr">
        <is>
          <t>insurance</t>
        </is>
      </c>
      <c r="C5" s="4" t="inlineStr">
        <is>
          <t>Car insurance</t>
        </is>
      </c>
      <c r="D5" s="4" t="inlineStr">
        <is>
          <t>FBD</t>
        </is>
      </c>
      <c r="E5" s="4" t="inlineStr">
        <is>
          <t>2025-11-04</t>
        </is>
      </c>
      <c r="F5" s="4" t="inlineStr">
        <is>
          <t>2026-11-03</t>
        </is>
      </c>
      <c r="G5" s="4" t="n">
        <v>701.25</v>
      </c>
    </row>
    <row r="6">
      <c r="A6" s="4" t="inlineStr">
        <is>
          <t>ev</t>
        </is>
      </c>
      <c r="B6" s="4" t="inlineStr">
        <is>
          <t>insurance</t>
        </is>
      </c>
      <c r="C6" s="4" t="inlineStr">
        <is>
          <t>Car insurance</t>
        </is>
      </c>
      <c r="D6" s="4" t="inlineStr">
        <is>
          <t>Direct Line</t>
        </is>
      </c>
      <c r="E6" s="4" t="inlineStr">
        <is>
          <t>2024-02-10</t>
        </is>
      </c>
      <c r="F6" s="4" t="inlineStr">
        <is>
          <t>2025-02-09</t>
        </is>
      </c>
      <c r="G6" s="4" t="n">
        <v>804.2</v>
      </c>
    </row>
    <row r="7">
      <c r="A7" s="4" t="inlineStr">
        <is>
          <t>ev</t>
        </is>
      </c>
      <c r="B7" s="4" t="inlineStr">
        <is>
          <t>insurance</t>
        </is>
      </c>
      <c r="C7" s="4" t="inlineStr">
        <is>
          <t>Car insurance</t>
        </is>
      </c>
      <c r="D7" s="4" t="inlineStr">
        <is>
          <t>Direct Line</t>
        </is>
      </c>
      <c r="E7" s="4" t="inlineStr">
        <is>
          <t>2025-02-10</t>
        </is>
      </c>
      <c r="F7" s="4" t="inlineStr">
        <is>
          <t>2026-02-09</t>
        </is>
      </c>
      <c r="G7" s="4" t="n">
        <v>871.66</v>
      </c>
    </row>
    <row r="8">
      <c r="A8" s="4" t="inlineStr">
        <is>
          <t>ev</t>
        </is>
      </c>
      <c r="B8" s="4" t="inlineStr">
        <is>
          <t>insurance</t>
        </is>
      </c>
      <c r="C8" s="4" t="inlineStr">
        <is>
          <t>Car insurance</t>
        </is>
      </c>
      <c r="D8" s="4" t="inlineStr">
        <is>
          <t>Direct Line</t>
        </is>
      </c>
      <c r="E8" s="4" t="inlineStr">
        <is>
          <t>2026-02-10</t>
        </is>
      </c>
      <c r="F8" s="4" t="inlineStr">
        <is>
          <t>2027-02-09</t>
        </is>
      </c>
      <c r="G8" s="4" t="n">
        <v>845.03</v>
      </c>
    </row>
    <row r="9">
      <c r="A9" s="4" t="inlineStr">
        <is>
          <t>ev</t>
        </is>
      </c>
      <c r="B9" s="4" t="inlineStr">
        <is>
          <t>inspection</t>
        </is>
      </c>
      <c r="C9" s="4" t="inlineStr">
        <is>
          <t>First MOT</t>
        </is>
      </c>
      <c r="D9" s="4" t="inlineStr">
        <is>
          <t>Kwik Fit</t>
        </is>
      </c>
      <c r="E9" s="4" t="inlineStr">
        <is>
          <t>2026-06-12</t>
        </is>
      </c>
      <c r="F9" s="4" t="inlineStr">
        <is>
          <t>2027-06-11</t>
        </is>
      </c>
      <c r="G9" s="4" t="n">
        <v>54.85</v>
      </c>
    </row>
    <row r="10">
      <c r="A10" s="4" t="inlineStr">
        <is>
          <t>focus</t>
        </is>
      </c>
      <c r="B10" s="4" t="inlineStr">
        <is>
          <t>insurance</t>
        </is>
      </c>
      <c r="C10" s="4" t="inlineStr">
        <is>
          <t>Car insurance</t>
        </is>
      </c>
      <c r="D10" s="4" t="inlineStr">
        <is>
          <t>Aviva</t>
        </is>
      </c>
      <c r="E10" s="4" t="inlineStr">
        <is>
          <t>2023-09-20</t>
        </is>
      </c>
      <c r="F10" s="4" t="inlineStr">
        <is>
          <t>2024-09-19</t>
        </is>
      </c>
      <c r="G10" s="4" t="n">
        <v>455.7</v>
      </c>
    </row>
    <row r="11">
      <c r="A11" s="4" t="inlineStr">
        <is>
          <t>focus</t>
        </is>
      </c>
      <c r="B11" s="4" t="inlineStr">
        <is>
          <t>inspection</t>
        </is>
      </c>
      <c r="C11" s="4" t="inlineStr">
        <is>
          <t>MOT</t>
        </is>
      </c>
      <c r="D11" s="4" t="inlineStr">
        <is>
          <t>Halfords</t>
        </is>
      </c>
      <c r="E11" s="4" t="inlineStr">
        <is>
          <t>2024-05-14</t>
        </is>
      </c>
      <c r="F11" s="4" t="inlineStr">
        <is>
          <t>2025-05-13</t>
        </is>
      </c>
      <c r="G11" s="4" t="n">
        <v>54.85</v>
      </c>
    </row>
    <row r="12">
      <c r="A12" s="4" t="inlineStr">
        <is>
          <t>focus</t>
        </is>
      </c>
      <c r="B12" s="4" t="inlineStr">
        <is>
          <t>insurance</t>
        </is>
      </c>
      <c r="C12" s="4" t="inlineStr">
        <is>
          <t>Car insurance</t>
        </is>
      </c>
      <c r="D12" s="4" t="inlineStr">
        <is>
          <t>Aviva</t>
        </is>
      </c>
      <c r="E12" s="4" t="inlineStr">
        <is>
          <t>2024-09-20</t>
        </is>
      </c>
      <c r="F12" s="4" t="inlineStr">
        <is>
          <t>2025-09-19</t>
        </is>
      </c>
      <c r="G12" s="4" t="n">
        <v>518.22</v>
      </c>
    </row>
    <row r="13">
      <c r="A13" s="4" t="inlineStr">
        <is>
          <t>focus</t>
        </is>
      </c>
      <c r="B13" s="4" t="inlineStr">
        <is>
          <t>inspection</t>
        </is>
      </c>
      <c r="C13" s="4" t="inlineStr">
        <is>
          <t>MOT</t>
        </is>
      </c>
      <c r="D13" s="4" t="inlineStr">
        <is>
          <t>Halfords</t>
        </is>
      </c>
      <c r="E13" s="4" t="inlineStr">
        <is>
          <t>2025-05-12</t>
        </is>
      </c>
      <c r="F13" s="4" t="inlineStr">
        <is>
          <t>2026-05-11</t>
        </is>
      </c>
      <c r="G13" s="4" t="n">
        <v>54.85</v>
      </c>
    </row>
    <row r="14">
      <c r="A14" s="4" t="inlineStr">
        <is>
          <t>focus</t>
        </is>
      </c>
      <c r="B14" s="4" t="inlineStr">
        <is>
          <t>insurance</t>
        </is>
      </c>
      <c r="C14" s="4" t="inlineStr">
        <is>
          <t>Car insurance</t>
        </is>
      </c>
      <c r="D14" s="4" t="inlineStr">
        <is>
          <t>Aviva</t>
        </is>
      </c>
      <c r="E14" s="4" t="inlineStr">
        <is>
          <t>2025-09-20</t>
        </is>
      </c>
      <c r="F14" s="4" t="inlineStr">
        <is>
          <t>2026-09-19</t>
        </is>
      </c>
      <c r="G14" s="4" t="n">
        <v>497.4</v>
      </c>
    </row>
    <row r="15">
      <c r="A15" s="4" t="inlineStr">
        <is>
          <t>focus</t>
        </is>
      </c>
      <c r="B15" s="4" t="inlineStr">
        <is>
          <t>inspection</t>
        </is>
      </c>
      <c r="C15" s="4" t="inlineStr">
        <is>
          <t>MOT</t>
        </is>
      </c>
      <c r="D15" s="4" t="inlineStr">
        <is>
          <t>Halfords</t>
        </is>
      </c>
      <c r="E15" s="4" t="inlineStr">
        <is>
          <t>2026-05-11</t>
        </is>
      </c>
      <c r="F15" s="4" t="inlineStr">
        <is>
          <t>2027-05-10</t>
        </is>
      </c>
      <c r="G15" s="4" t="n">
        <v>54.85</v>
      </c>
    </row>
    <row r="16">
      <c r="A16" s="4" t="inlineStr">
        <is>
          <t>golf</t>
        </is>
      </c>
      <c r="B16" s="4" t="inlineStr">
        <is>
          <t>insurance</t>
        </is>
      </c>
      <c r="C16" s="4" t="inlineStr">
        <is>
          <t>Car insurance</t>
        </is>
      </c>
      <c r="D16" s="4" t="inlineStr">
        <is>
          <t>Admiral</t>
        </is>
      </c>
      <c r="E16" s="4" t="inlineStr">
        <is>
          <t>2023-10-07</t>
        </is>
      </c>
      <c r="F16" s="4" t="inlineStr">
        <is>
          <t>2024-10-06</t>
        </is>
      </c>
      <c r="G16" s="4" t="n">
        <v>612.34</v>
      </c>
    </row>
    <row r="17">
      <c r="A17" s="4" t="inlineStr">
        <is>
          <t>golf</t>
        </is>
      </c>
      <c r="B17" s="4" t="inlineStr">
        <is>
          <t>inspection</t>
        </is>
      </c>
      <c r="C17" s="4" t="inlineStr">
        <is>
          <t>MOT</t>
        </is>
      </c>
      <c r="D17" s="4" t="inlineStr">
        <is>
          <t>Kwik Fit</t>
        </is>
      </c>
      <c r="E17" s="4" t="inlineStr">
        <is>
          <t>2024-09-20</t>
        </is>
      </c>
      <c r="F17" s="4" t="inlineStr">
        <is>
          <t>2025-09-19</t>
        </is>
      </c>
      <c r="G17" s="4" t="n">
        <v>54.85</v>
      </c>
    </row>
    <row r="18">
      <c r="A18" s="4" t="inlineStr">
        <is>
          <t>golf</t>
        </is>
      </c>
      <c r="B18" s="4" t="inlineStr">
        <is>
          <t>insurance</t>
        </is>
      </c>
      <c r="C18" s="4" t="inlineStr">
        <is>
          <t>Car insurance</t>
        </is>
      </c>
      <c r="D18" s="4" t="inlineStr">
        <is>
          <t>Admiral</t>
        </is>
      </c>
      <c r="E18" s="4" t="inlineStr">
        <is>
          <t>2024-10-07</t>
        </is>
      </c>
      <c r="F18" s="4" t="inlineStr">
        <is>
          <t>2025-10-06</t>
        </is>
      </c>
      <c r="G18" s="4" t="n">
        <v>688.1</v>
      </c>
    </row>
    <row r="19">
      <c r="A19" s="4" t="inlineStr">
        <is>
          <t>golf</t>
        </is>
      </c>
      <c r="B19" s="4" t="inlineStr">
        <is>
          <t>inspection</t>
        </is>
      </c>
      <c r="C19" s="4" t="inlineStr">
        <is>
          <t>MOT (retest, free)</t>
        </is>
      </c>
      <c r="D19" s="4" t="inlineStr">
        <is>
          <t>Kwik Fit</t>
        </is>
      </c>
      <c r="E19" s="4" t="inlineStr">
        <is>
          <t>2025-09-20</t>
        </is>
      </c>
      <c r="F19" s="4" t="inlineStr">
        <is>
          <t>2026-09-19</t>
        </is>
      </c>
      <c r="G19" s="4" t="n">
        <v>0</v>
      </c>
    </row>
    <row r="20">
      <c r="A20" s="4" t="inlineStr">
        <is>
          <t>golf</t>
        </is>
      </c>
      <c r="B20" s="4" t="inlineStr">
        <is>
          <t>insurance</t>
        </is>
      </c>
      <c r="C20" s="4" t="inlineStr">
        <is>
          <t>Car insurance</t>
        </is>
      </c>
      <c r="D20" s="4" t="inlineStr">
        <is>
          <t>Admiral</t>
        </is>
      </c>
      <c r="E20" s="4" t="inlineStr">
        <is>
          <t>2025-10-07</t>
        </is>
      </c>
      <c r="F20" s="4" t="inlineStr">
        <is>
          <t>2026-10-06</t>
        </is>
      </c>
      <c r="G20" s="4" t="n">
        <v>731.95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</cols>
  <sheetData>
    <row r="1">
      <c r="A1" s="7" t="inlineStr">
        <is>
          <t>vehicle</t>
        </is>
      </c>
      <c r="B1" s="7" t="inlineStr">
        <is>
          <t>valued_on</t>
        </is>
      </c>
      <c r="C1" s="7" t="inlineStr">
        <is>
          <t>amount</t>
        </is>
      </c>
      <c r="D1" s="7" t="inlineStr">
        <is>
          <t>source</t>
        </is>
      </c>
    </row>
    <row r="2">
      <c r="A2" s="4" t="inlineStr">
        <is>
          <t>corolla</t>
        </is>
      </c>
      <c r="B2" s="4" t="inlineStr">
        <is>
          <t>2025-11-01</t>
        </is>
      </c>
      <c r="C2" s="4" t="n">
        <v>17200</v>
      </c>
      <c r="D2" s="4" t="inlineStr">
        <is>
          <t>Carzone guide</t>
        </is>
      </c>
    </row>
    <row r="3">
      <c r="A3" s="4" t="inlineStr">
        <is>
          <t>ev</t>
        </is>
      </c>
      <c r="B3" s="4" t="inlineStr">
        <is>
          <t>2025-02-10</t>
        </is>
      </c>
      <c r="C3" s="4" t="n">
        <v>22000</v>
      </c>
      <c r="D3" s="4" t="inlineStr">
        <is>
          <t>Online guide</t>
        </is>
      </c>
    </row>
    <row r="4">
      <c r="A4" s="4" t="inlineStr">
        <is>
          <t>ev</t>
        </is>
      </c>
      <c r="B4" s="4" t="inlineStr">
        <is>
          <t>2026-02-10</t>
        </is>
      </c>
      <c r="C4" s="4" t="n">
        <v>19250</v>
      </c>
      <c r="D4" s="4" t="inlineStr">
        <is>
          <t>Online guide</t>
        </is>
      </c>
    </row>
    <row r="5">
      <c r="A5" s="4" t="inlineStr">
        <is>
          <t>focus</t>
        </is>
      </c>
      <c r="B5" s="4" t="inlineStr">
        <is>
          <t>2023-09-20</t>
        </is>
      </c>
      <c r="C5" s="4" t="n">
        <v>6200</v>
      </c>
      <c r="D5" s="4" t="inlineStr">
        <is>
          <t>Trade guide on the day of purchase</t>
        </is>
      </c>
    </row>
    <row r="6">
      <c r="A6" s="4" t="inlineStr">
        <is>
          <t>focus</t>
        </is>
      </c>
      <c r="B6" s="4" t="inlineStr">
        <is>
          <t>2024-09-20</t>
        </is>
      </c>
      <c r="C6" s="4" t="n">
        <v>5300</v>
      </c>
      <c r="D6" s="4" t="inlineStr">
        <is>
          <t>Online guide</t>
        </is>
      </c>
    </row>
    <row r="7">
      <c r="A7" s="4" t="inlineStr">
        <is>
          <t>focus</t>
        </is>
      </c>
      <c r="B7" s="4" t="inlineStr">
        <is>
          <t>2025-05-01</t>
        </is>
      </c>
      <c r="C7" s="4" t="n">
        <v>3900</v>
      </c>
      <c r="D7" s="4" t="inlineStr">
        <is>
          <t>Online guide</t>
        </is>
      </c>
    </row>
    <row r="8">
      <c r="A8" s="4" t="inlineStr">
        <is>
          <t>focus</t>
        </is>
      </c>
      <c r="B8" s="4" t="inlineStr">
        <is>
          <t>2026-03-01</t>
        </is>
      </c>
      <c r="C8" s="4" t="n">
        <v>3150</v>
      </c>
      <c r="D8" s="4" t="inlineStr">
        <is>
          <t>Online guide</t>
        </is>
      </c>
    </row>
    <row r="9">
      <c r="A9" s="4" t="inlineStr">
        <is>
          <t>golf</t>
        </is>
      </c>
      <c r="B9" s="4" t="inlineStr">
        <is>
          <t>2024-04-10</t>
        </is>
      </c>
      <c r="C9" s="4" t="n">
        <v>16100</v>
      </c>
      <c r="D9" s="4" t="inlineStr">
        <is>
          <t>Dealer part-exchange quote</t>
        </is>
      </c>
    </row>
    <row r="10">
      <c r="A10" s="4" t="inlineStr">
        <is>
          <t>golf</t>
        </is>
      </c>
      <c r="B10" s="4" t="inlineStr">
        <is>
          <t>2024-10-01</t>
        </is>
      </c>
      <c r="C10" s="4" t="n">
        <v>14900</v>
      </c>
      <c r="D10" s="4" t="inlineStr">
        <is>
          <t>Online guide</t>
        </is>
      </c>
    </row>
    <row r="11">
      <c r="A11" s="4" t="inlineStr">
        <is>
          <t>golf</t>
        </is>
      </c>
      <c r="B11" s="4" t="inlineStr">
        <is>
          <t>2025-06-30</t>
        </is>
      </c>
      <c r="C11" s="4" t="n">
        <v>13400</v>
      </c>
      <c r="D11" s="4" t="inlineStr">
        <is>
          <t>Online guide (stale by today)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5" customWidth="1" min="4" max="4"/>
    <col width="19" customWidth="1" min="5" max="5"/>
    <col width="20" customWidth="1" min="6" max="6"/>
    <col width="20" customWidth="1" min="7" max="7"/>
  </cols>
  <sheetData>
    <row r="1">
      <c r="A1" s="7" t="inlineStr">
        <is>
          <t>vehicle</t>
        </is>
      </c>
      <c r="B1" s="7" t="inlineStr">
        <is>
          <t>category</t>
        </is>
      </c>
      <c r="C1" s="7" t="inlineStr">
        <is>
          <t>title</t>
        </is>
      </c>
      <c r="D1" s="7" t="inlineStr">
        <is>
          <t>interval_km</t>
        </is>
      </c>
      <c r="E1" s="7" t="inlineStr">
        <is>
          <t>interval_months</t>
        </is>
      </c>
      <c r="F1" s="7" t="inlineStr">
        <is>
          <t>baseline_done_on</t>
        </is>
      </c>
      <c r="G1" s="7" t="inlineStr">
        <is>
          <t>baseline_done_km</t>
        </is>
      </c>
    </row>
    <row r="2">
      <c r="A2" s="4" t="inlineStr">
        <is>
          <t>corolla</t>
        </is>
      </c>
      <c r="B2" s="4" t="inlineStr">
        <is>
          <t>service</t>
        </is>
      </c>
      <c r="C2" s="4" t="inlineStr">
        <is>
          <t>Toyota service</t>
        </is>
      </c>
      <c r="D2" s="4" t="n">
        <v>15000</v>
      </c>
      <c r="E2" s="4" t="n">
        <v>12</v>
      </c>
      <c r="F2" s="4" t="inlineStr">
        <is>
          <t>2025-11-18</t>
        </is>
      </c>
      <c r="G2" s="4" t="n">
        <v>85698.89999999999</v>
      </c>
    </row>
    <row r="3">
      <c r="A3" s="4" t="inlineStr">
        <is>
          <t>ev</t>
        </is>
      </c>
      <c r="B3" s="4" t="inlineStr">
        <is>
          <t>service</t>
        </is>
      </c>
      <c r="C3" s="4" t="inlineStr">
        <is>
          <t>Annual EV health check</t>
        </is>
      </c>
      <c r="D3" s="4" t="inlineStr"/>
      <c r="E3" s="4" t="n">
        <v>12</v>
      </c>
      <c r="F3" s="4" t="inlineStr">
        <is>
          <t>2026-02-26</t>
        </is>
      </c>
      <c r="G3" s="4" t="n">
        <v>29047.2</v>
      </c>
    </row>
    <row r="4">
      <c r="A4" s="4" t="inlineStr">
        <is>
          <t>golf</t>
        </is>
      </c>
      <c r="B4" s="4" t="inlineStr">
        <is>
          <t>service</t>
        </is>
      </c>
      <c r="C4" s="4" t="inlineStr">
        <is>
          <t>Annual service</t>
        </is>
      </c>
      <c r="D4" s="4" t="n">
        <v>24140</v>
      </c>
      <c r="E4" s="4" t="n">
        <v>12</v>
      </c>
      <c r="F4" s="4" t="inlineStr">
        <is>
          <t>2025-03-20</t>
        </is>
      </c>
      <c r="G4" s="4" t="n">
        <v>71684.2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16" customWidth="1" min="5" max="5"/>
    <col width="11" customWidth="1" min="6" max="6"/>
    <col width="10" customWidth="1" min="7" max="7"/>
    <col width="10" customWidth="1" min="8" max="8"/>
    <col width="14" customWidth="1" min="9" max="9"/>
    <col width="10" customWidth="1" min="10" max="10"/>
    <col width="13" customWidth="1" min="11" max="11"/>
    <col width="10" customWidth="1" min="12" max="12"/>
  </cols>
  <sheetData>
    <row r="1">
      <c r="A1" s="7" t="inlineStr">
        <is>
          <t>vehicle</t>
        </is>
      </c>
      <c r="B1" s="7" t="inlineStr">
        <is>
          <t>occurred_on</t>
        </is>
      </c>
      <c r="C1" s="7" t="inlineStr">
        <is>
          <t>type</t>
        </is>
      </c>
      <c r="D1" s="7" t="inlineStr">
        <is>
          <t>fault</t>
        </is>
      </c>
      <c r="E1" s="7" t="inlineStr">
        <is>
          <t>claim_status</t>
        </is>
      </c>
      <c r="F1" s="7" t="inlineStr">
        <is>
          <t>insurer</t>
        </is>
      </c>
      <c r="G1" s="7" t="inlineStr">
        <is>
          <t>excess</t>
        </is>
      </c>
      <c r="H1" s="7" t="inlineStr">
        <is>
          <t>payout</t>
        </is>
      </c>
      <c r="I1" s="7" t="inlineStr">
        <is>
          <t>updated_on</t>
        </is>
      </c>
      <c r="J1" s="7" t="inlineStr">
        <is>
          <t>status</t>
        </is>
      </c>
      <c r="K1" s="7" t="inlineStr">
        <is>
          <t>closed_on</t>
        </is>
      </c>
      <c r="L1" s="7" t="inlineStr">
        <is>
          <t>note</t>
        </is>
      </c>
    </row>
    <row r="2">
      <c r="A2" s="4" t="inlineStr">
        <is>
          <t>focus</t>
        </is>
      </c>
      <c r="B2" s="4" t="inlineStr">
        <is>
          <t>2024-11-08</t>
        </is>
      </c>
      <c r="C2" s="4" t="inlineStr">
        <is>
          <t>collision</t>
        </is>
      </c>
      <c r="D2" s="4" t="inlineStr">
        <is>
          <t>not_at_fault</t>
        </is>
      </c>
      <c r="E2" s="4" t="inlineStr">
        <is>
          <t>settled</t>
        </is>
      </c>
      <c r="F2" s="4" t="inlineStr">
        <is>
          <t>Aviva</t>
        </is>
      </c>
      <c r="G2" s="4" t="n">
        <v>250</v>
      </c>
      <c r="H2" s="4" t="n">
        <v>1180</v>
      </c>
      <c r="I2" s="4" t="inlineStr">
        <is>
          <t>2025-01-10</t>
        </is>
      </c>
      <c r="J2" s="4" t="inlineStr">
        <is>
          <t>closed</t>
        </is>
      </c>
      <c r="K2" s="4" t="inlineStr">
        <is>
          <t>2025-01-10</t>
        </is>
      </c>
      <c r="L2" s="4" t="inlineStr">
        <is>
          <t>Rear-ended at lights; repair 2 Dec 2024 (maintenance)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4" customWidth="1" min="5" max="5"/>
    <col width="20" customWidth="1" min="6" max="6"/>
    <col width="22" customWidth="1" min="7" max="7"/>
    <col width="17" customWidth="1" min="8" max="8"/>
    <col width="19" customWidth="1" min="9" max="9"/>
    <col width="17" customWidth="1" min="10" max="10"/>
    <col width="20" customWidth="1" min="11" max="11"/>
    <col width="14" customWidth="1" min="12" max="12"/>
    <col width="20" customWidth="1" min="13" max="13"/>
    <col width="23" customWidth="1" min="14" max="14"/>
    <col width="20" customWidth="1" min="15" max="15"/>
    <col width="10" customWidth="1" min="16" max="16"/>
    <col width="21" customWidth="1" min="17" max="17"/>
    <col width="26" customWidth="1" min="18" max="18"/>
    <col width="28" customWidth="1" min="19" max="19"/>
    <col width="16" customWidth="1" min="20" max="20"/>
    <col width="25" customWidth="1" min="21" max="21"/>
    <col width="21" customWidth="1" min="22" max="22"/>
    <col width="18" customWidth="1" min="23" max="23"/>
  </cols>
  <sheetData>
    <row r="1">
      <c r="A1" s="7" t="inlineStr">
        <is>
          <t>vehicle</t>
        </is>
      </c>
      <c r="B1" s="7" t="inlineStr">
        <is>
          <t>agreement</t>
        </is>
      </c>
      <c r="C1" s="7" t="inlineStr">
        <is>
          <t>type</t>
        </is>
      </c>
      <c r="D1" s="7" t="inlineStr">
        <is>
          <t>lender</t>
        </is>
      </c>
      <c r="E1" s="7" t="inlineStr">
        <is>
          <t>started_on</t>
        </is>
      </c>
      <c r="F1" s="7" t="inlineStr">
        <is>
          <t>first_payment_on</t>
        </is>
      </c>
      <c r="G1" s="7" t="inlineStr">
        <is>
          <t>number_of_payments</t>
        </is>
      </c>
      <c r="H1" s="7" t="inlineStr">
        <is>
          <t>first_payment</t>
        </is>
      </c>
      <c r="I1" s="7" t="inlineStr">
        <is>
          <t>regular_payment</t>
        </is>
      </c>
      <c r="J1" s="7" t="inlineStr">
        <is>
          <t>final_payment</t>
        </is>
      </c>
      <c r="K1" s="7" t="inlineStr">
        <is>
          <t>final_payment_on</t>
        </is>
      </c>
      <c r="L1" s="7" t="inlineStr">
        <is>
          <t>cash_price</t>
        </is>
      </c>
      <c r="M1" s="7" t="inlineStr">
        <is>
          <t>customer_deposit</t>
        </is>
      </c>
      <c r="N1" s="7" t="inlineStr">
        <is>
          <t>dealer_contribution</t>
        </is>
      </c>
      <c r="O1" s="7" t="inlineStr">
        <is>
          <t>amount_of_credit</t>
        </is>
      </c>
      <c r="P1" s="7" t="inlineStr">
        <is>
          <t>apr</t>
        </is>
      </c>
      <c r="Q1" s="7" t="inlineStr">
        <is>
          <t>documentation_fee</t>
        </is>
      </c>
      <c r="R1" s="7" t="inlineStr">
        <is>
          <t>option_to_purchase_fee</t>
        </is>
      </c>
      <c r="S1" s="7" t="inlineStr">
        <is>
          <t>annual_mileage_allowance</t>
        </is>
      </c>
      <c r="T1" s="7" t="inlineStr">
        <is>
          <t>mileage_unit</t>
        </is>
      </c>
      <c r="U1" s="7" t="inlineStr">
        <is>
          <t>excess_mileage_charge</t>
        </is>
      </c>
      <c r="V1" s="7" t="inlineStr">
        <is>
          <t>start_odometer_km</t>
        </is>
      </c>
      <c r="W1" s="7" t="inlineStr">
        <is>
          <t>count_in_costs</t>
        </is>
      </c>
    </row>
    <row r="2">
      <c r="A2" s="4" t="inlineStr">
        <is>
          <t>ev</t>
        </is>
      </c>
      <c r="B2" s="4" t="inlineStr">
        <is>
          <t>ev-hp</t>
        </is>
      </c>
      <c r="C2" s="4" t="inlineStr">
        <is>
          <t>hp</t>
        </is>
      </c>
      <c r="D2" s="4" t="inlineStr">
        <is>
          <t>Greenline Finance</t>
        </is>
      </c>
      <c r="E2" s="4" t="inlineStr">
        <is>
          <t>2024-02-10</t>
        </is>
      </c>
      <c r="F2" s="4" t="inlineStr">
        <is>
          <t>2024-03-10</t>
        </is>
      </c>
      <c r="G2" s="4" t="n">
        <v>48</v>
      </c>
      <c r="H2" s="4" t="inlineStr"/>
      <c r="I2" s="4" t="n">
        <v>549.17</v>
      </c>
      <c r="J2" s="4" t="inlineStr"/>
      <c r="K2" s="4" t="inlineStr"/>
      <c r="L2" s="4" t="n">
        <v>27500</v>
      </c>
      <c r="M2" s="4" t="n">
        <v>4000</v>
      </c>
      <c r="N2" s="4" t="n">
        <v>0</v>
      </c>
      <c r="O2" s="4" t="n">
        <v>23500</v>
      </c>
      <c r="P2" s="4" t="n">
        <v>5.9</v>
      </c>
      <c r="Q2" s="4" t="inlineStr"/>
      <c r="R2" s="4" t="inlineStr"/>
      <c r="S2" s="4" t="inlineStr"/>
      <c r="T2" s="4" t="inlineStr">
        <is>
          <t>mi</t>
        </is>
      </c>
      <c r="U2" s="4" t="inlineStr"/>
      <c r="V2" s="4" t="inlineStr"/>
      <c r="W2" s="4" t="inlineStr">
        <is>
          <t>yes</t>
        </is>
      </c>
    </row>
    <row r="3">
      <c r="A3" s="4" t="inlineStr">
        <is>
          <t>golf</t>
        </is>
      </c>
      <c r="B3" s="4" t="inlineStr">
        <is>
          <t>golf-pcp</t>
        </is>
      </c>
      <c r="C3" s="4" t="inlineStr">
        <is>
          <t>pcp</t>
        </is>
      </c>
      <c r="D3" s="4" t="inlineStr">
        <is>
          <t>Northway Motor Finance</t>
        </is>
      </c>
      <c r="E3" s="4" t="inlineStr">
        <is>
          <t>2023-10-07</t>
        </is>
      </c>
      <c r="F3" s="4" t="inlineStr">
        <is>
          <t>2023-11-07</t>
        </is>
      </c>
      <c r="G3" s="4" t="n">
        <v>36</v>
      </c>
      <c r="H3" s="4" t="inlineStr"/>
      <c r="I3" s="4" t="n">
        <v>284.85</v>
      </c>
      <c r="J3" s="4" t="n">
        <v>7650</v>
      </c>
      <c r="K3" s="4" t="inlineStr">
        <is>
          <t>2026-11-07</t>
        </is>
      </c>
      <c r="L3" s="4" t="n">
        <v>17995</v>
      </c>
      <c r="M3" s="4" t="n">
        <v>2000</v>
      </c>
      <c r="N3" s="4" t="n">
        <v>500</v>
      </c>
      <c r="O3" s="4" t="n">
        <v>15495</v>
      </c>
      <c r="P3" s="4" t="n">
        <v>6.9</v>
      </c>
      <c r="Q3" s="4" t="inlineStr"/>
      <c r="R3" s="4" t="n">
        <v>10</v>
      </c>
      <c r="S3" s="4" t="n">
        <v>15000</v>
      </c>
      <c r="T3" s="4" t="inlineStr">
        <is>
          <t>mi</t>
        </is>
      </c>
      <c r="U3" s="4" t="n">
        <v>0.08</v>
      </c>
      <c r="V3" s="4" t="n">
        <v>38412</v>
      </c>
      <c r="W3" s="4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7" t="inlineStr">
        <is>
          <t>vehicle</t>
        </is>
      </c>
      <c r="B1" s="7" t="inlineStr">
        <is>
          <t>agreement</t>
        </is>
      </c>
      <c r="C1" s="7" t="inlineStr">
        <is>
          <t>kind</t>
        </is>
      </c>
      <c r="D1" s="7" t="inlineStr">
        <is>
          <t>date</t>
        </is>
      </c>
      <c r="E1" s="7" t="inlineStr">
        <is>
          <t>due_on</t>
        </is>
      </c>
      <c r="F1" s="7" t="inlineStr">
        <is>
          <t>amount</t>
        </is>
      </c>
      <c r="G1" s="7" t="inlineStr">
        <is>
          <t>note</t>
        </is>
      </c>
    </row>
    <row r="2">
      <c r="A2" s="4" t="inlineStr">
        <is>
          <t>ev</t>
        </is>
      </c>
      <c r="B2" s="4" t="inlineStr">
        <is>
          <t>ev-hp</t>
        </is>
      </c>
      <c r="C2" s="4" t="inlineStr">
        <is>
          <t>missed</t>
        </is>
      </c>
      <c r="D2" s="4" t="inlineStr"/>
      <c r="E2" s="4" t="inlineStr">
        <is>
          <t>2025-01-10</t>
        </is>
      </c>
      <c r="F2" s="4" t="inlineStr"/>
      <c r="G2" s="4" t="inlineStr">
        <is>
          <t>Direct debit failed</t>
        </is>
      </c>
    </row>
    <row r="3">
      <c r="A3" s="4" t="inlineStr">
        <is>
          <t>ev</t>
        </is>
      </c>
      <c r="B3" s="4" t="inlineStr">
        <is>
          <t>ev-hp</t>
        </is>
      </c>
      <c r="C3" s="4" t="inlineStr">
        <is>
          <t>paid_late</t>
        </is>
      </c>
      <c r="D3" s="4" t="inlineStr">
        <is>
          <t>2025-01-24</t>
        </is>
      </c>
      <c r="E3" s="4" t="inlineStr">
        <is>
          <t>2025-01-10</t>
        </is>
      </c>
      <c r="F3" s="4" t="inlineStr"/>
      <c r="G3" s="4" t="inlineStr">
        <is>
          <t>Paid by card</t>
        </is>
      </c>
    </row>
    <row r="4">
      <c r="A4" s="4" t="inlineStr">
        <is>
          <t>golf</t>
        </is>
      </c>
      <c r="B4" s="4" t="inlineStr">
        <is>
          <t>golf-pcp</t>
        </is>
      </c>
      <c r="C4" s="4" t="inlineStr">
        <is>
          <t>settled</t>
        </is>
      </c>
      <c r="D4" s="4" t="inlineStr">
        <is>
          <t>2026-05-15</t>
        </is>
      </c>
      <c r="E4" s="4" t="inlineStr"/>
      <c r="F4" s="4" t="n">
        <v>8812.620000000001</v>
      </c>
      <c r="G4" s="4" t="inlineStr">
        <is>
          <t>Settled early: the lender's quote, balloon included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2" customWidth="1" min="4" max="4"/>
    <col width="12" customWidth="1" min="5" max="5"/>
    <col width="17" customWidth="1" min="6" max="6"/>
    <col width="18" customWidth="1" min="7" max="7"/>
    <col width="10" customWidth="1" min="8" max="8"/>
  </cols>
  <sheetData>
    <row r="1">
      <c r="A1" s="7" t="inlineStr">
        <is>
          <t>user</t>
        </is>
      </c>
      <c r="B1" s="7" t="inlineStr">
        <is>
          <t>effective_from</t>
        </is>
      </c>
      <c r="C1" s="7" t="inlineStr">
        <is>
          <t>distance_unit</t>
        </is>
      </c>
      <c r="D1" s="7" t="inlineStr">
        <is>
          <t>currency</t>
        </is>
      </c>
      <c r="E1" s="7" t="inlineStr">
        <is>
          <t>car_rate</t>
        </is>
      </c>
      <c r="F1" s="7" t="inlineStr">
        <is>
          <t>car_threshold</t>
        </is>
      </c>
      <c r="G1" s="7" t="inlineStr">
        <is>
          <t>car_rate_after</t>
        </is>
      </c>
      <c r="H1" s="7" t="inlineStr">
        <is>
          <t>source</t>
        </is>
      </c>
    </row>
    <row r="2">
      <c r="A2" s="4" t="inlineStr">
        <is>
          <t>alex</t>
        </is>
      </c>
      <c r="B2" s="4" t="inlineStr">
        <is>
          <t>2023-04-06</t>
        </is>
      </c>
      <c r="C2" s="4" t="inlineStr">
        <is>
          <t>mi</t>
        </is>
      </c>
      <c r="D2" s="4" t="inlineStr">
        <is>
          <t>GBP</t>
        </is>
      </c>
      <c r="E2" s="4" t="n">
        <v>0.45</v>
      </c>
      <c r="F2" s="4" t="n">
        <v>10000</v>
      </c>
      <c r="G2" s="4" t="n">
        <v>0.25</v>
      </c>
      <c r="H2" s="4" t="inlineStr">
        <is>
          <t>HMRC AMAP</t>
        </is>
      </c>
    </row>
    <row r="3">
      <c r="A3" s="4" t="inlineStr">
        <is>
          <t>alex</t>
        </is>
      </c>
      <c r="B3" s="4" t="inlineStr">
        <is>
          <t>2025-10-01</t>
        </is>
      </c>
      <c r="C3" s="4" t="inlineStr">
        <is>
          <t>mi</t>
        </is>
      </c>
      <c r="D3" s="4" t="inlineStr">
        <is>
          <t>GBP</t>
        </is>
      </c>
      <c r="E3" s="4" t="n">
        <v>0.5</v>
      </c>
      <c r="F3" s="4" t="n">
        <v>10000</v>
      </c>
      <c r="G3" s="4" t="n">
        <v>0.3</v>
      </c>
      <c r="H3" s="4" t="inlineStr">
        <is>
          <t>Employer, from October 2025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5" customWidth="1" min="8" max="8"/>
    <col width="12" customWidth="1" min="9" max="9"/>
    <col width="11" customWidth="1" min="10" max="10"/>
  </cols>
  <sheetData>
    <row r="1">
      <c r="A1" s="7" t="inlineStr">
        <is>
          <t>vehicle</t>
        </is>
      </c>
      <c r="B1" s="7" t="inlineStr">
        <is>
          <t>user</t>
        </is>
      </c>
      <c r="C1" s="7" t="inlineStr">
        <is>
          <t>date</t>
        </is>
      </c>
      <c r="D1" s="7" t="inlineStr">
        <is>
          <t>from</t>
        </is>
      </c>
      <c r="E1" s="7" t="inlineStr">
        <is>
          <t>to</t>
        </is>
      </c>
      <c r="F1" s="7" t="inlineStr">
        <is>
          <t>return</t>
        </is>
      </c>
      <c r="G1" s="7" t="inlineStr">
        <is>
          <t>typed_miles_one_way</t>
        </is>
      </c>
      <c r="H1" s="7" t="inlineStr">
        <is>
          <t>distance_km</t>
        </is>
      </c>
      <c r="I1" s="7" t="inlineStr">
        <is>
          <t>business</t>
        </is>
      </c>
      <c r="J1" s="7" t="inlineStr">
        <is>
          <t>purpose</t>
        </is>
      </c>
      <c r="K1" s="7" t="inlineStr">
        <is>
          <t>tax_year</t>
        </is>
      </c>
      <c r="L1" s="7" t="inlineStr">
        <is>
          <t>miles</t>
        </is>
      </c>
    </row>
    <row r="2">
      <c r="A2" s="4" t="inlineStr">
        <is>
          <t>golf</t>
        </is>
      </c>
      <c r="B2" s="4" t="inlineStr">
        <is>
          <t>alex</t>
        </is>
      </c>
      <c r="C2" s="4" t="inlineStr">
        <is>
          <t>2023-10-11</t>
        </is>
      </c>
      <c r="D2" s="4" t="inlineStr">
        <is>
          <t>Leeds</t>
        </is>
      </c>
      <c r="E2" s="4" t="inlineStr">
        <is>
          <t>Birmingham</t>
        </is>
      </c>
      <c r="F2" s="4" t="inlineStr">
        <is>
          <t>yes</t>
        </is>
      </c>
      <c r="G2" s="4" t="inlineStr">
        <is>
          <t>118</t>
        </is>
      </c>
      <c r="H2" s="4" t="n">
        <v>379.805</v>
      </c>
      <c r="I2" s="4" t="inlineStr">
        <is>
          <t>yes</t>
        </is>
      </c>
      <c r="J2" s="4" t="inlineStr">
        <is>
          <t>Client visit</t>
        </is>
      </c>
      <c r="K2">
        <f>IF(MID(C2,6,5)&gt;="04-06",LEFT(C2,4)&amp;"-"&amp;RIGHT(LEFT(C2,4)+1,2),LEFT(C2,4)-1&amp;"-"&amp;RIGHT(LEFT(C2,4),2))</f>
        <v/>
      </c>
      <c r="L2" s="24">
        <f>H2/1.609344</f>
        <v/>
      </c>
    </row>
    <row r="3">
      <c r="A3" s="4" t="inlineStr">
        <is>
          <t>golf</t>
        </is>
      </c>
      <c r="B3" s="4" t="inlineStr">
        <is>
          <t>alex</t>
        </is>
      </c>
      <c r="C3" s="4" t="inlineStr">
        <is>
          <t>2023-10-19</t>
        </is>
      </c>
      <c r="D3" s="4" t="inlineStr">
        <is>
          <t>Leeds</t>
        </is>
      </c>
      <c r="E3" s="4" t="inlineStr">
        <is>
          <t>Birmingham</t>
        </is>
      </c>
      <c r="F3" s="4" t="inlineStr">
        <is>
          <t>yes</t>
        </is>
      </c>
      <c r="G3" s="4" t="inlineStr">
        <is>
          <t>118</t>
        </is>
      </c>
      <c r="H3" s="4" t="n">
        <v>379.805</v>
      </c>
      <c r="I3" s="4" t="inlineStr">
        <is>
          <t>yes</t>
        </is>
      </c>
      <c r="J3" s="4" t="inlineStr">
        <is>
          <t>Client visit</t>
        </is>
      </c>
      <c r="K3">
        <f>IF(MID(C3,6,5)&gt;="04-06",LEFT(C3,4)&amp;"-"&amp;RIGHT(LEFT(C3,4)+1,2),LEFT(C3,4)-1&amp;"-"&amp;RIGHT(LEFT(C3,4),2))</f>
        <v/>
      </c>
      <c r="L3" s="24">
        <f>H3/1.609344</f>
        <v/>
      </c>
    </row>
    <row r="4">
      <c r="A4" s="4" t="inlineStr">
        <is>
          <t>golf</t>
        </is>
      </c>
      <c r="B4" s="4" t="inlineStr">
        <is>
          <t>alex</t>
        </is>
      </c>
      <c r="C4" s="4" t="inlineStr">
        <is>
          <t>2023-10-25</t>
        </is>
      </c>
      <c r="D4" s="4" t="inlineStr">
        <is>
          <t>Leeds</t>
        </is>
      </c>
      <c r="E4" s="4" t="inlineStr">
        <is>
          <t>Birmingham</t>
        </is>
      </c>
      <c r="F4" s="4" t="inlineStr">
        <is>
          <t>yes</t>
        </is>
      </c>
      <c r="G4" s="4" t="inlineStr">
        <is>
          <t>118</t>
        </is>
      </c>
      <c r="H4" s="4" t="n">
        <v>379.805</v>
      </c>
      <c r="I4" s="4" t="inlineStr">
        <is>
          <t>yes</t>
        </is>
      </c>
      <c r="J4" s="4" t="inlineStr">
        <is>
          <t>Client visit</t>
        </is>
      </c>
      <c r="K4">
        <f>IF(MID(C4,6,5)&gt;="04-06",LEFT(C4,4)&amp;"-"&amp;RIGHT(LEFT(C4,4)+1,2),LEFT(C4,4)-1&amp;"-"&amp;RIGHT(LEFT(C4,4),2))</f>
        <v/>
      </c>
      <c r="L4" s="24">
        <f>H4/1.609344</f>
        <v/>
      </c>
    </row>
    <row r="5">
      <c r="A5" s="4" t="inlineStr">
        <is>
          <t>golf</t>
        </is>
      </c>
      <c r="B5" s="4" t="inlineStr">
        <is>
          <t>alex</t>
        </is>
      </c>
      <c r="C5" s="4" t="inlineStr">
        <is>
          <t>2023-10-31</t>
        </is>
      </c>
      <c r="D5" s="4" t="inlineStr">
        <is>
          <t>Leeds</t>
        </is>
      </c>
      <c r="E5" s="4" t="inlineStr">
        <is>
          <t>Birmingham</t>
        </is>
      </c>
      <c r="F5" s="4" t="inlineStr">
        <is>
          <t>yes</t>
        </is>
      </c>
      <c r="G5" s="4" t="inlineStr">
        <is>
          <t>118</t>
        </is>
      </c>
      <c r="H5" s="4" t="n">
        <v>379.805</v>
      </c>
      <c r="I5" s="4" t="inlineStr">
        <is>
          <t>yes</t>
        </is>
      </c>
      <c r="J5" s="4" t="inlineStr">
        <is>
          <t>Client visit</t>
        </is>
      </c>
      <c r="K5">
        <f>IF(MID(C5,6,5)&gt;="04-06",LEFT(C5,4)&amp;"-"&amp;RIGHT(LEFT(C5,4)+1,2),LEFT(C5,4)-1&amp;"-"&amp;RIGHT(LEFT(C5,4),2))</f>
        <v/>
      </c>
      <c r="L5" s="24">
        <f>H5/1.609344</f>
        <v/>
      </c>
    </row>
    <row r="6">
      <c r="A6" s="4" t="inlineStr">
        <is>
          <t>golf</t>
        </is>
      </c>
      <c r="B6" s="4" t="inlineStr">
        <is>
          <t>alex</t>
        </is>
      </c>
      <c r="C6" s="4" t="inlineStr">
        <is>
          <t>2023-11-10</t>
        </is>
      </c>
      <c r="D6" s="4" t="inlineStr">
        <is>
          <t>Leeds</t>
        </is>
      </c>
      <c r="E6" s="4" t="inlineStr">
        <is>
          <t>Birmingham</t>
        </is>
      </c>
      <c r="F6" s="4" t="inlineStr">
        <is>
          <t>yes</t>
        </is>
      </c>
      <c r="G6" s="4" t="inlineStr">
        <is>
          <t>118</t>
        </is>
      </c>
      <c r="H6" s="4" t="n">
        <v>379.805</v>
      </c>
      <c r="I6" s="4" t="inlineStr">
        <is>
          <t>yes</t>
        </is>
      </c>
      <c r="J6" s="4" t="inlineStr">
        <is>
          <t>Client visit</t>
        </is>
      </c>
      <c r="K6">
        <f>IF(MID(C6,6,5)&gt;="04-06",LEFT(C6,4)&amp;"-"&amp;RIGHT(LEFT(C6,4)+1,2),LEFT(C6,4)-1&amp;"-"&amp;RIGHT(LEFT(C6,4),2))</f>
        <v/>
      </c>
      <c r="L6" s="24">
        <f>H6/1.609344</f>
        <v/>
      </c>
    </row>
    <row r="7">
      <c r="A7" s="4" t="inlineStr">
        <is>
          <t>golf</t>
        </is>
      </c>
      <c r="B7" s="4" t="inlineStr">
        <is>
          <t>alex</t>
        </is>
      </c>
      <c r="C7" s="4" t="inlineStr">
        <is>
          <t>2023-11-15</t>
        </is>
      </c>
      <c r="D7" s="4" t="inlineStr">
        <is>
          <t>Leeds</t>
        </is>
      </c>
      <c r="E7" s="4" t="inlineStr">
        <is>
          <t>Birmingham</t>
        </is>
      </c>
      <c r="F7" s="4" t="inlineStr">
        <is>
          <t>yes</t>
        </is>
      </c>
      <c r="G7" s="4" t="inlineStr">
        <is>
          <t>118</t>
        </is>
      </c>
      <c r="H7" s="4" t="n">
        <v>379.805</v>
      </c>
      <c r="I7" s="4" t="inlineStr">
        <is>
          <t>yes</t>
        </is>
      </c>
      <c r="J7" s="4" t="inlineStr">
        <is>
          <t>Client visit</t>
        </is>
      </c>
      <c r="K7">
        <f>IF(MID(C7,6,5)&gt;="04-06",LEFT(C7,4)&amp;"-"&amp;RIGHT(LEFT(C7,4)+1,2),LEFT(C7,4)-1&amp;"-"&amp;RIGHT(LEFT(C7,4),2))</f>
        <v/>
      </c>
      <c r="L7" s="24">
        <f>H7/1.609344</f>
        <v/>
      </c>
    </row>
    <row r="8">
      <c r="A8" s="4" t="inlineStr">
        <is>
          <t>golf</t>
        </is>
      </c>
      <c r="B8" s="4" t="inlineStr">
        <is>
          <t>alex</t>
        </is>
      </c>
      <c r="C8" s="4" t="inlineStr">
        <is>
          <t>2023-11-23</t>
        </is>
      </c>
      <c r="D8" s="4" t="inlineStr">
        <is>
          <t>Leeds</t>
        </is>
      </c>
      <c r="E8" s="4" t="inlineStr">
        <is>
          <t>Birmingham</t>
        </is>
      </c>
      <c r="F8" s="4" t="inlineStr">
        <is>
          <t>yes</t>
        </is>
      </c>
      <c r="G8" s="4" t="inlineStr">
        <is>
          <t>118</t>
        </is>
      </c>
      <c r="H8" s="4" t="n">
        <v>379.805</v>
      </c>
      <c r="I8" s="4" t="inlineStr">
        <is>
          <t>yes</t>
        </is>
      </c>
      <c r="J8" s="4" t="inlineStr">
        <is>
          <t>Client visit</t>
        </is>
      </c>
      <c r="K8">
        <f>IF(MID(C8,6,5)&gt;="04-06",LEFT(C8,4)&amp;"-"&amp;RIGHT(LEFT(C8,4)+1,2),LEFT(C8,4)-1&amp;"-"&amp;RIGHT(LEFT(C8,4),2))</f>
        <v/>
      </c>
      <c r="L8" s="24">
        <f>H8/1.609344</f>
        <v/>
      </c>
    </row>
    <row r="9">
      <c r="A9" s="4" t="inlineStr">
        <is>
          <t>golf</t>
        </is>
      </c>
      <c r="B9" s="4" t="inlineStr">
        <is>
          <t>alex</t>
        </is>
      </c>
      <c r="C9" s="4" t="inlineStr">
        <is>
          <t>2023-11-29</t>
        </is>
      </c>
      <c r="D9" s="4" t="inlineStr">
        <is>
          <t>Leeds</t>
        </is>
      </c>
      <c r="E9" s="4" t="inlineStr">
        <is>
          <t>Birmingham</t>
        </is>
      </c>
      <c r="F9" s="4" t="inlineStr">
        <is>
          <t>yes</t>
        </is>
      </c>
      <c r="G9" s="4" t="inlineStr">
        <is>
          <t>118</t>
        </is>
      </c>
      <c r="H9" s="4" t="n">
        <v>379.805</v>
      </c>
      <c r="I9" s="4" t="inlineStr">
        <is>
          <t>yes</t>
        </is>
      </c>
      <c r="J9" s="4" t="inlineStr">
        <is>
          <t>Client visit</t>
        </is>
      </c>
      <c r="K9">
        <f>IF(MID(C9,6,5)&gt;="04-06",LEFT(C9,4)&amp;"-"&amp;RIGHT(LEFT(C9,4)+1,2),LEFT(C9,4)-1&amp;"-"&amp;RIGHT(LEFT(C9,4),2))</f>
        <v/>
      </c>
      <c r="L9" s="24">
        <f>H9/1.609344</f>
        <v/>
      </c>
    </row>
    <row r="10">
      <c r="A10" s="4" t="inlineStr">
        <is>
          <t>golf</t>
        </is>
      </c>
      <c r="B10" s="4" t="inlineStr">
        <is>
          <t>alex</t>
        </is>
      </c>
      <c r="C10" s="4" t="inlineStr">
        <is>
          <t>2023-12-05</t>
        </is>
      </c>
      <c r="D10" s="4" t="inlineStr">
        <is>
          <t>Leeds</t>
        </is>
      </c>
      <c r="E10" s="4" t="inlineStr">
        <is>
          <t>Birmingham</t>
        </is>
      </c>
      <c r="F10" s="4" t="inlineStr">
        <is>
          <t>yes</t>
        </is>
      </c>
      <c r="G10" s="4" t="inlineStr">
        <is>
          <t>118</t>
        </is>
      </c>
      <c r="H10" s="4" t="n">
        <v>379.805</v>
      </c>
      <c r="I10" s="4" t="inlineStr">
        <is>
          <t>yes</t>
        </is>
      </c>
      <c r="J10" s="4" t="inlineStr">
        <is>
          <t>Client visit</t>
        </is>
      </c>
      <c r="K10">
        <f>IF(MID(C10,6,5)&gt;="04-06",LEFT(C10,4)&amp;"-"&amp;RIGHT(LEFT(C10,4)+1,2),LEFT(C10,4)-1&amp;"-"&amp;RIGHT(LEFT(C10,4),2))</f>
        <v/>
      </c>
      <c r="L10" s="24">
        <f>H10/1.609344</f>
        <v/>
      </c>
    </row>
    <row r="11">
      <c r="A11" s="4" t="inlineStr">
        <is>
          <t>golf</t>
        </is>
      </c>
      <c r="B11" s="4" t="inlineStr">
        <is>
          <t>alex</t>
        </is>
      </c>
      <c r="C11" s="4" t="inlineStr">
        <is>
          <t>2023-12-12</t>
        </is>
      </c>
      <c r="D11" s="4" t="inlineStr">
        <is>
          <t>Leeds</t>
        </is>
      </c>
      <c r="E11" s="4" t="inlineStr">
        <is>
          <t>Birmingham</t>
        </is>
      </c>
      <c r="F11" s="4" t="inlineStr">
        <is>
          <t>yes</t>
        </is>
      </c>
      <c r="G11" s="4" t="inlineStr">
        <is>
          <t>118</t>
        </is>
      </c>
      <c r="H11" s="4" t="n">
        <v>379.805</v>
      </c>
      <c r="I11" s="4" t="inlineStr">
        <is>
          <t>yes</t>
        </is>
      </c>
      <c r="J11" s="4" t="inlineStr">
        <is>
          <t>Client visit</t>
        </is>
      </c>
      <c r="K11">
        <f>IF(MID(C11,6,5)&gt;="04-06",LEFT(C11,4)&amp;"-"&amp;RIGHT(LEFT(C11,4)+1,2),LEFT(C11,4)-1&amp;"-"&amp;RIGHT(LEFT(C11,4),2))</f>
        <v/>
      </c>
      <c r="L11" s="24">
        <f>H11/1.609344</f>
        <v/>
      </c>
    </row>
    <row r="12">
      <c r="A12" s="4" t="inlineStr">
        <is>
          <t>golf</t>
        </is>
      </c>
      <c r="B12" s="4" t="inlineStr">
        <is>
          <t>alex</t>
        </is>
      </c>
      <c r="C12" s="4" t="inlineStr">
        <is>
          <t>2023-12-19</t>
        </is>
      </c>
      <c r="D12" s="4" t="inlineStr">
        <is>
          <t>Leeds</t>
        </is>
      </c>
      <c r="E12" s="4" t="inlineStr">
        <is>
          <t>Birmingham</t>
        </is>
      </c>
      <c r="F12" s="4" t="inlineStr">
        <is>
          <t>yes</t>
        </is>
      </c>
      <c r="G12" s="4" t="inlineStr">
        <is>
          <t>118</t>
        </is>
      </c>
      <c r="H12" s="4" t="n">
        <v>379.805</v>
      </c>
      <c r="I12" s="4" t="inlineStr">
        <is>
          <t>yes</t>
        </is>
      </c>
      <c r="J12" s="4" t="inlineStr">
        <is>
          <t>Client visit</t>
        </is>
      </c>
      <c r="K12">
        <f>IF(MID(C12,6,5)&gt;="04-06",LEFT(C12,4)&amp;"-"&amp;RIGHT(LEFT(C12,4)+1,2),LEFT(C12,4)-1&amp;"-"&amp;RIGHT(LEFT(C12,4),2))</f>
        <v/>
      </c>
      <c r="L12" s="24">
        <f>H12/1.609344</f>
        <v/>
      </c>
    </row>
    <row r="13">
      <c r="A13" s="4" t="inlineStr">
        <is>
          <t>golf</t>
        </is>
      </c>
      <c r="B13" s="4" t="inlineStr">
        <is>
          <t>alex</t>
        </is>
      </c>
      <c r="C13" s="4" t="inlineStr">
        <is>
          <t>2024-01-10</t>
        </is>
      </c>
      <c r="D13" s="4" t="inlineStr">
        <is>
          <t>Leeds</t>
        </is>
      </c>
      <c r="E13" s="4" t="inlineStr">
        <is>
          <t>Birmingham</t>
        </is>
      </c>
      <c r="F13" s="4" t="inlineStr">
        <is>
          <t>yes</t>
        </is>
      </c>
      <c r="G13" s="4" t="inlineStr">
        <is>
          <t>118</t>
        </is>
      </c>
      <c r="H13" s="4" t="n">
        <v>379.805</v>
      </c>
      <c r="I13" s="4" t="inlineStr">
        <is>
          <t>yes</t>
        </is>
      </c>
      <c r="J13" s="4" t="inlineStr">
        <is>
          <t>Client visit</t>
        </is>
      </c>
      <c r="K13">
        <f>IF(MID(C13,6,5)&gt;="04-06",LEFT(C13,4)&amp;"-"&amp;RIGHT(LEFT(C13,4)+1,2),LEFT(C13,4)-1&amp;"-"&amp;RIGHT(LEFT(C13,4),2))</f>
        <v/>
      </c>
      <c r="L13" s="24">
        <f>H13/1.609344</f>
        <v/>
      </c>
    </row>
    <row r="14">
      <c r="A14" s="4" t="inlineStr">
        <is>
          <t>golf</t>
        </is>
      </c>
      <c r="B14" s="4" t="inlineStr">
        <is>
          <t>alex</t>
        </is>
      </c>
      <c r="C14" s="4" t="inlineStr">
        <is>
          <t>2024-01-16</t>
        </is>
      </c>
      <c r="D14" s="4" t="inlineStr">
        <is>
          <t>Leeds</t>
        </is>
      </c>
      <c r="E14" s="4" t="inlineStr">
        <is>
          <t>Newcastle</t>
        </is>
      </c>
      <c r="F14" s="4" t="inlineStr">
        <is>
          <t>yes</t>
        </is>
      </c>
      <c r="G14" s="4" t="inlineStr">
        <is>
          <t>95</t>
        </is>
      </c>
      <c r="H14" s="4" t="n">
        <v>305.775</v>
      </c>
      <c r="I14" s="4" t="inlineStr">
        <is>
          <t>yes</t>
        </is>
      </c>
      <c r="J14" s="4" t="inlineStr">
        <is>
          <t>Client visit</t>
        </is>
      </c>
      <c r="K14">
        <f>IF(MID(C14,6,5)&gt;="04-06",LEFT(C14,4)&amp;"-"&amp;RIGHT(LEFT(C14,4)+1,2),LEFT(C14,4)-1&amp;"-"&amp;RIGHT(LEFT(C14,4),2))</f>
        <v/>
      </c>
      <c r="L14" s="24">
        <f>H14/1.609344</f>
        <v/>
      </c>
    </row>
    <row r="15">
      <c r="A15" s="4" t="inlineStr">
        <is>
          <t>golf</t>
        </is>
      </c>
      <c r="B15" s="4" t="inlineStr">
        <is>
          <t>alex</t>
        </is>
      </c>
      <c r="C15" s="4" t="inlineStr">
        <is>
          <t>2024-01-26</t>
        </is>
      </c>
      <c r="D15" s="4" t="inlineStr">
        <is>
          <t>Leeds</t>
        </is>
      </c>
      <c r="E15" s="4" t="inlineStr">
        <is>
          <t>Birmingham</t>
        </is>
      </c>
      <c r="F15" s="4" t="inlineStr">
        <is>
          <t>yes</t>
        </is>
      </c>
      <c r="G15" s="4" t="inlineStr">
        <is>
          <t>118</t>
        </is>
      </c>
      <c r="H15" s="4" t="n">
        <v>379.805</v>
      </c>
      <c r="I15" s="4" t="inlineStr">
        <is>
          <t>yes</t>
        </is>
      </c>
      <c r="J15" s="4" t="inlineStr">
        <is>
          <t>Client visit</t>
        </is>
      </c>
      <c r="K15">
        <f>IF(MID(C15,6,5)&gt;="04-06",LEFT(C15,4)&amp;"-"&amp;RIGHT(LEFT(C15,4)+1,2),LEFT(C15,4)-1&amp;"-"&amp;RIGHT(LEFT(C15,4),2))</f>
        <v/>
      </c>
      <c r="L15" s="24">
        <f>H15/1.609344</f>
        <v/>
      </c>
    </row>
    <row r="16">
      <c r="A16" s="4" t="inlineStr">
        <is>
          <t>golf</t>
        </is>
      </c>
      <c r="B16" s="4" t="inlineStr">
        <is>
          <t>alex</t>
        </is>
      </c>
      <c r="C16" s="4" t="inlineStr">
        <is>
          <t>2024-02-02</t>
        </is>
      </c>
      <c r="D16" s="4" t="inlineStr">
        <is>
          <t>Leeds</t>
        </is>
      </c>
      <c r="E16" s="4" t="inlineStr">
        <is>
          <t>London</t>
        </is>
      </c>
      <c r="F16" s="4" t="inlineStr">
        <is>
          <t>yes</t>
        </is>
      </c>
      <c r="G16" s="4" t="inlineStr">
        <is>
          <t>195</t>
        </is>
      </c>
      <c r="H16" s="4" t="n">
        <v>627.644</v>
      </c>
      <c r="I16" s="4" t="inlineStr">
        <is>
          <t>yes</t>
        </is>
      </c>
      <c r="J16" s="4" t="inlineStr">
        <is>
          <t>Client visit</t>
        </is>
      </c>
      <c r="K16">
        <f>IF(MID(C16,6,5)&gt;="04-06",LEFT(C16,4)&amp;"-"&amp;RIGHT(LEFT(C16,4)+1,2),LEFT(C16,4)-1&amp;"-"&amp;RIGHT(LEFT(C16,4),2))</f>
        <v/>
      </c>
      <c r="L16" s="24">
        <f>H16/1.609344</f>
        <v/>
      </c>
    </row>
    <row r="17">
      <c r="A17" s="4" t="inlineStr">
        <is>
          <t>golf</t>
        </is>
      </c>
      <c r="B17" s="4" t="inlineStr">
        <is>
          <t>alex</t>
        </is>
      </c>
      <c r="C17" s="4" t="inlineStr">
        <is>
          <t>2024-02-06</t>
        </is>
      </c>
      <c r="D17" s="4" t="inlineStr">
        <is>
          <t>Leeds</t>
        </is>
      </c>
      <c r="E17" s="4" t="inlineStr">
        <is>
          <t>Birmingham</t>
        </is>
      </c>
      <c r="F17" s="4" t="inlineStr">
        <is>
          <t>yes</t>
        </is>
      </c>
      <c r="G17" s="4" t="inlineStr">
        <is>
          <t>118</t>
        </is>
      </c>
      <c r="H17" s="4" t="n">
        <v>379.805</v>
      </c>
      <c r="I17" s="4" t="inlineStr">
        <is>
          <t>yes</t>
        </is>
      </c>
      <c r="J17" s="4" t="inlineStr">
        <is>
          <t>Client visit</t>
        </is>
      </c>
      <c r="K17">
        <f>IF(MID(C17,6,5)&gt;="04-06",LEFT(C17,4)&amp;"-"&amp;RIGHT(LEFT(C17,4)+1,2),LEFT(C17,4)-1&amp;"-"&amp;RIGHT(LEFT(C17,4),2))</f>
        <v/>
      </c>
      <c r="L17" s="24">
        <f>H17/1.609344</f>
        <v/>
      </c>
    </row>
    <row r="18">
      <c r="A18" s="4" t="inlineStr">
        <is>
          <t>golf</t>
        </is>
      </c>
      <c r="B18" s="4" t="inlineStr">
        <is>
          <t>alex</t>
        </is>
      </c>
      <c r="C18" s="4" t="inlineStr">
        <is>
          <t>2024-02-14</t>
        </is>
      </c>
      <c r="D18" s="4" t="inlineStr">
        <is>
          <t>Leeds</t>
        </is>
      </c>
      <c r="E18" s="4" t="inlineStr">
        <is>
          <t>Birmingham</t>
        </is>
      </c>
      <c r="F18" s="4" t="inlineStr">
        <is>
          <t>yes</t>
        </is>
      </c>
      <c r="G18" s="4" t="inlineStr">
        <is>
          <t>118</t>
        </is>
      </c>
      <c r="H18" s="4" t="n">
        <v>379.805</v>
      </c>
      <c r="I18" s="4" t="inlineStr">
        <is>
          <t>yes</t>
        </is>
      </c>
      <c r="J18" s="4" t="inlineStr">
        <is>
          <t>Client visit</t>
        </is>
      </c>
      <c r="K18">
        <f>IF(MID(C18,6,5)&gt;="04-06",LEFT(C18,4)&amp;"-"&amp;RIGHT(LEFT(C18,4)+1,2),LEFT(C18,4)-1&amp;"-"&amp;RIGHT(LEFT(C18,4),2))</f>
        <v/>
      </c>
      <c r="L18" s="24">
        <f>H18/1.609344</f>
        <v/>
      </c>
    </row>
    <row r="19">
      <c r="A19" s="4" t="inlineStr">
        <is>
          <t>golf</t>
        </is>
      </c>
      <c r="B19" s="4" t="inlineStr">
        <is>
          <t>alex</t>
        </is>
      </c>
      <c r="C19" s="4" t="inlineStr">
        <is>
          <t>2024-02-20</t>
        </is>
      </c>
      <c r="D19" s="4" t="inlineStr">
        <is>
          <t>Leeds</t>
        </is>
      </c>
      <c r="E19" s="4" t="inlineStr">
        <is>
          <t>Manchester</t>
        </is>
      </c>
      <c r="F19" s="4" t="inlineStr">
        <is>
          <t>yes</t>
        </is>
      </c>
      <c r="G19" s="4" t="inlineStr">
        <is>
          <t>44</t>
        </is>
      </c>
      <c r="H19" s="4" t="n">
        <v>141.622</v>
      </c>
      <c r="I19" s="4" t="inlineStr">
        <is>
          <t>yes</t>
        </is>
      </c>
      <c r="J19" s="4" t="inlineStr">
        <is>
          <t>Client visit</t>
        </is>
      </c>
      <c r="K19">
        <f>IF(MID(C19,6,5)&gt;="04-06",LEFT(C19,4)&amp;"-"&amp;RIGHT(LEFT(C19,4)+1,2),LEFT(C19,4)-1&amp;"-"&amp;RIGHT(LEFT(C19,4),2))</f>
        <v/>
      </c>
      <c r="L19" s="24">
        <f>H19/1.609344</f>
        <v/>
      </c>
    </row>
    <row r="20">
      <c r="A20" s="4" t="inlineStr">
        <is>
          <t>golf</t>
        </is>
      </c>
      <c r="B20" s="4" t="inlineStr">
        <is>
          <t>alex</t>
        </is>
      </c>
      <c r="C20" s="4" t="inlineStr">
        <is>
          <t>2024-02-27</t>
        </is>
      </c>
      <c r="D20" s="4" t="inlineStr">
        <is>
          <t>Leeds</t>
        </is>
      </c>
      <c r="E20" s="4" t="inlineStr">
        <is>
          <t>London</t>
        </is>
      </c>
      <c r="F20" s="4" t="inlineStr">
        <is>
          <t>yes</t>
        </is>
      </c>
      <c r="G20" s="4" t="inlineStr">
        <is>
          <t>195</t>
        </is>
      </c>
      <c r="H20" s="4" t="n">
        <v>627.644</v>
      </c>
      <c r="I20" s="4" t="inlineStr">
        <is>
          <t>yes</t>
        </is>
      </c>
      <c r="J20" s="4" t="inlineStr">
        <is>
          <t>Client visit</t>
        </is>
      </c>
      <c r="K20">
        <f>IF(MID(C20,6,5)&gt;="04-06",LEFT(C20,4)&amp;"-"&amp;RIGHT(LEFT(C20,4)+1,2),LEFT(C20,4)-1&amp;"-"&amp;RIGHT(LEFT(C20,4),2))</f>
        <v/>
      </c>
      <c r="L20" s="24">
        <f>H20/1.609344</f>
        <v/>
      </c>
    </row>
    <row r="21">
      <c r="A21" s="4" t="inlineStr">
        <is>
          <t>golf</t>
        </is>
      </c>
      <c r="B21" s="4" t="inlineStr">
        <is>
          <t>alex</t>
        </is>
      </c>
      <c r="C21" s="4" t="inlineStr">
        <is>
          <t>2024-03-06</t>
        </is>
      </c>
      <c r="D21" s="4" t="inlineStr">
        <is>
          <t>Leeds</t>
        </is>
      </c>
      <c r="E21" s="4" t="inlineStr">
        <is>
          <t>London</t>
        </is>
      </c>
      <c r="F21" s="4" t="inlineStr">
        <is>
          <t>yes</t>
        </is>
      </c>
      <c r="G21" s="4" t="inlineStr">
        <is>
          <t>195</t>
        </is>
      </c>
      <c r="H21" s="4" t="n">
        <v>627.644</v>
      </c>
      <c r="I21" s="4" t="inlineStr">
        <is>
          <t>yes</t>
        </is>
      </c>
      <c r="J21" s="4" t="inlineStr">
        <is>
          <t>Client visit</t>
        </is>
      </c>
      <c r="K21">
        <f>IF(MID(C21,6,5)&gt;="04-06",LEFT(C21,4)&amp;"-"&amp;RIGHT(LEFT(C21,4)+1,2),LEFT(C21,4)-1&amp;"-"&amp;RIGHT(LEFT(C21,4),2))</f>
        <v/>
      </c>
      <c r="L21" s="24">
        <f>H21/1.609344</f>
        <v/>
      </c>
    </row>
    <row r="22">
      <c r="A22" s="4" t="inlineStr">
        <is>
          <t>golf</t>
        </is>
      </c>
      <c r="B22" s="4" t="inlineStr">
        <is>
          <t>alex</t>
        </is>
      </c>
      <c r="C22" s="4" t="inlineStr">
        <is>
          <t>2024-03-15</t>
        </is>
      </c>
      <c r="D22" s="4" t="inlineStr">
        <is>
          <t>Leeds</t>
        </is>
      </c>
      <c r="E22" s="4" t="inlineStr">
        <is>
          <t>Manchester</t>
        </is>
      </c>
      <c r="F22" s="4" t="inlineStr">
        <is>
          <t>yes</t>
        </is>
      </c>
      <c r="G22" s="4" t="inlineStr">
        <is>
          <t>44</t>
        </is>
      </c>
      <c r="H22" s="4" t="n">
        <v>141.622</v>
      </c>
      <c r="I22" s="4" t="inlineStr">
        <is>
          <t>yes</t>
        </is>
      </c>
      <c r="J22" s="4" t="inlineStr">
        <is>
          <t>Client visit</t>
        </is>
      </c>
      <c r="K22">
        <f>IF(MID(C22,6,5)&gt;="04-06",LEFT(C22,4)&amp;"-"&amp;RIGHT(LEFT(C22,4)+1,2),LEFT(C22,4)-1&amp;"-"&amp;RIGHT(LEFT(C22,4),2))</f>
        <v/>
      </c>
      <c r="L22" s="24">
        <f>H22/1.609344</f>
        <v/>
      </c>
    </row>
    <row r="23">
      <c r="A23" s="4" t="inlineStr">
        <is>
          <t>golf</t>
        </is>
      </c>
      <c r="B23" s="4" t="inlineStr">
        <is>
          <t>alex</t>
        </is>
      </c>
      <c r="C23" s="4" t="inlineStr">
        <is>
          <t>2024-03-20</t>
        </is>
      </c>
      <c r="D23" s="4" t="inlineStr">
        <is>
          <t>Leeds</t>
        </is>
      </c>
      <c r="E23" s="4" t="inlineStr">
        <is>
          <t>Birmingham</t>
        </is>
      </c>
      <c r="F23" s="4" t="inlineStr">
        <is>
          <t>yes</t>
        </is>
      </c>
      <c r="G23" s="4" t="inlineStr">
        <is>
          <t>118</t>
        </is>
      </c>
      <c r="H23" s="4" t="n">
        <v>379.805</v>
      </c>
      <c r="I23" s="4" t="inlineStr">
        <is>
          <t>yes</t>
        </is>
      </c>
      <c r="J23" s="4" t="inlineStr">
        <is>
          <t>Client visit</t>
        </is>
      </c>
      <c r="K23">
        <f>IF(MID(C23,6,5)&gt;="04-06",LEFT(C23,4)&amp;"-"&amp;RIGHT(LEFT(C23,4)+1,2),LEFT(C23,4)-1&amp;"-"&amp;RIGHT(LEFT(C23,4),2))</f>
        <v/>
      </c>
      <c r="L23" s="24">
        <f>H23/1.609344</f>
        <v/>
      </c>
    </row>
    <row r="24">
      <c r="A24" s="4" t="inlineStr">
        <is>
          <t>golf</t>
        </is>
      </c>
      <c r="B24" s="4" t="inlineStr">
        <is>
          <t>alex</t>
        </is>
      </c>
      <c r="C24" s="4" t="inlineStr">
        <is>
          <t>2024-03-28</t>
        </is>
      </c>
      <c r="D24" s="4" t="inlineStr">
        <is>
          <t>Leeds</t>
        </is>
      </c>
      <c r="E24" s="4" t="inlineStr">
        <is>
          <t>Birmingham</t>
        </is>
      </c>
      <c r="F24" s="4" t="inlineStr">
        <is>
          <t>yes</t>
        </is>
      </c>
      <c r="G24" s="4" t="inlineStr">
        <is>
          <t>118</t>
        </is>
      </c>
      <c r="H24" s="4" t="n">
        <v>379.805</v>
      </c>
      <c r="I24" s="4" t="inlineStr">
        <is>
          <t>yes</t>
        </is>
      </c>
      <c r="J24" s="4" t="inlineStr">
        <is>
          <t>Client visit</t>
        </is>
      </c>
      <c r="K24">
        <f>IF(MID(C24,6,5)&gt;="04-06",LEFT(C24,4)&amp;"-"&amp;RIGHT(LEFT(C24,4)+1,2),LEFT(C24,4)-1&amp;"-"&amp;RIGHT(LEFT(C24,4),2))</f>
        <v/>
      </c>
      <c r="L24" s="24">
        <f>H24/1.609344</f>
        <v/>
      </c>
    </row>
    <row r="25">
      <c r="A25" s="4" t="inlineStr">
        <is>
          <t>golf</t>
        </is>
      </c>
      <c r="B25" s="4" t="inlineStr">
        <is>
          <t>alex</t>
        </is>
      </c>
      <c r="C25" s="4" t="inlineStr">
        <is>
          <t>2024-04-02</t>
        </is>
      </c>
      <c r="D25" s="4" t="inlineStr">
        <is>
          <t>Leeds</t>
        </is>
      </c>
      <c r="E25" s="4" t="inlineStr">
        <is>
          <t>Birmingham</t>
        </is>
      </c>
      <c r="F25" s="4" t="inlineStr">
        <is>
          <t>yes</t>
        </is>
      </c>
      <c r="G25" s="4" t="inlineStr">
        <is>
          <t>118</t>
        </is>
      </c>
      <c r="H25" s="4" t="n">
        <v>379.805</v>
      </c>
      <c r="I25" s="4" t="inlineStr">
        <is>
          <t>yes</t>
        </is>
      </c>
      <c r="J25" s="4" t="inlineStr">
        <is>
          <t>Client visit</t>
        </is>
      </c>
      <c r="K25">
        <f>IF(MID(C25,6,5)&gt;="04-06",LEFT(C25,4)&amp;"-"&amp;RIGHT(LEFT(C25,4)+1,2),LEFT(C25,4)-1&amp;"-"&amp;RIGHT(LEFT(C25,4),2))</f>
        <v/>
      </c>
      <c r="L25" s="24">
        <f>H25/1.609344</f>
        <v/>
      </c>
    </row>
    <row r="26">
      <c r="A26" s="4" t="inlineStr">
        <is>
          <t>golf</t>
        </is>
      </c>
      <c r="B26" s="4" t="inlineStr">
        <is>
          <t>alex</t>
        </is>
      </c>
      <c r="C26" s="4" t="inlineStr">
        <is>
          <t>2024-04-11</t>
        </is>
      </c>
      <c r="D26" s="4" t="inlineStr">
        <is>
          <t>Leeds</t>
        </is>
      </c>
      <c r="E26" s="4" t="inlineStr">
        <is>
          <t>Birmingham</t>
        </is>
      </c>
      <c r="F26" s="4" t="inlineStr">
        <is>
          <t>yes</t>
        </is>
      </c>
      <c r="G26" s="4" t="inlineStr">
        <is>
          <t>118</t>
        </is>
      </c>
      <c r="H26" s="4" t="n">
        <v>379.805</v>
      </c>
      <c r="I26" s="4" t="inlineStr">
        <is>
          <t>yes</t>
        </is>
      </c>
      <c r="J26" s="4" t="inlineStr">
        <is>
          <t>Client visit</t>
        </is>
      </c>
      <c r="K26">
        <f>IF(MID(C26,6,5)&gt;="04-06",LEFT(C26,4)&amp;"-"&amp;RIGHT(LEFT(C26,4)+1,2),LEFT(C26,4)-1&amp;"-"&amp;RIGHT(LEFT(C26,4),2))</f>
        <v/>
      </c>
      <c r="L26" s="24">
        <f>H26/1.609344</f>
        <v/>
      </c>
    </row>
    <row r="27">
      <c r="A27" s="4" t="inlineStr">
        <is>
          <t>golf</t>
        </is>
      </c>
      <c r="B27" s="4" t="inlineStr">
        <is>
          <t>alex</t>
        </is>
      </c>
      <c r="C27" s="4" t="inlineStr">
        <is>
          <t>2024-04-17</t>
        </is>
      </c>
      <c r="D27" s="4" t="inlineStr">
        <is>
          <t>Leeds</t>
        </is>
      </c>
      <c r="E27" s="4" t="inlineStr">
        <is>
          <t>London</t>
        </is>
      </c>
      <c r="F27" s="4" t="inlineStr">
        <is>
          <t>yes</t>
        </is>
      </c>
      <c r="G27" s="4" t="inlineStr">
        <is>
          <t>195</t>
        </is>
      </c>
      <c r="H27" s="4" t="n">
        <v>627.644</v>
      </c>
      <c r="I27" s="4" t="inlineStr">
        <is>
          <t>yes</t>
        </is>
      </c>
      <c r="J27" s="4" t="inlineStr">
        <is>
          <t>Client visit</t>
        </is>
      </c>
      <c r="K27">
        <f>IF(MID(C27,6,5)&gt;="04-06",LEFT(C27,4)&amp;"-"&amp;RIGHT(LEFT(C27,4)+1,2),LEFT(C27,4)-1&amp;"-"&amp;RIGHT(LEFT(C27,4),2))</f>
        <v/>
      </c>
      <c r="L27" s="24">
        <f>H27/1.609344</f>
        <v/>
      </c>
    </row>
    <row r="28">
      <c r="A28" s="4" t="inlineStr">
        <is>
          <t>golf</t>
        </is>
      </c>
      <c r="B28" s="4" t="inlineStr">
        <is>
          <t>alex</t>
        </is>
      </c>
      <c r="C28" s="4" t="inlineStr">
        <is>
          <t>2024-04-25</t>
        </is>
      </c>
      <c r="D28" s="4" t="inlineStr">
        <is>
          <t>Leeds</t>
        </is>
      </c>
      <c r="E28" s="4" t="inlineStr">
        <is>
          <t>London</t>
        </is>
      </c>
      <c r="F28" s="4" t="inlineStr">
        <is>
          <t>yes</t>
        </is>
      </c>
      <c r="G28" s="4" t="inlineStr">
        <is>
          <t>195</t>
        </is>
      </c>
      <c r="H28" s="4" t="n">
        <v>627.644</v>
      </c>
      <c r="I28" s="4" t="inlineStr">
        <is>
          <t>yes</t>
        </is>
      </c>
      <c r="J28" s="4" t="inlineStr">
        <is>
          <t>Client visit</t>
        </is>
      </c>
      <c r="K28">
        <f>IF(MID(C28,6,5)&gt;="04-06",LEFT(C28,4)&amp;"-"&amp;RIGHT(LEFT(C28,4)+1,2),LEFT(C28,4)-1&amp;"-"&amp;RIGHT(LEFT(C28,4),2))</f>
        <v/>
      </c>
      <c r="L28" s="24">
        <f>H28/1.609344</f>
        <v/>
      </c>
    </row>
    <row r="29">
      <c r="A29" s="4" t="inlineStr">
        <is>
          <t>golf</t>
        </is>
      </c>
      <c r="B29" s="4" t="inlineStr">
        <is>
          <t>alex</t>
        </is>
      </c>
      <c r="C29" s="4" t="inlineStr">
        <is>
          <t>2024-05-01</t>
        </is>
      </c>
      <c r="D29" s="4" t="inlineStr">
        <is>
          <t>Leeds</t>
        </is>
      </c>
      <c r="E29" s="4" t="inlineStr">
        <is>
          <t>Birmingham</t>
        </is>
      </c>
      <c r="F29" s="4" t="inlineStr">
        <is>
          <t>yes</t>
        </is>
      </c>
      <c r="G29" s="4" t="inlineStr">
        <is>
          <t>118</t>
        </is>
      </c>
      <c r="H29" s="4" t="n">
        <v>379.805</v>
      </c>
      <c r="I29" s="4" t="inlineStr">
        <is>
          <t>yes</t>
        </is>
      </c>
      <c r="J29" s="4" t="inlineStr">
        <is>
          <t>Client visit</t>
        </is>
      </c>
      <c r="K29">
        <f>IF(MID(C29,6,5)&gt;="04-06",LEFT(C29,4)&amp;"-"&amp;RIGHT(LEFT(C29,4)+1,2),LEFT(C29,4)-1&amp;"-"&amp;RIGHT(LEFT(C29,4),2))</f>
        <v/>
      </c>
      <c r="L29" s="24">
        <f>H29/1.609344</f>
        <v/>
      </c>
    </row>
    <row r="30">
      <c r="A30" s="4" t="inlineStr">
        <is>
          <t>golf</t>
        </is>
      </c>
      <c r="B30" s="4" t="inlineStr">
        <is>
          <t>alex</t>
        </is>
      </c>
      <c r="C30" s="4" t="inlineStr">
        <is>
          <t>2024-05-09</t>
        </is>
      </c>
      <c r="D30" s="4" t="inlineStr">
        <is>
          <t>Leeds</t>
        </is>
      </c>
      <c r="E30" s="4" t="inlineStr">
        <is>
          <t>Manchester</t>
        </is>
      </c>
      <c r="F30" s="4" t="inlineStr">
        <is>
          <t>yes</t>
        </is>
      </c>
      <c r="G30" s="4" t="inlineStr">
        <is>
          <t>44</t>
        </is>
      </c>
      <c r="H30" s="4" t="n">
        <v>141.622</v>
      </c>
      <c r="I30" s="4" t="inlineStr">
        <is>
          <t>yes</t>
        </is>
      </c>
      <c r="J30" s="4" t="inlineStr">
        <is>
          <t>Client visit</t>
        </is>
      </c>
      <c r="K30">
        <f>IF(MID(C30,6,5)&gt;="04-06",LEFT(C30,4)&amp;"-"&amp;RIGHT(LEFT(C30,4)+1,2),LEFT(C30,4)-1&amp;"-"&amp;RIGHT(LEFT(C30,4),2))</f>
        <v/>
      </c>
      <c r="L30" s="24">
        <f>H30/1.609344</f>
        <v/>
      </c>
    </row>
    <row r="31">
      <c r="A31" s="4" t="inlineStr">
        <is>
          <t>golf</t>
        </is>
      </c>
      <c r="B31" s="4" t="inlineStr">
        <is>
          <t>alex</t>
        </is>
      </c>
      <c r="C31" s="4" t="inlineStr">
        <is>
          <t>2024-05-14</t>
        </is>
      </c>
      <c r="D31" s="4" t="inlineStr">
        <is>
          <t>Leeds</t>
        </is>
      </c>
      <c r="E31" s="4" t="inlineStr">
        <is>
          <t>Birmingham</t>
        </is>
      </c>
      <c r="F31" s="4" t="inlineStr">
        <is>
          <t>yes</t>
        </is>
      </c>
      <c r="G31" s="4" t="inlineStr">
        <is>
          <t>118</t>
        </is>
      </c>
      <c r="H31" s="4" t="n">
        <v>379.805</v>
      </c>
      <c r="I31" s="4" t="inlineStr">
        <is>
          <t>yes</t>
        </is>
      </c>
      <c r="J31" s="4" t="inlineStr">
        <is>
          <t>Client visit</t>
        </is>
      </c>
      <c r="K31">
        <f>IF(MID(C31,6,5)&gt;="04-06",LEFT(C31,4)&amp;"-"&amp;RIGHT(LEFT(C31,4)+1,2),LEFT(C31,4)-1&amp;"-"&amp;RIGHT(LEFT(C31,4),2))</f>
        <v/>
      </c>
      <c r="L31" s="24">
        <f>H31/1.609344</f>
        <v/>
      </c>
    </row>
    <row r="32">
      <c r="A32" s="4" t="inlineStr">
        <is>
          <t>golf</t>
        </is>
      </c>
      <c r="B32" s="4" t="inlineStr">
        <is>
          <t>alex</t>
        </is>
      </c>
      <c r="C32" s="4" t="inlineStr">
        <is>
          <t>2024-05-22</t>
        </is>
      </c>
      <c r="D32" s="4" t="inlineStr">
        <is>
          <t>Leeds</t>
        </is>
      </c>
      <c r="E32" s="4" t="inlineStr">
        <is>
          <t>Birmingham</t>
        </is>
      </c>
      <c r="F32" s="4" t="inlineStr">
        <is>
          <t>yes</t>
        </is>
      </c>
      <c r="G32" s="4" t="inlineStr">
        <is>
          <t>118</t>
        </is>
      </c>
      <c r="H32" s="4" t="n">
        <v>379.805</v>
      </c>
      <c r="I32" s="4" t="inlineStr">
        <is>
          <t>yes</t>
        </is>
      </c>
      <c r="J32" s="4" t="inlineStr">
        <is>
          <t>Client visit</t>
        </is>
      </c>
      <c r="K32">
        <f>IF(MID(C32,6,5)&gt;="04-06",LEFT(C32,4)&amp;"-"&amp;RIGHT(LEFT(C32,4)+1,2),LEFT(C32,4)-1&amp;"-"&amp;RIGHT(LEFT(C32,4),2))</f>
        <v/>
      </c>
      <c r="L32" s="24">
        <f>H32/1.609344</f>
        <v/>
      </c>
    </row>
    <row r="33">
      <c r="A33" s="4" t="inlineStr">
        <is>
          <t>golf</t>
        </is>
      </c>
      <c r="B33" s="4" t="inlineStr">
        <is>
          <t>alex</t>
        </is>
      </c>
      <c r="C33" s="4" t="inlineStr">
        <is>
          <t>2024-05-28</t>
        </is>
      </c>
      <c r="D33" s="4" t="inlineStr">
        <is>
          <t>Leeds</t>
        </is>
      </c>
      <c r="E33" s="4" t="inlineStr">
        <is>
          <t>Birmingham</t>
        </is>
      </c>
      <c r="F33" s="4" t="inlineStr">
        <is>
          <t>yes</t>
        </is>
      </c>
      <c r="G33" s="4" t="inlineStr">
        <is>
          <t>118</t>
        </is>
      </c>
      <c r="H33" s="4" t="n">
        <v>379.805</v>
      </c>
      <c r="I33" s="4" t="inlineStr">
        <is>
          <t>yes</t>
        </is>
      </c>
      <c r="J33" s="4" t="inlineStr">
        <is>
          <t>Client visit</t>
        </is>
      </c>
      <c r="K33">
        <f>IF(MID(C33,6,5)&gt;="04-06",LEFT(C33,4)&amp;"-"&amp;RIGHT(LEFT(C33,4)+1,2),LEFT(C33,4)-1&amp;"-"&amp;RIGHT(LEFT(C33,4),2))</f>
        <v/>
      </c>
      <c r="L33" s="24">
        <f>H33/1.609344</f>
        <v/>
      </c>
    </row>
    <row r="34">
      <c r="A34" s="4" t="inlineStr">
        <is>
          <t>golf</t>
        </is>
      </c>
      <c r="B34" s="4" t="inlineStr">
        <is>
          <t>alex</t>
        </is>
      </c>
      <c r="C34" s="4" t="inlineStr">
        <is>
          <t>2024-06-04</t>
        </is>
      </c>
      <c r="D34" s="4" t="inlineStr">
        <is>
          <t>Leeds</t>
        </is>
      </c>
      <c r="E34" s="4" t="inlineStr">
        <is>
          <t>London</t>
        </is>
      </c>
      <c r="F34" s="4" t="inlineStr">
        <is>
          <t>yes</t>
        </is>
      </c>
      <c r="G34" s="4" t="inlineStr">
        <is>
          <t>195</t>
        </is>
      </c>
      <c r="H34" s="4" t="n">
        <v>627.644</v>
      </c>
      <c r="I34" s="4" t="inlineStr">
        <is>
          <t>yes</t>
        </is>
      </c>
      <c r="J34" s="4" t="inlineStr">
        <is>
          <t>Client visit</t>
        </is>
      </c>
      <c r="K34">
        <f>IF(MID(C34,6,5)&gt;="04-06",LEFT(C34,4)&amp;"-"&amp;RIGHT(LEFT(C34,4)+1,2),LEFT(C34,4)-1&amp;"-"&amp;RIGHT(LEFT(C34,4),2))</f>
        <v/>
      </c>
      <c r="L34" s="24">
        <f>H34/1.609344</f>
        <v/>
      </c>
    </row>
    <row r="35">
      <c r="A35" s="4" t="inlineStr">
        <is>
          <t>golf</t>
        </is>
      </c>
      <c r="B35" s="4" t="inlineStr">
        <is>
          <t>alex</t>
        </is>
      </c>
      <c r="C35" s="4" t="inlineStr">
        <is>
          <t>2024-06-13</t>
        </is>
      </c>
      <c r="D35" s="4" t="inlineStr">
        <is>
          <t>Leeds</t>
        </is>
      </c>
      <c r="E35" s="4" t="inlineStr">
        <is>
          <t>Birmingham</t>
        </is>
      </c>
      <c r="F35" s="4" t="inlineStr">
        <is>
          <t>yes</t>
        </is>
      </c>
      <c r="G35" s="4" t="inlineStr">
        <is>
          <t>118</t>
        </is>
      </c>
      <c r="H35" s="4" t="n">
        <v>379.805</v>
      </c>
      <c r="I35" s="4" t="inlineStr">
        <is>
          <t>yes</t>
        </is>
      </c>
      <c r="J35" s="4" t="inlineStr">
        <is>
          <t>Client visit</t>
        </is>
      </c>
      <c r="K35">
        <f>IF(MID(C35,6,5)&gt;="04-06",LEFT(C35,4)&amp;"-"&amp;RIGHT(LEFT(C35,4)+1,2),LEFT(C35,4)-1&amp;"-"&amp;RIGHT(LEFT(C35,4),2))</f>
        <v/>
      </c>
      <c r="L35" s="24">
        <f>H35/1.609344</f>
        <v/>
      </c>
    </row>
    <row r="36">
      <c r="A36" s="4" t="inlineStr">
        <is>
          <t>golf</t>
        </is>
      </c>
      <c r="B36" s="4" t="inlineStr">
        <is>
          <t>alex</t>
        </is>
      </c>
      <c r="C36" s="4" t="inlineStr">
        <is>
          <t>2024-06-21</t>
        </is>
      </c>
      <c r="D36" s="4" t="inlineStr">
        <is>
          <t>Leeds</t>
        </is>
      </c>
      <c r="E36" s="4" t="inlineStr">
        <is>
          <t>Newcastle</t>
        </is>
      </c>
      <c r="F36" s="4" t="inlineStr">
        <is>
          <t>yes</t>
        </is>
      </c>
      <c r="G36" s="4" t="inlineStr">
        <is>
          <t>95</t>
        </is>
      </c>
      <c r="H36" s="4" t="n">
        <v>305.775</v>
      </c>
      <c r="I36" s="4" t="inlineStr">
        <is>
          <t>yes</t>
        </is>
      </c>
      <c r="J36" s="4" t="inlineStr">
        <is>
          <t>Client visit</t>
        </is>
      </c>
      <c r="K36">
        <f>IF(MID(C36,6,5)&gt;="04-06",LEFT(C36,4)&amp;"-"&amp;RIGHT(LEFT(C36,4)+1,2),LEFT(C36,4)-1&amp;"-"&amp;RIGHT(LEFT(C36,4),2))</f>
        <v/>
      </c>
      <c r="L36" s="24">
        <f>H36/1.609344</f>
        <v/>
      </c>
    </row>
    <row r="37">
      <c r="A37" s="4" t="inlineStr">
        <is>
          <t>golf</t>
        </is>
      </c>
      <c r="B37" s="4" t="inlineStr">
        <is>
          <t>alex</t>
        </is>
      </c>
      <c r="C37" s="4" t="inlineStr">
        <is>
          <t>2024-06-27</t>
        </is>
      </c>
      <c r="D37" s="4" t="inlineStr">
        <is>
          <t>Leeds</t>
        </is>
      </c>
      <c r="E37" s="4" t="inlineStr">
        <is>
          <t>London</t>
        </is>
      </c>
      <c r="F37" s="4" t="inlineStr">
        <is>
          <t>yes</t>
        </is>
      </c>
      <c r="G37" s="4" t="inlineStr">
        <is>
          <t>195</t>
        </is>
      </c>
      <c r="H37" s="4" t="n">
        <v>627.644</v>
      </c>
      <c r="I37" s="4" t="inlineStr">
        <is>
          <t>yes</t>
        </is>
      </c>
      <c r="J37" s="4" t="inlineStr">
        <is>
          <t>Client visit</t>
        </is>
      </c>
      <c r="K37">
        <f>IF(MID(C37,6,5)&gt;="04-06",LEFT(C37,4)&amp;"-"&amp;RIGHT(LEFT(C37,4)+1,2),LEFT(C37,4)-1&amp;"-"&amp;RIGHT(LEFT(C37,4),2))</f>
        <v/>
      </c>
      <c r="L37" s="24">
        <f>H37/1.609344</f>
        <v/>
      </c>
    </row>
    <row r="38">
      <c r="A38" s="4" t="inlineStr">
        <is>
          <t>golf</t>
        </is>
      </c>
      <c r="B38" s="4" t="inlineStr">
        <is>
          <t>alex</t>
        </is>
      </c>
      <c r="C38" s="4" t="inlineStr">
        <is>
          <t>2024-07-03</t>
        </is>
      </c>
      <c r="D38" s="4" t="inlineStr">
        <is>
          <t>Leeds</t>
        </is>
      </c>
      <c r="E38" s="4" t="inlineStr">
        <is>
          <t>Birmingham</t>
        </is>
      </c>
      <c r="F38" s="4" t="inlineStr">
        <is>
          <t>yes</t>
        </is>
      </c>
      <c r="G38" s="4" t="inlineStr">
        <is>
          <t>118</t>
        </is>
      </c>
      <c r="H38" s="4" t="n">
        <v>379.805</v>
      </c>
      <c r="I38" s="4" t="inlineStr">
        <is>
          <t>yes</t>
        </is>
      </c>
      <c r="J38" s="4" t="inlineStr">
        <is>
          <t>Client visit</t>
        </is>
      </c>
      <c r="K38">
        <f>IF(MID(C38,6,5)&gt;="04-06",LEFT(C38,4)&amp;"-"&amp;RIGHT(LEFT(C38,4)+1,2),LEFT(C38,4)-1&amp;"-"&amp;RIGHT(LEFT(C38,4),2))</f>
        <v/>
      </c>
      <c r="L38" s="24">
        <f>H38/1.609344</f>
        <v/>
      </c>
    </row>
    <row r="39">
      <c r="A39" s="4" t="inlineStr">
        <is>
          <t>golf</t>
        </is>
      </c>
      <c r="B39" s="4" t="inlineStr">
        <is>
          <t>alex</t>
        </is>
      </c>
      <c r="C39" s="4" t="inlineStr">
        <is>
          <t>2024-07-11</t>
        </is>
      </c>
      <c r="D39" s="4" t="inlineStr">
        <is>
          <t>Leeds</t>
        </is>
      </c>
      <c r="E39" s="4" t="inlineStr">
        <is>
          <t>Manchester</t>
        </is>
      </c>
      <c r="F39" s="4" t="inlineStr">
        <is>
          <t>yes</t>
        </is>
      </c>
      <c r="G39" s="4" t="inlineStr">
        <is>
          <t>44</t>
        </is>
      </c>
      <c r="H39" s="4" t="n">
        <v>141.622</v>
      </c>
      <c r="I39" s="4" t="inlineStr">
        <is>
          <t>yes</t>
        </is>
      </c>
      <c r="J39" s="4" t="inlineStr">
        <is>
          <t>Client visit</t>
        </is>
      </c>
      <c r="K39">
        <f>IF(MID(C39,6,5)&gt;="04-06",LEFT(C39,4)&amp;"-"&amp;RIGHT(LEFT(C39,4)+1,2),LEFT(C39,4)-1&amp;"-"&amp;RIGHT(LEFT(C39,4),2))</f>
        <v/>
      </c>
      <c r="L39" s="24">
        <f>H39/1.609344</f>
        <v/>
      </c>
    </row>
    <row r="40">
      <c r="A40" s="4" t="inlineStr">
        <is>
          <t>golf</t>
        </is>
      </c>
      <c r="B40" s="4" t="inlineStr">
        <is>
          <t>alex</t>
        </is>
      </c>
      <c r="C40" s="4" t="inlineStr">
        <is>
          <t>2024-07-16</t>
        </is>
      </c>
      <c r="D40" s="4" t="inlineStr">
        <is>
          <t>Leeds</t>
        </is>
      </c>
      <c r="E40" s="4" t="inlineStr">
        <is>
          <t>London</t>
        </is>
      </c>
      <c r="F40" s="4" t="inlineStr">
        <is>
          <t>yes</t>
        </is>
      </c>
      <c r="G40" s="4" t="inlineStr">
        <is>
          <t>195</t>
        </is>
      </c>
      <c r="H40" s="4" t="n">
        <v>627.644</v>
      </c>
      <c r="I40" s="4" t="inlineStr">
        <is>
          <t>yes</t>
        </is>
      </c>
      <c r="J40" s="4" t="inlineStr">
        <is>
          <t>Client visit</t>
        </is>
      </c>
      <c r="K40">
        <f>IF(MID(C40,6,5)&gt;="04-06",LEFT(C40,4)&amp;"-"&amp;RIGHT(LEFT(C40,4)+1,2),LEFT(C40,4)-1&amp;"-"&amp;RIGHT(LEFT(C40,4),2))</f>
        <v/>
      </c>
      <c r="L40" s="24">
        <f>H40/1.609344</f>
        <v/>
      </c>
    </row>
    <row r="41">
      <c r="A41" s="4" t="inlineStr">
        <is>
          <t>golf</t>
        </is>
      </c>
      <c r="B41" s="4" t="inlineStr">
        <is>
          <t>alex</t>
        </is>
      </c>
      <c r="C41" s="4" t="inlineStr">
        <is>
          <t>2024-07-23</t>
        </is>
      </c>
      <c r="D41" s="4" t="inlineStr">
        <is>
          <t>Leeds</t>
        </is>
      </c>
      <c r="E41" s="4" t="inlineStr">
        <is>
          <t>Birmingham</t>
        </is>
      </c>
      <c r="F41" s="4" t="inlineStr">
        <is>
          <t>yes</t>
        </is>
      </c>
      <c r="G41" s="4" t="inlineStr">
        <is>
          <t>118</t>
        </is>
      </c>
      <c r="H41" s="4" t="n">
        <v>379.805</v>
      </c>
      <c r="I41" s="4" t="inlineStr">
        <is>
          <t>yes</t>
        </is>
      </c>
      <c r="J41" s="4" t="inlineStr">
        <is>
          <t>Client visit</t>
        </is>
      </c>
      <c r="K41">
        <f>IF(MID(C41,6,5)&gt;="04-06",LEFT(C41,4)&amp;"-"&amp;RIGHT(LEFT(C41,4)+1,2),LEFT(C41,4)-1&amp;"-"&amp;RIGHT(LEFT(C41,4),2))</f>
        <v/>
      </c>
      <c r="L41" s="24">
        <f>H41/1.609344</f>
        <v/>
      </c>
    </row>
    <row r="42">
      <c r="A42" s="4" t="inlineStr">
        <is>
          <t>golf</t>
        </is>
      </c>
      <c r="B42" s="4" t="inlineStr">
        <is>
          <t>alex</t>
        </is>
      </c>
      <c r="C42" s="4" t="inlineStr">
        <is>
          <t>2024-08-01</t>
        </is>
      </c>
      <c r="D42" s="4" t="inlineStr">
        <is>
          <t>Leeds</t>
        </is>
      </c>
      <c r="E42" s="4" t="inlineStr">
        <is>
          <t>Birmingham</t>
        </is>
      </c>
      <c r="F42" s="4" t="inlineStr">
        <is>
          <t>yes</t>
        </is>
      </c>
      <c r="G42" s="4" t="inlineStr">
        <is>
          <t>118</t>
        </is>
      </c>
      <c r="H42" s="4" t="n">
        <v>379.805</v>
      </c>
      <c r="I42" s="4" t="inlineStr">
        <is>
          <t>yes</t>
        </is>
      </c>
      <c r="J42" s="4" t="inlineStr">
        <is>
          <t>Client visit</t>
        </is>
      </c>
      <c r="K42">
        <f>IF(MID(C42,6,5)&gt;="04-06",LEFT(C42,4)&amp;"-"&amp;RIGHT(LEFT(C42,4)+1,2),LEFT(C42,4)-1&amp;"-"&amp;RIGHT(LEFT(C42,4),2))</f>
        <v/>
      </c>
      <c r="L42" s="24">
        <f>H42/1.609344</f>
        <v/>
      </c>
    </row>
    <row r="43">
      <c r="A43" s="4" t="inlineStr">
        <is>
          <t>golf</t>
        </is>
      </c>
      <c r="B43" s="4" t="inlineStr">
        <is>
          <t>alex</t>
        </is>
      </c>
      <c r="C43" s="4" t="inlineStr">
        <is>
          <t>2024-08-21</t>
        </is>
      </c>
      <c r="D43" s="4" t="inlineStr">
        <is>
          <t>Leeds</t>
        </is>
      </c>
      <c r="E43" s="4" t="inlineStr">
        <is>
          <t>Birmingham</t>
        </is>
      </c>
      <c r="F43" s="4" t="inlineStr">
        <is>
          <t>yes</t>
        </is>
      </c>
      <c r="G43" s="4" t="inlineStr">
        <is>
          <t>118</t>
        </is>
      </c>
      <c r="H43" s="4" t="n">
        <v>379.805</v>
      </c>
      <c r="I43" s="4" t="inlineStr">
        <is>
          <t>yes</t>
        </is>
      </c>
      <c r="J43" s="4" t="inlineStr">
        <is>
          <t>Client visit</t>
        </is>
      </c>
      <c r="K43">
        <f>IF(MID(C43,6,5)&gt;="04-06",LEFT(C43,4)&amp;"-"&amp;RIGHT(LEFT(C43,4)+1,2),LEFT(C43,4)-1&amp;"-"&amp;RIGHT(LEFT(C43,4),2))</f>
        <v/>
      </c>
      <c r="L43" s="24">
        <f>H43/1.609344</f>
        <v/>
      </c>
    </row>
    <row r="44">
      <c r="A44" s="4" t="inlineStr">
        <is>
          <t>golf</t>
        </is>
      </c>
      <c r="B44" s="4" t="inlineStr">
        <is>
          <t>alex</t>
        </is>
      </c>
      <c r="C44" s="4" t="inlineStr">
        <is>
          <t>2024-08-28</t>
        </is>
      </c>
      <c r="D44" s="4" t="inlineStr">
        <is>
          <t>Leeds</t>
        </is>
      </c>
      <c r="E44" s="4" t="inlineStr">
        <is>
          <t>London</t>
        </is>
      </c>
      <c r="F44" s="4" t="inlineStr">
        <is>
          <t>yes</t>
        </is>
      </c>
      <c r="G44" s="4" t="inlineStr">
        <is>
          <t>195</t>
        </is>
      </c>
      <c r="H44" s="4" t="n">
        <v>627.644</v>
      </c>
      <c r="I44" s="4" t="inlineStr">
        <is>
          <t>yes</t>
        </is>
      </c>
      <c r="J44" s="4" t="inlineStr">
        <is>
          <t>Client visit</t>
        </is>
      </c>
      <c r="K44">
        <f>IF(MID(C44,6,5)&gt;="04-06",LEFT(C44,4)&amp;"-"&amp;RIGHT(LEFT(C44,4)+1,2),LEFT(C44,4)-1&amp;"-"&amp;RIGHT(LEFT(C44,4),2))</f>
        <v/>
      </c>
      <c r="L44" s="24">
        <f>H44/1.609344</f>
        <v/>
      </c>
    </row>
    <row r="45">
      <c r="A45" s="4" t="inlineStr">
        <is>
          <t>golf</t>
        </is>
      </c>
      <c r="B45" s="4" t="inlineStr">
        <is>
          <t>alex</t>
        </is>
      </c>
      <c r="C45" s="4" t="inlineStr">
        <is>
          <t>2024-09-05</t>
        </is>
      </c>
      <c r="D45" s="4" t="inlineStr">
        <is>
          <t>Leeds</t>
        </is>
      </c>
      <c r="E45" s="4" t="inlineStr">
        <is>
          <t>Birmingham</t>
        </is>
      </c>
      <c r="F45" s="4" t="inlineStr">
        <is>
          <t>yes</t>
        </is>
      </c>
      <c r="G45" s="4" t="inlineStr">
        <is>
          <t>118</t>
        </is>
      </c>
      <c r="H45" s="4" t="n">
        <v>379.805</v>
      </c>
      <c r="I45" s="4" t="inlineStr">
        <is>
          <t>yes</t>
        </is>
      </c>
      <c r="J45" s="4" t="inlineStr">
        <is>
          <t>Client visit</t>
        </is>
      </c>
      <c r="K45">
        <f>IF(MID(C45,6,5)&gt;="04-06",LEFT(C45,4)&amp;"-"&amp;RIGHT(LEFT(C45,4)+1,2),LEFT(C45,4)-1&amp;"-"&amp;RIGHT(LEFT(C45,4),2))</f>
        <v/>
      </c>
      <c r="L45" s="24">
        <f>H45/1.609344</f>
        <v/>
      </c>
    </row>
    <row r="46">
      <c r="A46" s="4" t="inlineStr">
        <is>
          <t>golf</t>
        </is>
      </c>
      <c r="B46" s="4" t="inlineStr">
        <is>
          <t>alex</t>
        </is>
      </c>
      <c r="C46" s="4" t="inlineStr">
        <is>
          <t>2024-09-11</t>
        </is>
      </c>
      <c r="D46" s="4" t="inlineStr">
        <is>
          <t>Leeds</t>
        </is>
      </c>
      <c r="E46" s="4" t="inlineStr">
        <is>
          <t>Newcastle</t>
        </is>
      </c>
      <c r="F46" s="4" t="inlineStr">
        <is>
          <t>yes</t>
        </is>
      </c>
      <c r="G46" s="4" t="inlineStr">
        <is>
          <t>95</t>
        </is>
      </c>
      <c r="H46" s="4" t="n">
        <v>305.775</v>
      </c>
      <c r="I46" s="4" t="inlineStr">
        <is>
          <t>yes</t>
        </is>
      </c>
      <c r="J46" s="4" t="inlineStr">
        <is>
          <t>Client visit</t>
        </is>
      </c>
      <c r="K46">
        <f>IF(MID(C46,6,5)&gt;="04-06",LEFT(C46,4)&amp;"-"&amp;RIGHT(LEFT(C46,4)+1,2),LEFT(C46,4)-1&amp;"-"&amp;RIGHT(LEFT(C46,4),2))</f>
        <v/>
      </c>
      <c r="L46" s="24">
        <f>H46/1.609344</f>
        <v/>
      </c>
    </row>
    <row r="47">
      <c r="A47" s="4" t="inlineStr">
        <is>
          <t>golf</t>
        </is>
      </c>
      <c r="B47" s="4" t="inlineStr">
        <is>
          <t>alex</t>
        </is>
      </c>
      <c r="C47" s="4" t="inlineStr">
        <is>
          <t>2024-09-17</t>
        </is>
      </c>
      <c r="D47" s="4" t="inlineStr">
        <is>
          <t>Leeds</t>
        </is>
      </c>
      <c r="E47" s="4" t="inlineStr">
        <is>
          <t>Birmingham</t>
        </is>
      </c>
      <c r="F47" s="4" t="inlineStr">
        <is>
          <t>yes</t>
        </is>
      </c>
      <c r="G47" s="4" t="inlineStr">
        <is>
          <t>118</t>
        </is>
      </c>
      <c r="H47" s="4" t="n">
        <v>379.805</v>
      </c>
      <c r="I47" s="4" t="inlineStr">
        <is>
          <t>yes</t>
        </is>
      </c>
      <c r="J47" s="4" t="inlineStr">
        <is>
          <t>Client visit</t>
        </is>
      </c>
      <c r="K47">
        <f>IF(MID(C47,6,5)&gt;="04-06",LEFT(C47,4)&amp;"-"&amp;RIGHT(LEFT(C47,4)+1,2),LEFT(C47,4)-1&amp;"-"&amp;RIGHT(LEFT(C47,4),2))</f>
        <v/>
      </c>
      <c r="L47" s="24">
        <f>H47/1.609344</f>
        <v/>
      </c>
    </row>
    <row r="48">
      <c r="A48" s="4" t="inlineStr">
        <is>
          <t>golf</t>
        </is>
      </c>
      <c r="B48" s="4" t="inlineStr">
        <is>
          <t>alex</t>
        </is>
      </c>
      <c r="C48" s="4" t="inlineStr">
        <is>
          <t>2024-09-26</t>
        </is>
      </c>
      <c r="D48" s="4" t="inlineStr">
        <is>
          <t>Leeds</t>
        </is>
      </c>
      <c r="E48" s="4" t="inlineStr">
        <is>
          <t>Newcastle</t>
        </is>
      </c>
      <c r="F48" s="4" t="inlineStr">
        <is>
          <t>yes</t>
        </is>
      </c>
      <c r="G48" s="4" t="inlineStr">
        <is>
          <t>95</t>
        </is>
      </c>
      <c r="H48" s="4" t="n">
        <v>305.775</v>
      </c>
      <c r="I48" s="4" t="inlineStr">
        <is>
          <t>yes</t>
        </is>
      </c>
      <c r="J48" s="4" t="inlineStr">
        <is>
          <t>Client visit</t>
        </is>
      </c>
      <c r="K48">
        <f>IF(MID(C48,6,5)&gt;="04-06",LEFT(C48,4)&amp;"-"&amp;RIGHT(LEFT(C48,4)+1,2),LEFT(C48,4)-1&amp;"-"&amp;RIGHT(LEFT(C48,4),2))</f>
        <v/>
      </c>
      <c r="L48" s="24">
        <f>H48/1.609344</f>
        <v/>
      </c>
    </row>
    <row r="49">
      <c r="A49" s="4" t="inlineStr">
        <is>
          <t>golf</t>
        </is>
      </c>
      <c r="B49" s="4" t="inlineStr">
        <is>
          <t>alex</t>
        </is>
      </c>
      <c r="C49" s="4" t="inlineStr">
        <is>
          <t>2024-10-02</t>
        </is>
      </c>
      <c r="D49" s="4" t="inlineStr">
        <is>
          <t>Leeds</t>
        </is>
      </c>
      <c r="E49" s="4" t="inlineStr">
        <is>
          <t>Birmingham</t>
        </is>
      </c>
      <c r="F49" s="4" t="inlineStr">
        <is>
          <t>yes</t>
        </is>
      </c>
      <c r="G49" s="4" t="inlineStr">
        <is>
          <t>118</t>
        </is>
      </c>
      <c r="H49" s="4" t="n">
        <v>379.805</v>
      </c>
      <c r="I49" s="4" t="inlineStr">
        <is>
          <t>yes</t>
        </is>
      </c>
      <c r="J49" s="4" t="inlineStr">
        <is>
          <t>Client visit</t>
        </is>
      </c>
      <c r="K49">
        <f>IF(MID(C49,6,5)&gt;="04-06",LEFT(C49,4)&amp;"-"&amp;RIGHT(LEFT(C49,4)+1,2),LEFT(C49,4)-1&amp;"-"&amp;RIGHT(LEFT(C49,4),2))</f>
        <v/>
      </c>
      <c r="L49" s="24">
        <f>H49/1.609344</f>
        <v/>
      </c>
    </row>
    <row r="50">
      <c r="A50" s="4" t="inlineStr">
        <is>
          <t>golf</t>
        </is>
      </c>
      <c r="B50" s="4" t="inlineStr">
        <is>
          <t>alex</t>
        </is>
      </c>
      <c r="C50" s="4" t="inlineStr">
        <is>
          <t>2024-10-08</t>
        </is>
      </c>
      <c r="D50" s="4" t="inlineStr">
        <is>
          <t>Leeds</t>
        </is>
      </c>
      <c r="E50" s="4" t="inlineStr">
        <is>
          <t>Birmingham</t>
        </is>
      </c>
      <c r="F50" s="4" t="inlineStr">
        <is>
          <t>yes</t>
        </is>
      </c>
      <c r="G50" s="4" t="inlineStr">
        <is>
          <t>118</t>
        </is>
      </c>
      <c r="H50" s="4" t="n">
        <v>379.805</v>
      </c>
      <c r="I50" s="4" t="inlineStr">
        <is>
          <t>yes</t>
        </is>
      </c>
      <c r="J50" s="4" t="inlineStr">
        <is>
          <t>Client visit</t>
        </is>
      </c>
      <c r="K50">
        <f>IF(MID(C50,6,5)&gt;="04-06",LEFT(C50,4)&amp;"-"&amp;RIGHT(LEFT(C50,4)+1,2),LEFT(C50,4)-1&amp;"-"&amp;RIGHT(LEFT(C50,4),2))</f>
        <v/>
      </c>
      <c r="L50" s="24">
        <f>H50/1.609344</f>
        <v/>
      </c>
    </row>
    <row r="51">
      <c r="A51" s="4" t="inlineStr">
        <is>
          <t>golf</t>
        </is>
      </c>
      <c r="B51" s="4" t="inlineStr">
        <is>
          <t>alex</t>
        </is>
      </c>
      <c r="C51" s="4" t="inlineStr">
        <is>
          <t>2024-10-15</t>
        </is>
      </c>
      <c r="D51" s="4" t="inlineStr">
        <is>
          <t>Leeds</t>
        </is>
      </c>
      <c r="E51" s="4" t="inlineStr">
        <is>
          <t>Birmingham</t>
        </is>
      </c>
      <c r="F51" s="4" t="inlineStr">
        <is>
          <t>yes</t>
        </is>
      </c>
      <c r="G51" s="4" t="inlineStr">
        <is>
          <t>118</t>
        </is>
      </c>
      <c r="H51" s="4" t="n">
        <v>379.805</v>
      </c>
      <c r="I51" s="4" t="inlineStr">
        <is>
          <t>yes</t>
        </is>
      </c>
      <c r="J51" s="4" t="inlineStr">
        <is>
          <t>Client visit</t>
        </is>
      </c>
      <c r="K51">
        <f>IF(MID(C51,6,5)&gt;="04-06",LEFT(C51,4)&amp;"-"&amp;RIGHT(LEFT(C51,4)+1,2),LEFT(C51,4)-1&amp;"-"&amp;RIGHT(LEFT(C51,4),2))</f>
        <v/>
      </c>
      <c r="L51" s="24">
        <f>H51/1.609344</f>
        <v/>
      </c>
    </row>
    <row r="52">
      <c r="A52" s="4" t="inlineStr">
        <is>
          <t>golf</t>
        </is>
      </c>
      <c r="B52" s="4" t="inlineStr">
        <is>
          <t>alex</t>
        </is>
      </c>
      <c r="C52" s="4" t="inlineStr">
        <is>
          <t>2024-10-25</t>
        </is>
      </c>
      <c r="D52" s="4" t="inlineStr">
        <is>
          <t>Leeds</t>
        </is>
      </c>
      <c r="E52" s="4" t="inlineStr">
        <is>
          <t>Birmingham</t>
        </is>
      </c>
      <c r="F52" s="4" t="inlineStr">
        <is>
          <t>yes</t>
        </is>
      </c>
      <c r="G52" s="4" t="inlineStr">
        <is>
          <t>118</t>
        </is>
      </c>
      <c r="H52" s="4" t="n">
        <v>379.805</v>
      </c>
      <c r="I52" s="4" t="inlineStr">
        <is>
          <t>yes</t>
        </is>
      </c>
      <c r="J52" s="4" t="inlineStr">
        <is>
          <t>Client visit</t>
        </is>
      </c>
      <c r="K52">
        <f>IF(MID(C52,6,5)&gt;="04-06",LEFT(C52,4)&amp;"-"&amp;RIGHT(LEFT(C52,4)+1,2),LEFT(C52,4)-1&amp;"-"&amp;RIGHT(LEFT(C52,4),2))</f>
        <v/>
      </c>
      <c r="L52" s="24">
        <f>H52/1.609344</f>
        <v/>
      </c>
    </row>
    <row r="53">
      <c r="A53" s="4" t="inlineStr">
        <is>
          <t>golf</t>
        </is>
      </c>
      <c r="B53" s="4" t="inlineStr">
        <is>
          <t>alex</t>
        </is>
      </c>
      <c r="C53" s="4" t="inlineStr">
        <is>
          <t>2024-11-01</t>
        </is>
      </c>
      <c r="D53" s="4" t="inlineStr">
        <is>
          <t>Leeds</t>
        </is>
      </c>
      <c r="E53" s="4" t="inlineStr">
        <is>
          <t>Newcastle</t>
        </is>
      </c>
      <c r="F53" s="4" t="inlineStr">
        <is>
          <t>yes</t>
        </is>
      </c>
      <c r="G53" s="4" t="inlineStr">
        <is>
          <t>95</t>
        </is>
      </c>
      <c r="H53" s="4" t="n">
        <v>305.775</v>
      </c>
      <c r="I53" s="4" t="inlineStr">
        <is>
          <t>yes</t>
        </is>
      </c>
      <c r="J53" s="4" t="inlineStr">
        <is>
          <t>Client visit</t>
        </is>
      </c>
      <c r="K53">
        <f>IF(MID(C53,6,5)&gt;="04-06",LEFT(C53,4)&amp;"-"&amp;RIGHT(LEFT(C53,4)+1,2),LEFT(C53,4)-1&amp;"-"&amp;RIGHT(LEFT(C53,4),2))</f>
        <v/>
      </c>
      <c r="L53" s="24">
        <f>H53/1.609344</f>
        <v/>
      </c>
    </row>
    <row r="54">
      <c r="A54" s="4" t="inlineStr">
        <is>
          <t>golf</t>
        </is>
      </c>
      <c r="B54" s="4" t="inlineStr">
        <is>
          <t>alex</t>
        </is>
      </c>
      <c r="C54" s="4" t="inlineStr">
        <is>
          <t>2024-11-05</t>
        </is>
      </c>
      <c r="D54" s="4" t="inlineStr">
        <is>
          <t>Leeds</t>
        </is>
      </c>
      <c r="E54" s="4" t="inlineStr">
        <is>
          <t>Newcastle</t>
        </is>
      </c>
      <c r="F54" s="4" t="inlineStr">
        <is>
          <t>yes</t>
        </is>
      </c>
      <c r="G54" s="4" t="inlineStr">
        <is>
          <t>95</t>
        </is>
      </c>
      <c r="H54" s="4" t="n">
        <v>305.775</v>
      </c>
      <c r="I54" s="4" t="inlineStr">
        <is>
          <t>yes</t>
        </is>
      </c>
      <c r="J54" s="4" t="inlineStr">
        <is>
          <t>Client visit</t>
        </is>
      </c>
      <c r="K54">
        <f>IF(MID(C54,6,5)&gt;="04-06",LEFT(C54,4)&amp;"-"&amp;RIGHT(LEFT(C54,4)+1,2),LEFT(C54,4)-1&amp;"-"&amp;RIGHT(LEFT(C54,4),2))</f>
        <v/>
      </c>
      <c r="L54" s="24">
        <f>H54/1.609344</f>
        <v/>
      </c>
    </row>
    <row r="55">
      <c r="A55" s="4" t="inlineStr">
        <is>
          <t>golf</t>
        </is>
      </c>
      <c r="B55" s="4" t="inlineStr">
        <is>
          <t>alex</t>
        </is>
      </c>
      <c r="C55" s="4" t="inlineStr">
        <is>
          <t>2024-11-12</t>
        </is>
      </c>
      <c r="D55" s="4" t="inlineStr">
        <is>
          <t>Leeds</t>
        </is>
      </c>
      <c r="E55" s="4" t="inlineStr">
        <is>
          <t>Birmingham</t>
        </is>
      </c>
      <c r="F55" s="4" t="inlineStr">
        <is>
          <t>yes</t>
        </is>
      </c>
      <c r="G55" s="4" t="inlineStr">
        <is>
          <t>118</t>
        </is>
      </c>
      <c r="H55" s="4" t="n">
        <v>379.805</v>
      </c>
      <c r="I55" s="4" t="inlineStr">
        <is>
          <t>yes</t>
        </is>
      </c>
      <c r="J55" s="4" t="inlineStr">
        <is>
          <t>Client visit</t>
        </is>
      </c>
      <c r="K55">
        <f>IF(MID(C55,6,5)&gt;="04-06",LEFT(C55,4)&amp;"-"&amp;RIGHT(LEFT(C55,4)+1,2),LEFT(C55,4)-1&amp;"-"&amp;RIGHT(LEFT(C55,4),2))</f>
        <v/>
      </c>
      <c r="L55" s="24">
        <f>H55/1.609344</f>
        <v/>
      </c>
    </row>
    <row r="56">
      <c r="A56" s="4" t="inlineStr">
        <is>
          <t>golf</t>
        </is>
      </c>
      <c r="B56" s="4" t="inlineStr">
        <is>
          <t>alex</t>
        </is>
      </c>
      <c r="C56" s="4" t="inlineStr">
        <is>
          <t>2024-11-22</t>
        </is>
      </c>
      <c r="D56" s="4" t="inlineStr">
        <is>
          <t>Leeds</t>
        </is>
      </c>
      <c r="E56" s="4" t="inlineStr">
        <is>
          <t>London</t>
        </is>
      </c>
      <c r="F56" s="4" t="inlineStr">
        <is>
          <t>yes</t>
        </is>
      </c>
      <c r="G56" s="4" t="inlineStr">
        <is>
          <t>195</t>
        </is>
      </c>
      <c r="H56" s="4" t="n">
        <v>627.644</v>
      </c>
      <c r="I56" s="4" t="inlineStr">
        <is>
          <t>yes</t>
        </is>
      </c>
      <c r="J56" s="4" t="inlineStr">
        <is>
          <t>Client visit</t>
        </is>
      </c>
      <c r="K56">
        <f>IF(MID(C56,6,5)&gt;="04-06",LEFT(C56,4)&amp;"-"&amp;RIGHT(LEFT(C56,4)+1,2),LEFT(C56,4)-1&amp;"-"&amp;RIGHT(LEFT(C56,4),2))</f>
        <v/>
      </c>
      <c r="L56" s="24">
        <f>H56/1.609344</f>
        <v/>
      </c>
    </row>
    <row r="57">
      <c r="A57" s="4" t="inlineStr">
        <is>
          <t>golf</t>
        </is>
      </c>
      <c r="B57" s="4" t="inlineStr">
        <is>
          <t>alex</t>
        </is>
      </c>
      <c r="C57" s="4" t="inlineStr">
        <is>
          <t>2024-11-29</t>
        </is>
      </c>
      <c r="D57" s="4" t="inlineStr">
        <is>
          <t>Leeds</t>
        </is>
      </c>
      <c r="E57" s="4" t="inlineStr">
        <is>
          <t>London</t>
        </is>
      </c>
      <c r="F57" s="4" t="inlineStr">
        <is>
          <t>yes</t>
        </is>
      </c>
      <c r="G57" s="4" t="inlineStr">
        <is>
          <t>195</t>
        </is>
      </c>
      <c r="H57" s="4" t="n">
        <v>627.644</v>
      </c>
      <c r="I57" s="4" t="inlineStr">
        <is>
          <t>yes</t>
        </is>
      </c>
      <c r="J57" s="4" t="inlineStr">
        <is>
          <t>Client visit</t>
        </is>
      </c>
      <c r="K57">
        <f>IF(MID(C57,6,5)&gt;="04-06",LEFT(C57,4)&amp;"-"&amp;RIGHT(LEFT(C57,4)+1,2),LEFT(C57,4)-1&amp;"-"&amp;RIGHT(LEFT(C57,4),2))</f>
        <v/>
      </c>
      <c r="L57" s="24">
        <f>H57/1.609344</f>
        <v/>
      </c>
    </row>
    <row r="58">
      <c r="A58" s="4" t="inlineStr">
        <is>
          <t>golf</t>
        </is>
      </c>
      <c r="B58" s="4" t="inlineStr">
        <is>
          <t>alex</t>
        </is>
      </c>
      <c r="C58" s="4" t="inlineStr">
        <is>
          <t>2024-12-05</t>
        </is>
      </c>
      <c r="D58" s="4" t="inlineStr">
        <is>
          <t>Leeds</t>
        </is>
      </c>
      <c r="E58" s="4" t="inlineStr">
        <is>
          <t>Manchester</t>
        </is>
      </c>
      <c r="F58" s="4" t="inlineStr">
        <is>
          <t>yes</t>
        </is>
      </c>
      <c r="G58" s="4" t="inlineStr">
        <is>
          <t>44</t>
        </is>
      </c>
      <c r="H58" s="4" t="n">
        <v>141.622</v>
      </c>
      <c r="I58" s="4" t="inlineStr">
        <is>
          <t>yes</t>
        </is>
      </c>
      <c r="J58" s="4" t="inlineStr">
        <is>
          <t>Client visit</t>
        </is>
      </c>
      <c r="K58">
        <f>IF(MID(C58,6,5)&gt;="04-06",LEFT(C58,4)&amp;"-"&amp;RIGHT(LEFT(C58,4)+1,2),LEFT(C58,4)-1&amp;"-"&amp;RIGHT(LEFT(C58,4),2))</f>
        <v/>
      </c>
      <c r="L58" s="24">
        <f>H58/1.609344</f>
        <v/>
      </c>
    </row>
    <row r="59">
      <c r="A59" s="4" t="inlineStr">
        <is>
          <t>golf</t>
        </is>
      </c>
      <c r="B59" s="4" t="inlineStr">
        <is>
          <t>alex</t>
        </is>
      </c>
      <c r="C59" s="4" t="inlineStr">
        <is>
          <t>2024-12-12</t>
        </is>
      </c>
      <c r="D59" s="4" t="inlineStr">
        <is>
          <t>Leeds</t>
        </is>
      </c>
      <c r="E59" s="4" t="inlineStr">
        <is>
          <t>Birmingham</t>
        </is>
      </c>
      <c r="F59" s="4" t="inlineStr">
        <is>
          <t>yes</t>
        </is>
      </c>
      <c r="G59" s="4" t="inlineStr">
        <is>
          <t>118</t>
        </is>
      </c>
      <c r="H59" s="4" t="n">
        <v>379.805</v>
      </c>
      <c r="I59" s="4" t="inlineStr">
        <is>
          <t>yes</t>
        </is>
      </c>
      <c r="J59" s="4" t="inlineStr">
        <is>
          <t>Client visit</t>
        </is>
      </c>
      <c r="K59">
        <f>IF(MID(C59,6,5)&gt;="04-06",LEFT(C59,4)&amp;"-"&amp;RIGHT(LEFT(C59,4)+1,2),LEFT(C59,4)-1&amp;"-"&amp;RIGHT(LEFT(C59,4),2))</f>
        <v/>
      </c>
      <c r="L59" s="24">
        <f>H59/1.609344</f>
        <v/>
      </c>
    </row>
    <row r="60">
      <c r="A60" s="4" t="inlineStr">
        <is>
          <t>golf</t>
        </is>
      </c>
      <c r="B60" s="4" t="inlineStr">
        <is>
          <t>alex</t>
        </is>
      </c>
      <c r="C60" s="4" t="inlineStr">
        <is>
          <t>2024-12-20</t>
        </is>
      </c>
      <c r="D60" s="4" t="inlineStr">
        <is>
          <t>Leeds</t>
        </is>
      </c>
      <c r="E60" s="4" t="inlineStr">
        <is>
          <t>Manchester</t>
        </is>
      </c>
      <c r="F60" s="4" t="inlineStr">
        <is>
          <t>yes</t>
        </is>
      </c>
      <c r="G60" s="4" t="inlineStr">
        <is>
          <t>44</t>
        </is>
      </c>
      <c r="H60" s="4" t="n">
        <v>141.622</v>
      </c>
      <c r="I60" s="4" t="inlineStr">
        <is>
          <t>yes</t>
        </is>
      </c>
      <c r="J60" s="4" t="inlineStr">
        <is>
          <t>Client visit</t>
        </is>
      </c>
      <c r="K60">
        <f>IF(MID(C60,6,5)&gt;="04-06",LEFT(C60,4)&amp;"-"&amp;RIGHT(LEFT(C60,4)+1,2),LEFT(C60,4)-1&amp;"-"&amp;RIGHT(LEFT(C60,4),2))</f>
        <v/>
      </c>
      <c r="L60" s="24">
        <f>H60/1.609344</f>
        <v/>
      </c>
    </row>
    <row r="61">
      <c r="A61" s="4" t="inlineStr">
        <is>
          <t>golf</t>
        </is>
      </c>
      <c r="B61" s="4" t="inlineStr">
        <is>
          <t>alex</t>
        </is>
      </c>
      <c r="C61" s="4" t="inlineStr">
        <is>
          <t>2025-01-08</t>
        </is>
      </c>
      <c r="D61" s="4" t="inlineStr">
        <is>
          <t>Leeds</t>
        </is>
      </c>
      <c r="E61" s="4" t="inlineStr">
        <is>
          <t>Birmingham</t>
        </is>
      </c>
      <c r="F61" s="4" t="inlineStr">
        <is>
          <t>yes</t>
        </is>
      </c>
      <c r="G61" s="4" t="inlineStr">
        <is>
          <t>118</t>
        </is>
      </c>
      <c r="H61" s="4" t="n">
        <v>379.805</v>
      </c>
      <c r="I61" s="4" t="inlineStr">
        <is>
          <t>yes</t>
        </is>
      </c>
      <c r="J61" s="4" t="inlineStr">
        <is>
          <t>Client visit</t>
        </is>
      </c>
      <c r="K61">
        <f>IF(MID(C61,6,5)&gt;="04-06",LEFT(C61,4)&amp;"-"&amp;RIGHT(LEFT(C61,4)+1,2),LEFT(C61,4)-1&amp;"-"&amp;RIGHT(LEFT(C61,4),2))</f>
        <v/>
      </c>
      <c r="L61" s="24">
        <f>H61/1.609344</f>
        <v/>
      </c>
    </row>
    <row r="62">
      <c r="A62" s="4" t="inlineStr">
        <is>
          <t>golf</t>
        </is>
      </c>
      <c r="B62" s="4" t="inlineStr">
        <is>
          <t>alex</t>
        </is>
      </c>
      <c r="C62" s="4" t="inlineStr">
        <is>
          <t>2025-01-16</t>
        </is>
      </c>
      <c r="D62" s="4" t="inlineStr">
        <is>
          <t>Leeds</t>
        </is>
      </c>
      <c r="E62" s="4" t="inlineStr">
        <is>
          <t>Birmingham</t>
        </is>
      </c>
      <c r="F62" s="4" t="inlineStr">
        <is>
          <t>yes</t>
        </is>
      </c>
      <c r="G62" s="4" t="inlineStr">
        <is>
          <t>118</t>
        </is>
      </c>
      <c r="H62" s="4" t="n">
        <v>379.805</v>
      </c>
      <c r="I62" s="4" t="inlineStr">
        <is>
          <t>yes</t>
        </is>
      </c>
      <c r="J62" s="4" t="inlineStr">
        <is>
          <t>Client visit</t>
        </is>
      </c>
      <c r="K62">
        <f>IF(MID(C62,6,5)&gt;="04-06",LEFT(C62,4)&amp;"-"&amp;RIGHT(LEFT(C62,4)+1,2),LEFT(C62,4)-1&amp;"-"&amp;RIGHT(LEFT(C62,4),2))</f>
        <v/>
      </c>
      <c r="L62" s="24">
        <f>H62/1.609344</f>
        <v/>
      </c>
    </row>
    <row r="63">
      <c r="A63" s="4" t="inlineStr">
        <is>
          <t>golf</t>
        </is>
      </c>
      <c r="B63" s="4" t="inlineStr">
        <is>
          <t>alex</t>
        </is>
      </c>
      <c r="C63" s="4" t="inlineStr">
        <is>
          <t>2025-01-23</t>
        </is>
      </c>
      <c r="D63" s="4" t="inlineStr">
        <is>
          <t>Leeds</t>
        </is>
      </c>
      <c r="E63" s="4" t="inlineStr">
        <is>
          <t>Manchester</t>
        </is>
      </c>
      <c r="F63" s="4" t="inlineStr">
        <is>
          <t>yes</t>
        </is>
      </c>
      <c r="G63" s="4" t="inlineStr">
        <is>
          <t>44</t>
        </is>
      </c>
      <c r="H63" s="4" t="n">
        <v>141.622</v>
      </c>
      <c r="I63" s="4" t="inlineStr">
        <is>
          <t>yes</t>
        </is>
      </c>
      <c r="J63" s="4" t="inlineStr">
        <is>
          <t>Client visit</t>
        </is>
      </c>
      <c r="K63">
        <f>IF(MID(C63,6,5)&gt;="04-06",LEFT(C63,4)&amp;"-"&amp;RIGHT(LEFT(C63,4)+1,2),LEFT(C63,4)-1&amp;"-"&amp;RIGHT(LEFT(C63,4),2))</f>
        <v/>
      </c>
      <c r="L63" s="24">
        <f>H63/1.609344</f>
        <v/>
      </c>
    </row>
    <row r="64">
      <c r="A64" s="4" t="inlineStr">
        <is>
          <t>golf</t>
        </is>
      </c>
      <c r="B64" s="4" t="inlineStr">
        <is>
          <t>alex</t>
        </is>
      </c>
      <c r="C64" s="4" t="inlineStr">
        <is>
          <t>2025-01-30</t>
        </is>
      </c>
      <c r="D64" s="4" t="inlineStr">
        <is>
          <t>Leeds</t>
        </is>
      </c>
      <c r="E64" s="4" t="inlineStr">
        <is>
          <t>Birmingham</t>
        </is>
      </c>
      <c r="F64" s="4" t="inlineStr">
        <is>
          <t>yes</t>
        </is>
      </c>
      <c r="G64" s="4" t="inlineStr">
        <is>
          <t>118</t>
        </is>
      </c>
      <c r="H64" s="4" t="n">
        <v>379.805</v>
      </c>
      <c r="I64" s="4" t="inlineStr">
        <is>
          <t>yes</t>
        </is>
      </c>
      <c r="J64" s="4" t="inlineStr">
        <is>
          <t>Client visit</t>
        </is>
      </c>
      <c r="K64">
        <f>IF(MID(C64,6,5)&gt;="04-06",LEFT(C64,4)&amp;"-"&amp;RIGHT(LEFT(C64,4)+1,2),LEFT(C64,4)-1&amp;"-"&amp;RIGHT(LEFT(C64,4),2))</f>
        <v/>
      </c>
      <c r="L64" s="24">
        <f>H64/1.609344</f>
        <v/>
      </c>
    </row>
    <row r="65">
      <c r="A65" s="4" t="inlineStr">
        <is>
          <t>golf</t>
        </is>
      </c>
      <c r="B65" s="4" t="inlineStr">
        <is>
          <t>alex</t>
        </is>
      </c>
      <c r="C65" s="4" t="inlineStr">
        <is>
          <t>2025-02-06</t>
        </is>
      </c>
      <c r="D65" s="4" t="inlineStr">
        <is>
          <t>Leeds</t>
        </is>
      </c>
      <c r="E65" s="4" t="inlineStr">
        <is>
          <t>Birmingham</t>
        </is>
      </c>
      <c r="F65" s="4" t="inlineStr">
        <is>
          <t>yes</t>
        </is>
      </c>
      <c r="G65" s="4" t="inlineStr">
        <is>
          <t>118</t>
        </is>
      </c>
      <c r="H65" s="4" t="n">
        <v>379.805</v>
      </c>
      <c r="I65" s="4" t="inlineStr">
        <is>
          <t>yes</t>
        </is>
      </c>
      <c r="J65" s="4" t="inlineStr">
        <is>
          <t>Client visit</t>
        </is>
      </c>
      <c r="K65">
        <f>IF(MID(C65,6,5)&gt;="04-06",LEFT(C65,4)&amp;"-"&amp;RIGHT(LEFT(C65,4)+1,2),LEFT(C65,4)-1&amp;"-"&amp;RIGHT(LEFT(C65,4),2))</f>
        <v/>
      </c>
      <c r="L65" s="24">
        <f>H65/1.609344</f>
        <v/>
      </c>
    </row>
    <row r="66">
      <c r="A66" s="4" t="inlineStr">
        <is>
          <t>golf</t>
        </is>
      </c>
      <c r="B66" s="4" t="inlineStr">
        <is>
          <t>alex</t>
        </is>
      </c>
      <c r="C66" s="4" t="inlineStr">
        <is>
          <t>2025-02-13</t>
        </is>
      </c>
      <c r="D66" s="4" t="inlineStr">
        <is>
          <t>Leeds</t>
        </is>
      </c>
      <c r="E66" s="4" t="inlineStr">
        <is>
          <t>Birmingham</t>
        </is>
      </c>
      <c r="F66" s="4" t="inlineStr">
        <is>
          <t>yes</t>
        </is>
      </c>
      <c r="G66" s="4" t="inlineStr">
        <is>
          <t>118</t>
        </is>
      </c>
      <c r="H66" s="4" t="n">
        <v>379.805</v>
      </c>
      <c r="I66" s="4" t="inlineStr">
        <is>
          <t>yes</t>
        </is>
      </c>
      <c r="J66" s="4" t="inlineStr">
        <is>
          <t>Client visit</t>
        </is>
      </c>
      <c r="K66">
        <f>IF(MID(C66,6,5)&gt;="04-06",LEFT(C66,4)&amp;"-"&amp;RIGHT(LEFT(C66,4)+1,2),LEFT(C66,4)-1&amp;"-"&amp;RIGHT(LEFT(C66,4),2))</f>
        <v/>
      </c>
      <c r="L66" s="24">
        <f>H66/1.609344</f>
        <v/>
      </c>
    </row>
    <row r="67">
      <c r="A67" s="4" t="inlineStr">
        <is>
          <t>golf</t>
        </is>
      </c>
      <c r="B67" s="4" t="inlineStr">
        <is>
          <t>alex</t>
        </is>
      </c>
      <c r="C67" s="4" t="inlineStr">
        <is>
          <t>2025-02-19</t>
        </is>
      </c>
      <c r="D67" s="4" t="inlineStr">
        <is>
          <t>Leeds</t>
        </is>
      </c>
      <c r="E67" s="4" t="inlineStr">
        <is>
          <t>Birmingham</t>
        </is>
      </c>
      <c r="F67" s="4" t="inlineStr">
        <is>
          <t>yes</t>
        </is>
      </c>
      <c r="G67" s="4" t="inlineStr">
        <is>
          <t>118</t>
        </is>
      </c>
      <c r="H67" s="4" t="n">
        <v>379.805</v>
      </c>
      <c r="I67" s="4" t="inlineStr">
        <is>
          <t>yes</t>
        </is>
      </c>
      <c r="J67" s="4" t="inlineStr">
        <is>
          <t>Client visit</t>
        </is>
      </c>
      <c r="K67">
        <f>IF(MID(C67,6,5)&gt;="04-06",LEFT(C67,4)&amp;"-"&amp;RIGHT(LEFT(C67,4)+1,2),LEFT(C67,4)-1&amp;"-"&amp;RIGHT(LEFT(C67,4),2))</f>
        <v/>
      </c>
      <c r="L67" s="24">
        <f>H67/1.609344</f>
        <v/>
      </c>
    </row>
    <row r="68">
      <c r="A68" s="4" t="inlineStr">
        <is>
          <t>golf</t>
        </is>
      </c>
      <c r="B68" s="4" t="inlineStr">
        <is>
          <t>alex</t>
        </is>
      </c>
      <c r="C68" s="4" t="inlineStr">
        <is>
          <t>2025-02-25</t>
        </is>
      </c>
      <c r="D68" s="4" t="inlineStr">
        <is>
          <t>Leeds</t>
        </is>
      </c>
      <c r="E68" s="4" t="inlineStr">
        <is>
          <t>Manchester</t>
        </is>
      </c>
      <c r="F68" s="4" t="inlineStr">
        <is>
          <t>yes</t>
        </is>
      </c>
      <c r="G68" s="4" t="inlineStr">
        <is>
          <t>44</t>
        </is>
      </c>
      <c r="H68" s="4" t="n">
        <v>141.622</v>
      </c>
      <c r="I68" s="4" t="inlineStr">
        <is>
          <t>yes</t>
        </is>
      </c>
      <c r="J68" s="4" t="inlineStr">
        <is>
          <t>Client visit</t>
        </is>
      </c>
      <c r="K68">
        <f>IF(MID(C68,6,5)&gt;="04-06",LEFT(C68,4)&amp;"-"&amp;RIGHT(LEFT(C68,4)+1,2),LEFT(C68,4)-1&amp;"-"&amp;RIGHT(LEFT(C68,4),2))</f>
        <v/>
      </c>
      <c r="L68" s="24">
        <f>H68/1.609344</f>
        <v/>
      </c>
    </row>
    <row r="69">
      <c r="A69" s="4" t="inlineStr">
        <is>
          <t>golf</t>
        </is>
      </c>
      <c r="B69" s="4" t="inlineStr">
        <is>
          <t>alex</t>
        </is>
      </c>
      <c r="C69" s="4" t="inlineStr">
        <is>
          <t>2025-03-04</t>
        </is>
      </c>
      <c r="D69" s="4" t="inlineStr">
        <is>
          <t>Leeds</t>
        </is>
      </c>
      <c r="E69" s="4" t="inlineStr">
        <is>
          <t>Birmingham</t>
        </is>
      </c>
      <c r="F69" s="4" t="inlineStr">
        <is>
          <t>yes</t>
        </is>
      </c>
      <c r="G69" s="4" t="inlineStr">
        <is>
          <t>118</t>
        </is>
      </c>
      <c r="H69" s="4" t="n">
        <v>379.805</v>
      </c>
      <c r="I69" s="4" t="inlineStr">
        <is>
          <t>yes</t>
        </is>
      </c>
      <c r="J69" s="4" t="inlineStr">
        <is>
          <t>Client visit</t>
        </is>
      </c>
      <c r="K69">
        <f>IF(MID(C69,6,5)&gt;="04-06",LEFT(C69,4)&amp;"-"&amp;RIGHT(LEFT(C69,4)+1,2),LEFT(C69,4)-1&amp;"-"&amp;RIGHT(LEFT(C69,4),2))</f>
        <v/>
      </c>
      <c r="L69" s="24">
        <f>H69/1.609344</f>
        <v/>
      </c>
    </row>
    <row r="70">
      <c r="A70" s="4" t="inlineStr">
        <is>
          <t>golf</t>
        </is>
      </c>
      <c r="B70" s="4" t="inlineStr">
        <is>
          <t>alex</t>
        </is>
      </c>
      <c r="C70" s="4" t="inlineStr">
        <is>
          <t>2025-03-13</t>
        </is>
      </c>
      <c r="D70" s="4" t="inlineStr">
        <is>
          <t>Leeds</t>
        </is>
      </c>
      <c r="E70" s="4" t="inlineStr">
        <is>
          <t>Birmingham</t>
        </is>
      </c>
      <c r="F70" s="4" t="inlineStr">
        <is>
          <t>yes</t>
        </is>
      </c>
      <c r="G70" s="4" t="inlineStr">
        <is>
          <t>118</t>
        </is>
      </c>
      <c r="H70" s="4" t="n">
        <v>379.805</v>
      </c>
      <c r="I70" s="4" t="inlineStr">
        <is>
          <t>yes</t>
        </is>
      </c>
      <c r="J70" s="4" t="inlineStr">
        <is>
          <t>Client visit</t>
        </is>
      </c>
      <c r="K70">
        <f>IF(MID(C70,6,5)&gt;="04-06",LEFT(C70,4)&amp;"-"&amp;RIGHT(LEFT(C70,4)+1,2),LEFT(C70,4)-1&amp;"-"&amp;RIGHT(LEFT(C70,4),2))</f>
        <v/>
      </c>
      <c r="L70" s="24">
        <f>H70/1.609344</f>
        <v/>
      </c>
    </row>
    <row r="71">
      <c r="A71" s="4" t="inlineStr">
        <is>
          <t>golf</t>
        </is>
      </c>
      <c r="B71" s="4" t="inlineStr">
        <is>
          <t>alex</t>
        </is>
      </c>
      <c r="C71" s="4" t="inlineStr">
        <is>
          <t>2025-03-19</t>
        </is>
      </c>
      <c r="D71" s="4" t="inlineStr">
        <is>
          <t>Leeds</t>
        </is>
      </c>
      <c r="E71" s="4" t="inlineStr">
        <is>
          <t>Manchester</t>
        </is>
      </c>
      <c r="F71" s="4" t="inlineStr">
        <is>
          <t>yes</t>
        </is>
      </c>
      <c r="G71" s="4" t="inlineStr">
        <is>
          <t>44</t>
        </is>
      </c>
      <c r="H71" s="4" t="n">
        <v>141.622</v>
      </c>
      <c r="I71" s="4" t="inlineStr">
        <is>
          <t>yes</t>
        </is>
      </c>
      <c r="J71" s="4" t="inlineStr">
        <is>
          <t>Client visit</t>
        </is>
      </c>
      <c r="K71">
        <f>IF(MID(C71,6,5)&gt;="04-06",LEFT(C71,4)&amp;"-"&amp;RIGHT(LEFT(C71,4)+1,2),LEFT(C71,4)-1&amp;"-"&amp;RIGHT(LEFT(C71,4),2))</f>
        <v/>
      </c>
      <c r="L71" s="24">
        <f>H71/1.609344</f>
        <v/>
      </c>
    </row>
    <row r="72">
      <c r="A72" s="4" t="inlineStr">
        <is>
          <t>golf</t>
        </is>
      </c>
      <c r="B72" s="4" t="inlineStr">
        <is>
          <t>alex</t>
        </is>
      </c>
      <c r="C72" s="4" t="inlineStr">
        <is>
          <t>2025-03-26</t>
        </is>
      </c>
      <c r="D72" s="4" t="inlineStr">
        <is>
          <t>Leeds</t>
        </is>
      </c>
      <c r="E72" s="4" t="inlineStr">
        <is>
          <t>Birmingham</t>
        </is>
      </c>
      <c r="F72" s="4" t="inlineStr">
        <is>
          <t>yes</t>
        </is>
      </c>
      <c r="G72" s="4" t="inlineStr">
        <is>
          <t>118</t>
        </is>
      </c>
      <c r="H72" s="4" t="n">
        <v>379.805</v>
      </c>
      <c r="I72" s="4" t="inlineStr">
        <is>
          <t>yes</t>
        </is>
      </c>
      <c r="J72" s="4" t="inlineStr">
        <is>
          <t>Client visit</t>
        </is>
      </c>
      <c r="K72">
        <f>IF(MID(C72,6,5)&gt;="04-06",LEFT(C72,4)&amp;"-"&amp;RIGHT(LEFT(C72,4)+1,2),LEFT(C72,4)-1&amp;"-"&amp;RIGHT(LEFT(C72,4),2))</f>
        <v/>
      </c>
      <c r="L72" s="24">
        <f>H72/1.609344</f>
        <v/>
      </c>
    </row>
    <row r="73">
      <c r="A73" s="4" t="inlineStr">
        <is>
          <t>golf</t>
        </is>
      </c>
      <c r="B73" s="4" t="inlineStr">
        <is>
          <t>alex</t>
        </is>
      </c>
      <c r="C73" s="4" t="inlineStr">
        <is>
          <t>2025-04-04</t>
        </is>
      </c>
      <c r="D73" s="4" t="inlineStr">
        <is>
          <t>Leeds</t>
        </is>
      </c>
      <c r="E73" s="4" t="inlineStr">
        <is>
          <t>Birmingham</t>
        </is>
      </c>
      <c r="F73" s="4" t="inlineStr">
        <is>
          <t>yes</t>
        </is>
      </c>
      <c r="G73" s="4" t="inlineStr">
        <is>
          <t>118</t>
        </is>
      </c>
      <c r="H73" s="4" t="n">
        <v>379.805</v>
      </c>
      <c r="I73" s="4" t="inlineStr">
        <is>
          <t>yes</t>
        </is>
      </c>
      <c r="J73" s="4" t="inlineStr">
        <is>
          <t>Client visit</t>
        </is>
      </c>
      <c r="K73">
        <f>IF(MID(C73,6,5)&gt;="04-06",LEFT(C73,4)&amp;"-"&amp;RIGHT(LEFT(C73,4)+1,2),LEFT(C73,4)-1&amp;"-"&amp;RIGHT(LEFT(C73,4),2))</f>
        <v/>
      </c>
      <c r="L73" s="24">
        <f>H73/1.609344</f>
        <v/>
      </c>
    </row>
    <row r="74">
      <c r="A74" s="4" t="inlineStr">
        <is>
          <t>golf</t>
        </is>
      </c>
      <c r="B74" s="4" t="inlineStr">
        <is>
          <t>alex</t>
        </is>
      </c>
      <c r="C74" s="4" t="inlineStr">
        <is>
          <t>2025-04-05</t>
        </is>
      </c>
      <c r="D74" s="4" t="inlineStr">
        <is>
          <t>Leeds</t>
        </is>
      </c>
      <c r="E74" s="4" t="inlineStr">
        <is>
          <t>York</t>
        </is>
      </c>
      <c r="F74" s="4" t="inlineStr">
        <is>
          <t>yes</t>
        </is>
      </c>
      <c r="G74" s="4" t="inlineStr">
        <is>
          <t>25</t>
        </is>
      </c>
      <c r="H74" s="4" t="n">
        <v>80.467</v>
      </c>
      <c r="I74" s="4" t="inlineStr">
        <is>
          <t>yes</t>
        </is>
      </c>
      <c r="J74" s="4" t="inlineStr">
        <is>
          <t>Saturday site visit (tax year 2024–25)</t>
        </is>
      </c>
      <c r="K74">
        <f>IF(MID(C74,6,5)&gt;="04-06",LEFT(C74,4)&amp;"-"&amp;RIGHT(LEFT(C74,4)+1,2),LEFT(C74,4)-1&amp;"-"&amp;RIGHT(LEFT(C74,4),2))</f>
        <v/>
      </c>
      <c r="L74" s="24">
        <f>H74/1.609344</f>
        <v/>
      </c>
    </row>
    <row r="75">
      <c r="A75" s="4" t="inlineStr">
        <is>
          <t>golf</t>
        </is>
      </c>
      <c r="B75" s="4" t="inlineStr">
        <is>
          <t>alex</t>
        </is>
      </c>
      <c r="C75" s="4" t="inlineStr">
        <is>
          <t>2025-04-06</t>
        </is>
      </c>
      <c r="D75" s="4" t="inlineStr">
        <is>
          <t>Leeds</t>
        </is>
      </c>
      <c r="E75" s="4" t="inlineStr">
        <is>
          <t>York</t>
        </is>
      </c>
      <c r="F75" s="4" t="inlineStr">
        <is>
          <t>yes</t>
        </is>
      </c>
      <c r="G75" s="4" t="inlineStr">
        <is>
          <t>25</t>
        </is>
      </c>
      <c r="H75" s="4" t="n">
        <v>80.467</v>
      </c>
      <c r="I75" s="4" t="inlineStr">
        <is>
          <t>yes</t>
        </is>
      </c>
      <c r="J75" s="4" t="inlineStr">
        <is>
          <t>Sunday site visit (tax year 2025–26)</t>
        </is>
      </c>
      <c r="K75">
        <f>IF(MID(C75,6,5)&gt;="04-06",LEFT(C75,4)&amp;"-"&amp;RIGHT(LEFT(C75,4)+1,2),LEFT(C75,4)-1&amp;"-"&amp;RIGHT(LEFT(C75,4),2))</f>
        <v/>
      </c>
      <c r="L75" s="24">
        <f>H75/1.609344</f>
        <v/>
      </c>
    </row>
    <row r="76">
      <c r="A76" s="4" t="inlineStr">
        <is>
          <t>golf</t>
        </is>
      </c>
      <c r="B76" s="4" t="inlineStr">
        <is>
          <t>alex</t>
        </is>
      </c>
      <c r="C76" s="4" t="inlineStr">
        <is>
          <t>2025-04-11</t>
        </is>
      </c>
      <c r="D76" s="4" t="inlineStr">
        <is>
          <t>Leeds</t>
        </is>
      </c>
      <c r="E76" s="4" t="inlineStr">
        <is>
          <t>Birmingham</t>
        </is>
      </c>
      <c r="F76" s="4" t="inlineStr">
        <is>
          <t>yes</t>
        </is>
      </c>
      <c r="G76" s="4" t="inlineStr">
        <is>
          <t>118</t>
        </is>
      </c>
      <c r="H76" s="4" t="n">
        <v>379.805</v>
      </c>
      <c r="I76" s="4" t="inlineStr">
        <is>
          <t>yes</t>
        </is>
      </c>
      <c r="J76" s="4" t="inlineStr">
        <is>
          <t>Client visit</t>
        </is>
      </c>
      <c r="K76">
        <f>IF(MID(C76,6,5)&gt;="04-06",LEFT(C76,4)&amp;"-"&amp;RIGHT(LEFT(C76,4)+1,2),LEFT(C76,4)-1&amp;"-"&amp;RIGHT(LEFT(C76,4),2))</f>
        <v/>
      </c>
      <c r="L76" s="24">
        <f>H76/1.609344</f>
        <v/>
      </c>
    </row>
    <row r="77">
      <c r="A77" s="4" t="inlineStr">
        <is>
          <t>golf</t>
        </is>
      </c>
      <c r="B77" s="4" t="inlineStr">
        <is>
          <t>alex</t>
        </is>
      </c>
      <c r="C77" s="4" t="inlineStr">
        <is>
          <t>2025-04-16</t>
        </is>
      </c>
      <c r="D77" s="4" t="inlineStr">
        <is>
          <t>Leeds</t>
        </is>
      </c>
      <c r="E77" s="4" t="inlineStr">
        <is>
          <t>Birmingham</t>
        </is>
      </c>
      <c r="F77" s="4" t="inlineStr">
        <is>
          <t>yes</t>
        </is>
      </c>
      <c r="G77" s="4" t="inlineStr">
        <is>
          <t>118</t>
        </is>
      </c>
      <c r="H77" s="4" t="n">
        <v>379.805</v>
      </c>
      <c r="I77" s="4" t="inlineStr">
        <is>
          <t>yes</t>
        </is>
      </c>
      <c r="J77" s="4" t="inlineStr">
        <is>
          <t>Client visit</t>
        </is>
      </c>
      <c r="K77">
        <f>IF(MID(C77,6,5)&gt;="04-06",LEFT(C77,4)&amp;"-"&amp;RIGHT(LEFT(C77,4)+1,2),LEFT(C77,4)-1&amp;"-"&amp;RIGHT(LEFT(C77,4),2))</f>
        <v/>
      </c>
      <c r="L77" s="24">
        <f>H77/1.609344</f>
        <v/>
      </c>
    </row>
    <row r="78">
      <c r="A78" s="4" t="inlineStr">
        <is>
          <t>golf</t>
        </is>
      </c>
      <c r="B78" s="4" t="inlineStr">
        <is>
          <t>alex</t>
        </is>
      </c>
      <c r="C78" s="4" t="inlineStr">
        <is>
          <t>2025-04-22</t>
        </is>
      </c>
      <c r="D78" s="4" t="inlineStr">
        <is>
          <t>Leeds</t>
        </is>
      </c>
      <c r="E78" s="4" t="inlineStr">
        <is>
          <t>Birmingham</t>
        </is>
      </c>
      <c r="F78" s="4" t="inlineStr">
        <is>
          <t>yes</t>
        </is>
      </c>
      <c r="G78" s="4" t="inlineStr">
        <is>
          <t>118</t>
        </is>
      </c>
      <c r="H78" s="4" t="n">
        <v>379.805</v>
      </c>
      <c r="I78" s="4" t="inlineStr">
        <is>
          <t>yes</t>
        </is>
      </c>
      <c r="J78" s="4" t="inlineStr">
        <is>
          <t>Client visit</t>
        </is>
      </c>
      <c r="K78">
        <f>IF(MID(C78,6,5)&gt;="04-06",LEFT(C78,4)&amp;"-"&amp;RIGHT(LEFT(C78,4)+1,2),LEFT(C78,4)-1&amp;"-"&amp;RIGHT(LEFT(C78,4),2))</f>
        <v/>
      </c>
      <c r="L78" s="24">
        <f>H78/1.609344</f>
        <v/>
      </c>
    </row>
    <row r="79">
      <c r="A79" s="4" t="inlineStr">
        <is>
          <t>golf</t>
        </is>
      </c>
      <c r="B79" s="4" t="inlineStr">
        <is>
          <t>alex</t>
        </is>
      </c>
      <c r="C79" s="4" t="inlineStr">
        <is>
          <t>2025-05-01</t>
        </is>
      </c>
      <c r="D79" s="4" t="inlineStr">
        <is>
          <t>Leeds</t>
        </is>
      </c>
      <c r="E79" s="4" t="inlineStr">
        <is>
          <t>Birmingham</t>
        </is>
      </c>
      <c r="F79" s="4" t="inlineStr">
        <is>
          <t>yes</t>
        </is>
      </c>
      <c r="G79" s="4" t="inlineStr">
        <is>
          <t>118</t>
        </is>
      </c>
      <c r="H79" s="4" t="n">
        <v>379.805</v>
      </c>
      <c r="I79" s="4" t="inlineStr">
        <is>
          <t>yes</t>
        </is>
      </c>
      <c r="J79" s="4" t="inlineStr">
        <is>
          <t>Client visit</t>
        </is>
      </c>
      <c r="K79">
        <f>IF(MID(C79,6,5)&gt;="04-06",LEFT(C79,4)&amp;"-"&amp;RIGHT(LEFT(C79,4)+1,2),LEFT(C79,4)-1&amp;"-"&amp;RIGHT(LEFT(C79,4),2))</f>
        <v/>
      </c>
      <c r="L79" s="24">
        <f>H79/1.609344</f>
        <v/>
      </c>
    </row>
    <row r="80">
      <c r="A80" s="4" t="inlineStr">
        <is>
          <t>golf</t>
        </is>
      </c>
      <c r="B80" s="4" t="inlineStr">
        <is>
          <t>alex</t>
        </is>
      </c>
      <c r="C80" s="4" t="inlineStr">
        <is>
          <t>2025-05-09</t>
        </is>
      </c>
      <c r="D80" s="4" t="inlineStr">
        <is>
          <t>Leeds</t>
        </is>
      </c>
      <c r="E80" s="4" t="inlineStr">
        <is>
          <t>Manchester</t>
        </is>
      </c>
      <c r="F80" s="4" t="inlineStr">
        <is>
          <t>yes</t>
        </is>
      </c>
      <c r="G80" s="4" t="inlineStr">
        <is>
          <t>44</t>
        </is>
      </c>
      <c r="H80" s="4" t="n">
        <v>141.622</v>
      </c>
      <c r="I80" s="4" t="inlineStr">
        <is>
          <t>yes</t>
        </is>
      </c>
      <c r="J80" s="4" t="inlineStr">
        <is>
          <t>Client visit</t>
        </is>
      </c>
      <c r="K80">
        <f>IF(MID(C80,6,5)&gt;="04-06",LEFT(C80,4)&amp;"-"&amp;RIGHT(LEFT(C80,4)+1,2),LEFT(C80,4)-1&amp;"-"&amp;RIGHT(LEFT(C80,4),2))</f>
        <v/>
      </c>
      <c r="L80" s="24">
        <f>H80/1.609344</f>
        <v/>
      </c>
    </row>
    <row r="81">
      <c r="A81" s="4" t="inlineStr">
        <is>
          <t>golf</t>
        </is>
      </c>
      <c r="B81" s="4" t="inlineStr">
        <is>
          <t>alex</t>
        </is>
      </c>
      <c r="C81" s="4" t="inlineStr">
        <is>
          <t>2025-05-15</t>
        </is>
      </c>
      <c r="D81" s="4" t="inlineStr">
        <is>
          <t>Leeds</t>
        </is>
      </c>
      <c r="E81" s="4" t="inlineStr">
        <is>
          <t>Birmingham</t>
        </is>
      </c>
      <c r="F81" s="4" t="inlineStr">
        <is>
          <t>yes</t>
        </is>
      </c>
      <c r="G81" s="4" t="inlineStr">
        <is>
          <t>118</t>
        </is>
      </c>
      <c r="H81" s="4" t="n">
        <v>379.805</v>
      </c>
      <c r="I81" s="4" t="inlineStr">
        <is>
          <t>yes</t>
        </is>
      </c>
      <c r="J81" s="4" t="inlineStr">
        <is>
          <t>Client visit</t>
        </is>
      </c>
      <c r="K81">
        <f>IF(MID(C81,6,5)&gt;="04-06",LEFT(C81,4)&amp;"-"&amp;RIGHT(LEFT(C81,4)+1,2),LEFT(C81,4)-1&amp;"-"&amp;RIGHT(LEFT(C81,4),2))</f>
        <v/>
      </c>
      <c r="L81" s="24">
        <f>H81/1.609344</f>
        <v/>
      </c>
    </row>
    <row r="82">
      <c r="A82" s="4" t="inlineStr">
        <is>
          <t>golf</t>
        </is>
      </c>
      <c r="B82" s="4" t="inlineStr">
        <is>
          <t>alex</t>
        </is>
      </c>
      <c r="C82" s="4" t="inlineStr">
        <is>
          <t>2025-05-23</t>
        </is>
      </c>
      <c r="D82" s="4" t="inlineStr">
        <is>
          <t>Leeds</t>
        </is>
      </c>
      <c r="E82" s="4" t="inlineStr">
        <is>
          <t>Birmingham</t>
        </is>
      </c>
      <c r="F82" s="4" t="inlineStr">
        <is>
          <t>yes</t>
        </is>
      </c>
      <c r="G82" s="4" t="inlineStr">
        <is>
          <t>118</t>
        </is>
      </c>
      <c r="H82" s="4" t="n">
        <v>379.805</v>
      </c>
      <c r="I82" s="4" t="inlineStr">
        <is>
          <t>yes</t>
        </is>
      </c>
      <c r="J82" s="4" t="inlineStr">
        <is>
          <t>Client visit</t>
        </is>
      </c>
      <c r="K82">
        <f>IF(MID(C82,6,5)&gt;="04-06",LEFT(C82,4)&amp;"-"&amp;RIGHT(LEFT(C82,4)+1,2),LEFT(C82,4)-1&amp;"-"&amp;RIGHT(LEFT(C82,4),2))</f>
        <v/>
      </c>
      <c r="L82" s="24">
        <f>H82/1.609344</f>
        <v/>
      </c>
    </row>
    <row r="83">
      <c r="A83" s="4" t="inlineStr">
        <is>
          <t>golf</t>
        </is>
      </c>
      <c r="B83" s="4" t="inlineStr">
        <is>
          <t>alex</t>
        </is>
      </c>
      <c r="C83" s="4" t="inlineStr">
        <is>
          <t>2025-05-30</t>
        </is>
      </c>
      <c r="D83" s="4" t="inlineStr">
        <is>
          <t>Leeds</t>
        </is>
      </c>
      <c r="E83" s="4" t="inlineStr">
        <is>
          <t>Manchester</t>
        </is>
      </c>
      <c r="F83" s="4" t="inlineStr">
        <is>
          <t>yes</t>
        </is>
      </c>
      <c r="G83" s="4" t="inlineStr">
        <is>
          <t>44</t>
        </is>
      </c>
      <c r="H83" s="4" t="n">
        <v>141.622</v>
      </c>
      <c r="I83" s="4" t="inlineStr">
        <is>
          <t>yes</t>
        </is>
      </c>
      <c r="J83" s="4" t="inlineStr">
        <is>
          <t>Client visit</t>
        </is>
      </c>
      <c r="K83">
        <f>IF(MID(C83,6,5)&gt;="04-06",LEFT(C83,4)&amp;"-"&amp;RIGHT(LEFT(C83,4)+1,2),LEFT(C83,4)-1&amp;"-"&amp;RIGHT(LEFT(C83,4),2))</f>
        <v/>
      </c>
      <c r="L83" s="24">
        <f>H83/1.609344</f>
        <v/>
      </c>
    </row>
    <row r="84">
      <c r="A84" s="4" t="inlineStr">
        <is>
          <t>golf</t>
        </is>
      </c>
      <c r="B84" s="4" t="inlineStr">
        <is>
          <t>alex</t>
        </is>
      </c>
      <c r="C84" s="4" t="inlineStr">
        <is>
          <t>2025-06-06</t>
        </is>
      </c>
      <c r="D84" s="4" t="inlineStr">
        <is>
          <t>Leeds</t>
        </is>
      </c>
      <c r="E84" s="4" t="inlineStr">
        <is>
          <t>London</t>
        </is>
      </c>
      <c r="F84" s="4" t="inlineStr">
        <is>
          <t>yes</t>
        </is>
      </c>
      <c r="G84" s="4" t="inlineStr">
        <is>
          <t>195</t>
        </is>
      </c>
      <c r="H84" s="4" t="n">
        <v>627.644</v>
      </c>
      <c r="I84" s="4" t="inlineStr">
        <is>
          <t>yes</t>
        </is>
      </c>
      <c r="J84" s="4" t="inlineStr">
        <is>
          <t>Client visit</t>
        </is>
      </c>
      <c r="K84">
        <f>IF(MID(C84,6,5)&gt;="04-06",LEFT(C84,4)&amp;"-"&amp;RIGHT(LEFT(C84,4)+1,2),LEFT(C84,4)-1&amp;"-"&amp;RIGHT(LEFT(C84,4),2))</f>
        <v/>
      </c>
      <c r="L84" s="24">
        <f>H84/1.609344</f>
        <v/>
      </c>
    </row>
    <row r="85">
      <c r="A85" s="4" t="inlineStr">
        <is>
          <t>golf</t>
        </is>
      </c>
      <c r="B85" s="4" t="inlineStr">
        <is>
          <t>alex</t>
        </is>
      </c>
      <c r="C85" s="4" t="inlineStr">
        <is>
          <t>2025-06-10</t>
        </is>
      </c>
      <c r="D85" s="4" t="inlineStr">
        <is>
          <t>Leeds</t>
        </is>
      </c>
      <c r="E85" s="4" t="inlineStr">
        <is>
          <t>Newcastle</t>
        </is>
      </c>
      <c r="F85" s="4" t="inlineStr">
        <is>
          <t>yes</t>
        </is>
      </c>
      <c r="G85" s="4" t="inlineStr">
        <is>
          <t>95</t>
        </is>
      </c>
      <c r="H85" s="4" t="n">
        <v>305.775</v>
      </c>
      <c r="I85" s="4" t="inlineStr">
        <is>
          <t>yes</t>
        </is>
      </c>
      <c r="J85" s="4" t="inlineStr">
        <is>
          <t>Client visit</t>
        </is>
      </c>
      <c r="K85">
        <f>IF(MID(C85,6,5)&gt;="04-06",LEFT(C85,4)&amp;"-"&amp;RIGHT(LEFT(C85,4)+1,2),LEFT(C85,4)-1&amp;"-"&amp;RIGHT(LEFT(C85,4),2))</f>
        <v/>
      </c>
      <c r="L85" s="24">
        <f>H85/1.609344</f>
        <v/>
      </c>
    </row>
    <row r="86">
      <c r="A86" s="4" t="inlineStr">
        <is>
          <t>golf</t>
        </is>
      </c>
      <c r="B86" s="4" t="inlineStr">
        <is>
          <t>alex</t>
        </is>
      </c>
      <c r="C86" s="4" t="inlineStr">
        <is>
          <t>2025-06-17</t>
        </is>
      </c>
      <c r="D86" s="4" t="inlineStr">
        <is>
          <t>Leeds</t>
        </is>
      </c>
      <c r="E86" s="4" t="inlineStr">
        <is>
          <t>Birmingham</t>
        </is>
      </c>
      <c r="F86" s="4" t="inlineStr">
        <is>
          <t>yes</t>
        </is>
      </c>
      <c r="G86" s="4" t="inlineStr">
        <is>
          <t>118</t>
        </is>
      </c>
      <c r="H86" s="4" t="n">
        <v>379.805</v>
      </c>
      <c r="I86" s="4" t="inlineStr">
        <is>
          <t>yes</t>
        </is>
      </c>
      <c r="J86" s="4" t="inlineStr">
        <is>
          <t>Client visit</t>
        </is>
      </c>
      <c r="K86">
        <f>IF(MID(C86,6,5)&gt;="04-06",LEFT(C86,4)&amp;"-"&amp;RIGHT(LEFT(C86,4)+1,2),LEFT(C86,4)-1&amp;"-"&amp;RIGHT(LEFT(C86,4),2))</f>
        <v/>
      </c>
      <c r="L86" s="24">
        <f>H86/1.609344</f>
        <v/>
      </c>
    </row>
    <row r="87">
      <c r="A87" s="4" t="inlineStr">
        <is>
          <t>golf</t>
        </is>
      </c>
      <c r="B87" s="4" t="inlineStr">
        <is>
          <t>alex</t>
        </is>
      </c>
      <c r="C87" s="4" t="inlineStr">
        <is>
          <t>2025-06-27</t>
        </is>
      </c>
      <c r="D87" s="4" t="inlineStr">
        <is>
          <t>Leeds</t>
        </is>
      </c>
      <c r="E87" s="4" t="inlineStr">
        <is>
          <t>Birmingham</t>
        </is>
      </c>
      <c r="F87" s="4" t="inlineStr">
        <is>
          <t>yes</t>
        </is>
      </c>
      <c r="G87" s="4" t="inlineStr">
        <is>
          <t>118</t>
        </is>
      </c>
      <c r="H87" s="4" t="n">
        <v>379.805</v>
      </c>
      <c r="I87" s="4" t="inlineStr">
        <is>
          <t>yes</t>
        </is>
      </c>
      <c r="J87" s="4" t="inlineStr">
        <is>
          <t>Client visit</t>
        </is>
      </c>
      <c r="K87">
        <f>IF(MID(C87,6,5)&gt;="04-06",LEFT(C87,4)&amp;"-"&amp;RIGHT(LEFT(C87,4)+1,2),LEFT(C87,4)-1&amp;"-"&amp;RIGHT(LEFT(C87,4),2))</f>
        <v/>
      </c>
      <c r="L87" s="24">
        <f>H87/1.609344</f>
        <v/>
      </c>
    </row>
    <row r="88">
      <c r="A88" s="4" t="inlineStr">
        <is>
          <t>golf</t>
        </is>
      </c>
      <c r="B88" s="4" t="inlineStr">
        <is>
          <t>alex</t>
        </is>
      </c>
      <c r="C88" s="4" t="inlineStr">
        <is>
          <t>2025-07-04</t>
        </is>
      </c>
      <c r="D88" s="4" t="inlineStr">
        <is>
          <t>Leeds</t>
        </is>
      </c>
      <c r="E88" s="4" t="inlineStr">
        <is>
          <t>Birmingham</t>
        </is>
      </c>
      <c r="F88" s="4" t="inlineStr">
        <is>
          <t>yes</t>
        </is>
      </c>
      <c r="G88" s="4" t="inlineStr">
        <is>
          <t>118</t>
        </is>
      </c>
      <c r="H88" s="4" t="n">
        <v>379.805</v>
      </c>
      <c r="I88" s="4" t="inlineStr">
        <is>
          <t>yes</t>
        </is>
      </c>
      <c r="J88" s="4" t="inlineStr">
        <is>
          <t>Client visit</t>
        </is>
      </c>
      <c r="K88">
        <f>IF(MID(C88,6,5)&gt;="04-06",LEFT(C88,4)&amp;"-"&amp;RIGHT(LEFT(C88,4)+1,2),LEFT(C88,4)-1&amp;"-"&amp;RIGHT(LEFT(C88,4),2))</f>
        <v/>
      </c>
      <c r="L88" s="24">
        <f>H88/1.609344</f>
        <v/>
      </c>
    </row>
    <row r="89">
      <c r="A89" s="4" t="inlineStr">
        <is>
          <t>golf</t>
        </is>
      </c>
      <c r="B89" s="4" t="inlineStr">
        <is>
          <t>alex</t>
        </is>
      </c>
      <c r="C89" s="4" t="inlineStr">
        <is>
          <t>2025-07-10</t>
        </is>
      </c>
      <c r="D89" s="4" t="inlineStr">
        <is>
          <t>Leeds</t>
        </is>
      </c>
      <c r="E89" s="4" t="inlineStr">
        <is>
          <t>Birmingham</t>
        </is>
      </c>
      <c r="F89" s="4" t="inlineStr">
        <is>
          <t>yes</t>
        </is>
      </c>
      <c r="G89" s="4" t="inlineStr">
        <is>
          <t>118</t>
        </is>
      </c>
      <c r="H89" s="4" t="n">
        <v>379.805</v>
      </c>
      <c r="I89" s="4" t="inlineStr">
        <is>
          <t>yes</t>
        </is>
      </c>
      <c r="J89" s="4" t="inlineStr">
        <is>
          <t>Client visit</t>
        </is>
      </c>
      <c r="K89">
        <f>IF(MID(C89,6,5)&gt;="04-06",LEFT(C89,4)&amp;"-"&amp;RIGHT(LEFT(C89,4)+1,2),LEFT(C89,4)-1&amp;"-"&amp;RIGHT(LEFT(C89,4),2))</f>
        <v/>
      </c>
      <c r="L89" s="24">
        <f>H89/1.609344</f>
        <v/>
      </c>
    </row>
    <row r="90">
      <c r="A90" s="4" t="inlineStr">
        <is>
          <t>golf</t>
        </is>
      </c>
      <c r="B90" s="4" t="inlineStr">
        <is>
          <t>alex</t>
        </is>
      </c>
      <c r="C90" s="4" t="inlineStr">
        <is>
          <t>2025-07-18</t>
        </is>
      </c>
      <c r="D90" s="4" t="inlineStr">
        <is>
          <t>Leeds</t>
        </is>
      </c>
      <c r="E90" s="4" t="inlineStr">
        <is>
          <t>Birmingham</t>
        </is>
      </c>
      <c r="F90" s="4" t="inlineStr">
        <is>
          <t>yes</t>
        </is>
      </c>
      <c r="G90" s="4" t="inlineStr">
        <is>
          <t>118</t>
        </is>
      </c>
      <c r="H90" s="4" t="n">
        <v>379.805</v>
      </c>
      <c r="I90" s="4" t="inlineStr">
        <is>
          <t>yes</t>
        </is>
      </c>
      <c r="J90" s="4" t="inlineStr">
        <is>
          <t>Client visit</t>
        </is>
      </c>
      <c r="K90">
        <f>IF(MID(C90,6,5)&gt;="04-06",LEFT(C90,4)&amp;"-"&amp;RIGHT(LEFT(C90,4)+1,2),LEFT(C90,4)-1&amp;"-"&amp;RIGHT(LEFT(C90,4),2))</f>
        <v/>
      </c>
      <c r="L90" s="24">
        <f>H90/1.609344</f>
        <v/>
      </c>
    </row>
    <row r="91">
      <c r="A91" s="4" t="inlineStr">
        <is>
          <t>golf</t>
        </is>
      </c>
      <c r="B91" s="4" t="inlineStr">
        <is>
          <t>alex</t>
        </is>
      </c>
      <c r="C91" s="4" t="inlineStr">
        <is>
          <t>2025-07-25</t>
        </is>
      </c>
      <c r="D91" s="4" t="inlineStr">
        <is>
          <t>Leeds</t>
        </is>
      </c>
      <c r="E91" s="4" t="inlineStr">
        <is>
          <t>Birmingham</t>
        </is>
      </c>
      <c r="F91" s="4" t="inlineStr">
        <is>
          <t>yes</t>
        </is>
      </c>
      <c r="G91" s="4" t="inlineStr">
        <is>
          <t>118</t>
        </is>
      </c>
      <c r="H91" s="4" t="n">
        <v>379.805</v>
      </c>
      <c r="I91" s="4" t="inlineStr">
        <is>
          <t>yes</t>
        </is>
      </c>
      <c r="J91" s="4" t="inlineStr">
        <is>
          <t>Client visit</t>
        </is>
      </c>
      <c r="K91">
        <f>IF(MID(C91,6,5)&gt;="04-06",LEFT(C91,4)&amp;"-"&amp;RIGHT(LEFT(C91,4)+1,2),LEFT(C91,4)-1&amp;"-"&amp;RIGHT(LEFT(C91,4),2))</f>
        <v/>
      </c>
      <c r="L91" s="24">
        <f>H91/1.609344</f>
        <v/>
      </c>
    </row>
    <row r="92">
      <c r="A92" s="4" t="inlineStr">
        <is>
          <t>golf</t>
        </is>
      </c>
      <c r="B92" s="4" t="inlineStr">
        <is>
          <t>alex</t>
        </is>
      </c>
      <c r="C92" s="4" t="inlineStr">
        <is>
          <t>2025-07-30</t>
        </is>
      </c>
      <c r="D92" s="4" t="inlineStr">
        <is>
          <t>Leeds</t>
        </is>
      </c>
      <c r="E92" s="4" t="inlineStr">
        <is>
          <t>Manchester</t>
        </is>
      </c>
      <c r="F92" s="4" t="inlineStr">
        <is>
          <t>yes</t>
        </is>
      </c>
      <c r="G92" s="4" t="inlineStr">
        <is>
          <t>44</t>
        </is>
      </c>
      <c r="H92" s="4" t="n">
        <v>141.622</v>
      </c>
      <c r="I92" s="4" t="inlineStr">
        <is>
          <t>yes</t>
        </is>
      </c>
      <c r="J92" s="4" t="inlineStr">
        <is>
          <t>Client visit</t>
        </is>
      </c>
      <c r="K92">
        <f>IF(MID(C92,6,5)&gt;="04-06",LEFT(C92,4)&amp;"-"&amp;RIGHT(LEFT(C92,4)+1,2),LEFT(C92,4)-1&amp;"-"&amp;RIGHT(LEFT(C92,4),2))</f>
        <v/>
      </c>
      <c r="L92" s="24">
        <f>H92/1.609344</f>
        <v/>
      </c>
    </row>
    <row r="93">
      <c r="A93" s="4" t="inlineStr">
        <is>
          <t>golf</t>
        </is>
      </c>
      <c r="B93" s="4" t="inlineStr">
        <is>
          <t>alex</t>
        </is>
      </c>
      <c r="C93" s="4" t="inlineStr">
        <is>
          <t>2025-08-20</t>
        </is>
      </c>
      <c r="D93" s="4" t="inlineStr">
        <is>
          <t>Leeds</t>
        </is>
      </c>
      <c r="E93" s="4" t="inlineStr">
        <is>
          <t>Newcastle</t>
        </is>
      </c>
      <c r="F93" s="4" t="inlineStr">
        <is>
          <t>yes</t>
        </is>
      </c>
      <c r="G93" s="4" t="inlineStr">
        <is>
          <t>95</t>
        </is>
      </c>
      <c r="H93" s="4" t="n">
        <v>305.775</v>
      </c>
      <c r="I93" s="4" t="inlineStr">
        <is>
          <t>yes</t>
        </is>
      </c>
      <c r="J93" s="4" t="inlineStr">
        <is>
          <t>Client visit</t>
        </is>
      </c>
      <c r="K93">
        <f>IF(MID(C93,6,5)&gt;="04-06",LEFT(C93,4)&amp;"-"&amp;RIGHT(LEFT(C93,4)+1,2),LEFT(C93,4)-1&amp;"-"&amp;RIGHT(LEFT(C93,4),2))</f>
        <v/>
      </c>
      <c r="L93" s="24">
        <f>H93/1.609344</f>
        <v/>
      </c>
    </row>
    <row r="94">
      <c r="A94" s="4" t="inlineStr">
        <is>
          <t>golf</t>
        </is>
      </c>
      <c r="B94" s="4" t="inlineStr">
        <is>
          <t>alex</t>
        </is>
      </c>
      <c r="C94" s="4" t="inlineStr">
        <is>
          <t>2025-08-26</t>
        </is>
      </c>
      <c r="D94" s="4" t="inlineStr">
        <is>
          <t>Leeds</t>
        </is>
      </c>
      <c r="E94" s="4" t="inlineStr">
        <is>
          <t>Manchester</t>
        </is>
      </c>
      <c r="F94" s="4" t="inlineStr">
        <is>
          <t>yes</t>
        </is>
      </c>
      <c r="G94" s="4" t="inlineStr">
        <is>
          <t>44</t>
        </is>
      </c>
      <c r="H94" s="4" t="n">
        <v>141.622</v>
      </c>
      <c r="I94" s="4" t="inlineStr">
        <is>
          <t>yes</t>
        </is>
      </c>
      <c r="J94" s="4" t="inlineStr">
        <is>
          <t>Client visit</t>
        </is>
      </c>
      <c r="K94">
        <f>IF(MID(C94,6,5)&gt;="04-06",LEFT(C94,4)&amp;"-"&amp;RIGHT(LEFT(C94,4)+1,2),LEFT(C94,4)-1&amp;"-"&amp;RIGHT(LEFT(C94,4),2))</f>
        <v/>
      </c>
      <c r="L94" s="24">
        <f>H94/1.609344</f>
        <v/>
      </c>
    </row>
    <row r="95">
      <c r="A95" s="4" t="inlineStr">
        <is>
          <t>golf</t>
        </is>
      </c>
      <c r="B95" s="4" t="inlineStr">
        <is>
          <t>alex</t>
        </is>
      </c>
      <c r="C95" s="4" t="inlineStr">
        <is>
          <t>2025-09-05</t>
        </is>
      </c>
      <c r="D95" s="4" t="inlineStr">
        <is>
          <t>Leeds</t>
        </is>
      </c>
      <c r="E95" s="4" t="inlineStr">
        <is>
          <t>Birmingham</t>
        </is>
      </c>
      <c r="F95" s="4" t="inlineStr">
        <is>
          <t>yes</t>
        </is>
      </c>
      <c r="G95" s="4" t="inlineStr">
        <is>
          <t>118</t>
        </is>
      </c>
      <c r="H95" s="4" t="n">
        <v>379.805</v>
      </c>
      <c r="I95" s="4" t="inlineStr">
        <is>
          <t>yes</t>
        </is>
      </c>
      <c r="J95" s="4" t="inlineStr">
        <is>
          <t>Client visit</t>
        </is>
      </c>
      <c r="K95">
        <f>IF(MID(C95,6,5)&gt;="04-06",LEFT(C95,4)&amp;"-"&amp;RIGHT(LEFT(C95,4)+1,2),LEFT(C95,4)-1&amp;"-"&amp;RIGHT(LEFT(C95,4),2))</f>
        <v/>
      </c>
      <c r="L95" s="24">
        <f>H95/1.609344</f>
        <v/>
      </c>
    </row>
    <row r="96">
      <c r="A96" s="4" t="inlineStr">
        <is>
          <t>golf</t>
        </is>
      </c>
      <c r="B96" s="4" t="inlineStr">
        <is>
          <t>alex</t>
        </is>
      </c>
      <c r="C96" s="4" t="inlineStr">
        <is>
          <t>2025-09-10</t>
        </is>
      </c>
      <c r="D96" s="4" t="inlineStr">
        <is>
          <t>Leeds</t>
        </is>
      </c>
      <c r="E96" s="4" t="inlineStr">
        <is>
          <t>London</t>
        </is>
      </c>
      <c r="F96" s="4" t="inlineStr">
        <is>
          <t>yes</t>
        </is>
      </c>
      <c r="G96" s="4" t="inlineStr">
        <is>
          <t>195</t>
        </is>
      </c>
      <c r="H96" s="4" t="n">
        <v>627.644</v>
      </c>
      <c r="I96" s="4" t="inlineStr">
        <is>
          <t>yes</t>
        </is>
      </c>
      <c r="J96" s="4" t="inlineStr">
        <is>
          <t>Client visit</t>
        </is>
      </c>
      <c r="K96">
        <f>IF(MID(C96,6,5)&gt;="04-06",LEFT(C96,4)&amp;"-"&amp;RIGHT(LEFT(C96,4)+1,2),LEFT(C96,4)-1&amp;"-"&amp;RIGHT(LEFT(C96,4),2))</f>
        <v/>
      </c>
      <c r="L96" s="24">
        <f>H96/1.609344</f>
        <v/>
      </c>
    </row>
    <row r="97">
      <c r="A97" s="4" t="inlineStr">
        <is>
          <t>golf</t>
        </is>
      </c>
      <c r="B97" s="4" t="inlineStr">
        <is>
          <t>alex</t>
        </is>
      </c>
      <c r="C97" s="4" t="inlineStr">
        <is>
          <t>2025-09-17</t>
        </is>
      </c>
      <c r="D97" s="4" t="inlineStr">
        <is>
          <t>Leeds</t>
        </is>
      </c>
      <c r="E97" s="4" t="inlineStr">
        <is>
          <t>Birmingham</t>
        </is>
      </c>
      <c r="F97" s="4" t="inlineStr">
        <is>
          <t>yes</t>
        </is>
      </c>
      <c r="G97" s="4" t="inlineStr">
        <is>
          <t>118</t>
        </is>
      </c>
      <c r="H97" s="4" t="n">
        <v>379.805</v>
      </c>
      <c r="I97" s="4" t="inlineStr">
        <is>
          <t>yes</t>
        </is>
      </c>
      <c r="J97" s="4" t="inlineStr">
        <is>
          <t>Client visit</t>
        </is>
      </c>
      <c r="K97">
        <f>IF(MID(C97,6,5)&gt;="04-06",LEFT(C97,4)&amp;"-"&amp;RIGHT(LEFT(C97,4)+1,2),LEFT(C97,4)-1&amp;"-"&amp;RIGHT(LEFT(C97,4),2))</f>
        <v/>
      </c>
      <c r="L97" s="24">
        <f>H97/1.609344</f>
        <v/>
      </c>
    </row>
    <row r="98">
      <c r="A98" s="4" t="inlineStr">
        <is>
          <t>golf</t>
        </is>
      </c>
      <c r="B98" s="4" t="inlineStr">
        <is>
          <t>alex</t>
        </is>
      </c>
      <c r="C98" s="4" t="inlineStr">
        <is>
          <t>2025-09-25</t>
        </is>
      </c>
      <c r="D98" s="4" t="inlineStr">
        <is>
          <t>Leeds</t>
        </is>
      </c>
      <c r="E98" s="4" t="inlineStr">
        <is>
          <t>Birmingham</t>
        </is>
      </c>
      <c r="F98" s="4" t="inlineStr">
        <is>
          <t>yes</t>
        </is>
      </c>
      <c r="G98" s="4" t="inlineStr">
        <is>
          <t>118</t>
        </is>
      </c>
      <c r="H98" s="4" t="n">
        <v>379.805</v>
      </c>
      <c r="I98" s="4" t="inlineStr">
        <is>
          <t>yes</t>
        </is>
      </c>
      <c r="J98" s="4" t="inlineStr">
        <is>
          <t>Client visit</t>
        </is>
      </c>
      <c r="K98">
        <f>IF(MID(C98,6,5)&gt;="04-06",LEFT(C98,4)&amp;"-"&amp;RIGHT(LEFT(C98,4)+1,2),LEFT(C98,4)-1&amp;"-"&amp;RIGHT(LEFT(C98,4),2))</f>
        <v/>
      </c>
      <c r="L98" s="24">
        <f>H98/1.609344</f>
        <v/>
      </c>
    </row>
    <row r="99">
      <c r="A99" s="4" t="inlineStr">
        <is>
          <t>golf</t>
        </is>
      </c>
      <c r="B99" s="4" t="inlineStr">
        <is>
          <t>alex</t>
        </is>
      </c>
      <c r="C99" s="4" t="inlineStr">
        <is>
          <t>2025-09-30</t>
        </is>
      </c>
      <c r="D99" s="4" t="inlineStr">
        <is>
          <t>Leeds</t>
        </is>
      </c>
      <c r="E99" s="4" t="inlineStr">
        <is>
          <t>Newcastle</t>
        </is>
      </c>
      <c r="F99" s="4" t="inlineStr">
        <is>
          <t>yes</t>
        </is>
      </c>
      <c r="G99" s="4" t="inlineStr">
        <is>
          <t>95</t>
        </is>
      </c>
      <c r="H99" s="4" t="n">
        <v>305.775</v>
      </c>
      <c r="I99" s="4" t="inlineStr">
        <is>
          <t>yes</t>
        </is>
      </c>
      <c r="J99" s="4" t="inlineStr">
        <is>
          <t>Client visit</t>
        </is>
      </c>
      <c r="K99">
        <f>IF(MID(C99,6,5)&gt;="04-06",LEFT(C99,4)&amp;"-"&amp;RIGHT(LEFT(C99,4)+1,2),LEFT(C99,4)-1&amp;"-"&amp;RIGHT(LEFT(C99,4),2))</f>
        <v/>
      </c>
      <c r="L99" s="24">
        <f>H99/1.609344</f>
        <v/>
      </c>
    </row>
    <row r="100">
      <c r="A100" s="4" t="inlineStr">
        <is>
          <t>golf</t>
        </is>
      </c>
      <c r="B100" s="4" t="inlineStr">
        <is>
          <t>alex</t>
        </is>
      </c>
      <c r="C100" s="4" t="inlineStr">
        <is>
          <t>2025-10-10</t>
        </is>
      </c>
      <c r="D100" s="4" t="inlineStr">
        <is>
          <t>Leeds</t>
        </is>
      </c>
      <c r="E100" s="4" t="inlineStr">
        <is>
          <t>Birmingham</t>
        </is>
      </c>
      <c r="F100" s="4" t="inlineStr">
        <is>
          <t>yes</t>
        </is>
      </c>
      <c r="G100" s="4" t="inlineStr">
        <is>
          <t>118</t>
        </is>
      </c>
      <c r="H100" s="4" t="n">
        <v>379.805</v>
      </c>
      <c r="I100" s="4" t="inlineStr">
        <is>
          <t>yes</t>
        </is>
      </c>
      <c r="J100" s="4" t="inlineStr">
        <is>
          <t>Client visit</t>
        </is>
      </c>
      <c r="K100">
        <f>IF(MID(C100,6,5)&gt;="04-06",LEFT(C100,4)&amp;"-"&amp;RIGHT(LEFT(C100,4)+1,2),LEFT(C100,4)-1&amp;"-"&amp;RIGHT(LEFT(C100,4),2))</f>
        <v/>
      </c>
      <c r="L100" s="24">
        <f>H100/1.609344</f>
        <v/>
      </c>
    </row>
    <row r="101">
      <c r="A101" s="4" t="inlineStr">
        <is>
          <t>golf</t>
        </is>
      </c>
      <c r="B101" s="4" t="inlineStr">
        <is>
          <t>alex</t>
        </is>
      </c>
      <c r="C101" s="4" t="inlineStr">
        <is>
          <t>2025-10-16</t>
        </is>
      </c>
      <c r="D101" s="4" t="inlineStr">
        <is>
          <t>Leeds</t>
        </is>
      </c>
      <c r="E101" s="4" t="inlineStr">
        <is>
          <t>Birmingham</t>
        </is>
      </c>
      <c r="F101" s="4" t="inlineStr">
        <is>
          <t>yes</t>
        </is>
      </c>
      <c r="G101" s="4" t="inlineStr">
        <is>
          <t>118</t>
        </is>
      </c>
      <c r="H101" s="4" t="n">
        <v>379.805</v>
      </c>
      <c r="I101" s="4" t="inlineStr">
        <is>
          <t>yes</t>
        </is>
      </c>
      <c r="J101" s="4" t="inlineStr">
        <is>
          <t>Client visit</t>
        </is>
      </c>
      <c r="K101">
        <f>IF(MID(C101,6,5)&gt;="04-06",LEFT(C101,4)&amp;"-"&amp;RIGHT(LEFT(C101,4)+1,2),LEFT(C101,4)-1&amp;"-"&amp;RIGHT(LEFT(C101,4),2))</f>
        <v/>
      </c>
      <c r="L101" s="24">
        <f>H101/1.609344</f>
        <v/>
      </c>
    </row>
    <row r="102">
      <c r="A102" s="4" t="inlineStr">
        <is>
          <t>golf</t>
        </is>
      </c>
      <c r="B102" s="4" t="inlineStr">
        <is>
          <t>alex</t>
        </is>
      </c>
      <c r="C102" s="4" t="inlineStr">
        <is>
          <t>2025-10-24</t>
        </is>
      </c>
      <c r="D102" s="4" t="inlineStr">
        <is>
          <t>Leeds</t>
        </is>
      </c>
      <c r="E102" s="4" t="inlineStr">
        <is>
          <t>London</t>
        </is>
      </c>
      <c r="F102" s="4" t="inlineStr">
        <is>
          <t>yes</t>
        </is>
      </c>
      <c r="G102" s="4" t="inlineStr">
        <is>
          <t>195</t>
        </is>
      </c>
      <c r="H102" s="4" t="n">
        <v>627.644</v>
      </c>
      <c r="I102" s="4" t="inlineStr">
        <is>
          <t>yes</t>
        </is>
      </c>
      <c r="J102" s="4" t="inlineStr">
        <is>
          <t>Client visit</t>
        </is>
      </c>
      <c r="K102">
        <f>IF(MID(C102,6,5)&gt;="04-06",LEFT(C102,4)&amp;"-"&amp;RIGHT(LEFT(C102,4)+1,2),LEFT(C102,4)-1&amp;"-"&amp;RIGHT(LEFT(C102,4),2))</f>
        <v/>
      </c>
      <c r="L102" s="24">
        <f>H102/1.609344</f>
        <v/>
      </c>
    </row>
    <row r="103">
      <c r="A103" s="4" t="inlineStr">
        <is>
          <t>golf</t>
        </is>
      </c>
      <c r="B103" s="4" t="inlineStr">
        <is>
          <t>alex</t>
        </is>
      </c>
      <c r="C103" s="4" t="inlineStr">
        <is>
          <t>2025-10-30</t>
        </is>
      </c>
      <c r="D103" s="4" t="inlineStr">
        <is>
          <t>Leeds</t>
        </is>
      </c>
      <c r="E103" s="4" t="inlineStr">
        <is>
          <t>Birmingham</t>
        </is>
      </c>
      <c r="F103" s="4" t="inlineStr">
        <is>
          <t>yes</t>
        </is>
      </c>
      <c r="G103" s="4" t="inlineStr">
        <is>
          <t>118</t>
        </is>
      </c>
      <c r="H103" s="4" t="n">
        <v>379.805</v>
      </c>
      <c r="I103" s="4" t="inlineStr">
        <is>
          <t>yes</t>
        </is>
      </c>
      <c r="J103" s="4" t="inlineStr">
        <is>
          <t>Client visit</t>
        </is>
      </c>
      <c r="K103">
        <f>IF(MID(C103,6,5)&gt;="04-06",LEFT(C103,4)&amp;"-"&amp;RIGHT(LEFT(C103,4)+1,2),LEFT(C103,4)-1&amp;"-"&amp;RIGHT(LEFT(C103,4),2))</f>
        <v/>
      </c>
      <c r="L103" s="24">
        <f>H103/1.609344</f>
        <v/>
      </c>
    </row>
    <row r="104">
      <c r="A104" s="4" t="inlineStr">
        <is>
          <t>golf</t>
        </is>
      </c>
      <c r="B104" s="4" t="inlineStr">
        <is>
          <t>alex</t>
        </is>
      </c>
      <c r="C104" s="4" t="inlineStr">
        <is>
          <t>2025-11-04</t>
        </is>
      </c>
      <c r="D104" s="4" t="inlineStr">
        <is>
          <t>Leeds</t>
        </is>
      </c>
      <c r="E104" s="4" t="inlineStr">
        <is>
          <t>London</t>
        </is>
      </c>
      <c r="F104" s="4" t="inlineStr">
        <is>
          <t>yes</t>
        </is>
      </c>
      <c r="G104" s="4" t="inlineStr">
        <is>
          <t>195</t>
        </is>
      </c>
      <c r="H104" s="4" t="n">
        <v>627.644</v>
      </c>
      <c r="I104" s="4" t="inlineStr">
        <is>
          <t>yes</t>
        </is>
      </c>
      <c r="J104" s="4" t="inlineStr">
        <is>
          <t>Client visit</t>
        </is>
      </c>
      <c r="K104">
        <f>IF(MID(C104,6,5)&gt;="04-06",LEFT(C104,4)&amp;"-"&amp;RIGHT(LEFT(C104,4)+1,2),LEFT(C104,4)-1&amp;"-"&amp;RIGHT(LEFT(C104,4),2))</f>
        <v/>
      </c>
      <c r="L104" s="24">
        <f>H104/1.609344</f>
        <v/>
      </c>
    </row>
    <row r="105">
      <c r="A105" s="4" t="inlineStr">
        <is>
          <t>golf</t>
        </is>
      </c>
      <c r="B105" s="4" t="inlineStr">
        <is>
          <t>alex</t>
        </is>
      </c>
      <c r="C105" s="4" t="inlineStr">
        <is>
          <t>2025-11-13</t>
        </is>
      </c>
      <c r="D105" s="4" t="inlineStr">
        <is>
          <t>Leeds</t>
        </is>
      </c>
      <c r="E105" s="4" t="inlineStr">
        <is>
          <t>Birmingham</t>
        </is>
      </c>
      <c r="F105" s="4" t="inlineStr">
        <is>
          <t>yes</t>
        </is>
      </c>
      <c r="G105" s="4" t="inlineStr">
        <is>
          <t>118</t>
        </is>
      </c>
      <c r="H105" s="4" t="n">
        <v>379.805</v>
      </c>
      <c r="I105" s="4" t="inlineStr">
        <is>
          <t>yes</t>
        </is>
      </c>
      <c r="J105" s="4" t="inlineStr">
        <is>
          <t>Client visit</t>
        </is>
      </c>
      <c r="K105">
        <f>IF(MID(C105,6,5)&gt;="04-06",LEFT(C105,4)&amp;"-"&amp;RIGHT(LEFT(C105,4)+1,2),LEFT(C105,4)-1&amp;"-"&amp;RIGHT(LEFT(C105,4),2))</f>
        <v/>
      </c>
      <c r="L105" s="24">
        <f>H105/1.609344</f>
        <v/>
      </c>
    </row>
    <row r="106">
      <c r="A106" s="4" t="inlineStr">
        <is>
          <t>golf</t>
        </is>
      </c>
      <c r="B106" s="4" t="inlineStr">
        <is>
          <t>alex</t>
        </is>
      </c>
      <c r="C106" s="4" t="inlineStr">
        <is>
          <t>2025-11-18</t>
        </is>
      </c>
      <c r="D106" s="4" t="inlineStr">
        <is>
          <t>Leeds</t>
        </is>
      </c>
      <c r="E106" s="4" t="inlineStr">
        <is>
          <t>Manchester</t>
        </is>
      </c>
      <c r="F106" s="4" t="inlineStr">
        <is>
          <t>yes</t>
        </is>
      </c>
      <c r="G106" s="4" t="inlineStr">
        <is>
          <t>44</t>
        </is>
      </c>
      <c r="H106" s="4" t="n">
        <v>141.622</v>
      </c>
      <c r="I106" s="4" t="inlineStr">
        <is>
          <t>yes</t>
        </is>
      </c>
      <c r="J106" s="4" t="inlineStr">
        <is>
          <t>Client visit</t>
        </is>
      </c>
      <c r="K106">
        <f>IF(MID(C106,6,5)&gt;="04-06",LEFT(C106,4)&amp;"-"&amp;RIGHT(LEFT(C106,4)+1,2),LEFT(C106,4)-1&amp;"-"&amp;RIGHT(LEFT(C106,4),2))</f>
        <v/>
      </c>
      <c r="L106" s="24">
        <f>H106/1.609344</f>
        <v/>
      </c>
    </row>
    <row r="107">
      <c r="A107" s="4" t="inlineStr">
        <is>
          <t>golf</t>
        </is>
      </c>
      <c r="B107" s="4" t="inlineStr">
        <is>
          <t>alex</t>
        </is>
      </c>
      <c r="C107" s="4" t="inlineStr">
        <is>
          <t>2025-11-25</t>
        </is>
      </c>
      <c r="D107" s="4" t="inlineStr">
        <is>
          <t>Leeds</t>
        </is>
      </c>
      <c r="E107" s="4" t="inlineStr">
        <is>
          <t>Newcastle</t>
        </is>
      </c>
      <c r="F107" s="4" t="inlineStr">
        <is>
          <t>yes</t>
        </is>
      </c>
      <c r="G107" s="4" t="inlineStr">
        <is>
          <t>95</t>
        </is>
      </c>
      <c r="H107" s="4" t="n">
        <v>305.775</v>
      </c>
      <c r="I107" s="4" t="inlineStr">
        <is>
          <t>yes</t>
        </is>
      </c>
      <c r="J107" s="4" t="inlineStr">
        <is>
          <t>Client visit</t>
        </is>
      </c>
      <c r="K107">
        <f>IF(MID(C107,6,5)&gt;="04-06",LEFT(C107,4)&amp;"-"&amp;RIGHT(LEFT(C107,4)+1,2),LEFT(C107,4)-1&amp;"-"&amp;RIGHT(LEFT(C107,4),2))</f>
        <v/>
      </c>
      <c r="L107" s="24">
        <f>H107/1.609344</f>
        <v/>
      </c>
    </row>
    <row r="108">
      <c r="A108" s="4" t="inlineStr">
        <is>
          <t>golf</t>
        </is>
      </c>
      <c r="B108" s="4" t="inlineStr">
        <is>
          <t>alex</t>
        </is>
      </c>
      <c r="C108" s="4" t="inlineStr">
        <is>
          <t>2025-12-02</t>
        </is>
      </c>
      <c r="D108" s="4" t="inlineStr">
        <is>
          <t>Leeds</t>
        </is>
      </c>
      <c r="E108" s="4" t="inlineStr">
        <is>
          <t>Birmingham</t>
        </is>
      </c>
      <c r="F108" s="4" t="inlineStr">
        <is>
          <t>yes</t>
        </is>
      </c>
      <c r="G108" s="4" t="inlineStr">
        <is>
          <t>118</t>
        </is>
      </c>
      <c r="H108" s="4" t="n">
        <v>379.805</v>
      </c>
      <c r="I108" s="4" t="inlineStr">
        <is>
          <t>yes</t>
        </is>
      </c>
      <c r="J108" s="4" t="inlineStr">
        <is>
          <t>Client visit</t>
        </is>
      </c>
      <c r="K108">
        <f>IF(MID(C108,6,5)&gt;="04-06",LEFT(C108,4)&amp;"-"&amp;RIGHT(LEFT(C108,4)+1,2),LEFT(C108,4)-1&amp;"-"&amp;RIGHT(LEFT(C108,4),2))</f>
        <v/>
      </c>
      <c r="L108" s="24">
        <f>H108/1.609344</f>
        <v/>
      </c>
    </row>
    <row r="109">
      <c r="A109" s="4" t="inlineStr">
        <is>
          <t>golf</t>
        </is>
      </c>
      <c r="B109" s="4" t="inlineStr">
        <is>
          <t>alex</t>
        </is>
      </c>
      <c r="C109" s="4" t="inlineStr">
        <is>
          <t>2025-12-12</t>
        </is>
      </c>
      <c r="D109" s="4" t="inlineStr">
        <is>
          <t>Leeds</t>
        </is>
      </c>
      <c r="E109" s="4" t="inlineStr">
        <is>
          <t>Birmingham</t>
        </is>
      </c>
      <c r="F109" s="4" t="inlineStr">
        <is>
          <t>yes</t>
        </is>
      </c>
      <c r="G109" s="4" t="inlineStr">
        <is>
          <t>118</t>
        </is>
      </c>
      <c r="H109" s="4" t="n">
        <v>379.805</v>
      </c>
      <c r="I109" s="4" t="inlineStr">
        <is>
          <t>yes</t>
        </is>
      </c>
      <c r="J109" s="4" t="inlineStr">
        <is>
          <t>Client visit</t>
        </is>
      </c>
      <c r="K109">
        <f>IF(MID(C109,6,5)&gt;="04-06",LEFT(C109,4)&amp;"-"&amp;RIGHT(LEFT(C109,4)+1,2),LEFT(C109,4)-1&amp;"-"&amp;RIGHT(LEFT(C109,4),2))</f>
        <v/>
      </c>
      <c r="L109" s="24">
        <f>H109/1.609344</f>
        <v/>
      </c>
    </row>
    <row r="110">
      <c r="A110" s="4" t="inlineStr">
        <is>
          <t>golf</t>
        </is>
      </c>
      <c r="B110" s="4" t="inlineStr">
        <is>
          <t>alex</t>
        </is>
      </c>
      <c r="C110" s="4" t="inlineStr">
        <is>
          <t>2025-12-19</t>
        </is>
      </c>
      <c r="D110" s="4" t="inlineStr">
        <is>
          <t>Leeds</t>
        </is>
      </c>
      <c r="E110" s="4" t="inlineStr">
        <is>
          <t>Birmingham</t>
        </is>
      </c>
      <c r="F110" s="4" t="inlineStr">
        <is>
          <t>yes</t>
        </is>
      </c>
      <c r="G110" s="4" t="inlineStr">
        <is>
          <t>118</t>
        </is>
      </c>
      <c r="H110" s="4" t="n">
        <v>379.805</v>
      </c>
      <c r="I110" s="4" t="inlineStr">
        <is>
          <t>yes</t>
        </is>
      </c>
      <c r="J110" s="4" t="inlineStr">
        <is>
          <t>Client visit</t>
        </is>
      </c>
      <c r="K110">
        <f>IF(MID(C110,6,5)&gt;="04-06",LEFT(C110,4)&amp;"-"&amp;RIGHT(LEFT(C110,4)+1,2),LEFT(C110,4)-1&amp;"-"&amp;RIGHT(LEFT(C110,4),2))</f>
        <v/>
      </c>
      <c r="L110" s="24">
        <f>H110/1.609344</f>
        <v/>
      </c>
    </row>
    <row r="111">
      <c r="A111" s="4" t="inlineStr">
        <is>
          <t>golf</t>
        </is>
      </c>
      <c r="B111" s="4" t="inlineStr">
        <is>
          <t>alex</t>
        </is>
      </c>
      <c r="C111" s="4" t="inlineStr">
        <is>
          <t>2026-01-08</t>
        </is>
      </c>
      <c r="D111" s="4" t="inlineStr">
        <is>
          <t>Leeds</t>
        </is>
      </c>
      <c r="E111" s="4" t="inlineStr">
        <is>
          <t>Manchester</t>
        </is>
      </c>
      <c r="F111" s="4" t="inlineStr">
        <is>
          <t>yes</t>
        </is>
      </c>
      <c r="G111" s="4" t="inlineStr">
        <is>
          <t>44</t>
        </is>
      </c>
      <c r="H111" s="4" t="n">
        <v>141.622</v>
      </c>
      <c r="I111" s="4" t="inlineStr">
        <is>
          <t>yes</t>
        </is>
      </c>
      <c r="J111" s="4" t="inlineStr">
        <is>
          <t>Client visit</t>
        </is>
      </c>
      <c r="K111">
        <f>IF(MID(C111,6,5)&gt;="04-06",LEFT(C111,4)&amp;"-"&amp;RIGHT(LEFT(C111,4)+1,2),LEFT(C111,4)-1&amp;"-"&amp;RIGHT(LEFT(C111,4),2))</f>
        <v/>
      </c>
      <c r="L111" s="24">
        <f>H111/1.609344</f>
        <v/>
      </c>
    </row>
    <row r="112">
      <c r="A112" s="4" t="inlineStr">
        <is>
          <t>golf</t>
        </is>
      </c>
      <c r="B112" s="4" t="inlineStr">
        <is>
          <t>alex</t>
        </is>
      </c>
      <c r="C112" s="4" t="inlineStr">
        <is>
          <t>2026-01-13</t>
        </is>
      </c>
      <c r="D112" s="4" t="inlineStr">
        <is>
          <t>Leeds</t>
        </is>
      </c>
      <c r="E112" s="4" t="inlineStr">
        <is>
          <t>Birmingham</t>
        </is>
      </c>
      <c r="F112" s="4" t="inlineStr">
        <is>
          <t>yes</t>
        </is>
      </c>
      <c r="G112" s="4" t="inlineStr">
        <is>
          <t>118</t>
        </is>
      </c>
      <c r="H112" s="4" t="n">
        <v>379.805</v>
      </c>
      <c r="I112" s="4" t="inlineStr">
        <is>
          <t>yes</t>
        </is>
      </c>
      <c r="J112" s="4" t="inlineStr">
        <is>
          <t>Client visit</t>
        </is>
      </c>
      <c r="K112">
        <f>IF(MID(C112,6,5)&gt;="04-06",LEFT(C112,4)&amp;"-"&amp;RIGHT(LEFT(C112,4)+1,2),LEFT(C112,4)-1&amp;"-"&amp;RIGHT(LEFT(C112,4),2))</f>
        <v/>
      </c>
      <c r="L112" s="24">
        <f>H112/1.609344</f>
        <v/>
      </c>
    </row>
    <row r="113">
      <c r="A113" s="4" t="inlineStr">
        <is>
          <t>golf</t>
        </is>
      </c>
      <c r="B113" s="4" t="inlineStr">
        <is>
          <t>alex</t>
        </is>
      </c>
      <c r="C113" s="4" t="inlineStr">
        <is>
          <t>2026-01-23</t>
        </is>
      </c>
      <c r="D113" s="4" t="inlineStr">
        <is>
          <t>Leeds</t>
        </is>
      </c>
      <c r="E113" s="4" t="inlineStr">
        <is>
          <t>Birmingham</t>
        </is>
      </c>
      <c r="F113" s="4" t="inlineStr">
        <is>
          <t>yes</t>
        </is>
      </c>
      <c r="G113" s="4" t="inlineStr">
        <is>
          <t>118</t>
        </is>
      </c>
      <c r="H113" s="4" t="n">
        <v>379.805</v>
      </c>
      <c r="I113" s="4" t="inlineStr">
        <is>
          <t>yes</t>
        </is>
      </c>
      <c r="J113" s="4" t="inlineStr">
        <is>
          <t>Client visit</t>
        </is>
      </c>
      <c r="K113">
        <f>IF(MID(C113,6,5)&gt;="04-06",LEFT(C113,4)&amp;"-"&amp;RIGHT(LEFT(C113,4)+1,2),LEFT(C113,4)-1&amp;"-"&amp;RIGHT(LEFT(C113,4),2))</f>
        <v/>
      </c>
      <c r="L113" s="24">
        <f>H113/1.609344</f>
        <v/>
      </c>
    </row>
    <row r="114">
      <c r="A114" s="4" t="inlineStr">
        <is>
          <t>golf</t>
        </is>
      </c>
      <c r="B114" s="4" t="inlineStr">
        <is>
          <t>alex</t>
        </is>
      </c>
      <c r="C114" s="4" t="inlineStr">
        <is>
          <t>2026-01-30</t>
        </is>
      </c>
      <c r="D114" s="4" t="inlineStr">
        <is>
          <t>Leeds</t>
        </is>
      </c>
      <c r="E114" s="4" t="inlineStr">
        <is>
          <t>Birmingham</t>
        </is>
      </c>
      <c r="F114" s="4" t="inlineStr">
        <is>
          <t>yes</t>
        </is>
      </c>
      <c r="G114" s="4" t="inlineStr">
        <is>
          <t>118</t>
        </is>
      </c>
      <c r="H114" s="4" t="n">
        <v>379.805</v>
      </c>
      <c r="I114" s="4" t="inlineStr">
        <is>
          <t>yes</t>
        </is>
      </c>
      <c r="J114" s="4" t="inlineStr">
        <is>
          <t>Client visit</t>
        </is>
      </c>
      <c r="K114">
        <f>IF(MID(C114,6,5)&gt;="04-06",LEFT(C114,4)&amp;"-"&amp;RIGHT(LEFT(C114,4)+1,2),LEFT(C114,4)-1&amp;"-"&amp;RIGHT(LEFT(C114,4),2))</f>
        <v/>
      </c>
      <c r="L114" s="24">
        <f>H114/1.609344</f>
        <v/>
      </c>
    </row>
    <row r="115">
      <c r="A115" s="4" t="inlineStr">
        <is>
          <t>golf</t>
        </is>
      </c>
      <c r="B115" s="4" t="inlineStr">
        <is>
          <t>alex</t>
        </is>
      </c>
      <c r="C115" s="4" t="inlineStr">
        <is>
          <t>2026-02-05</t>
        </is>
      </c>
      <c r="D115" s="4" t="inlineStr">
        <is>
          <t>Leeds</t>
        </is>
      </c>
      <c r="E115" s="4" t="inlineStr">
        <is>
          <t>Manchester</t>
        </is>
      </c>
      <c r="F115" s="4" t="inlineStr">
        <is>
          <t>yes</t>
        </is>
      </c>
      <c r="G115" s="4" t="inlineStr">
        <is>
          <t>44</t>
        </is>
      </c>
      <c r="H115" s="4" t="n">
        <v>141.622</v>
      </c>
      <c r="I115" s="4" t="inlineStr">
        <is>
          <t>yes</t>
        </is>
      </c>
      <c r="J115" s="4" t="inlineStr">
        <is>
          <t>Client visit</t>
        </is>
      </c>
      <c r="K115">
        <f>IF(MID(C115,6,5)&gt;="04-06",LEFT(C115,4)&amp;"-"&amp;RIGHT(LEFT(C115,4)+1,2),LEFT(C115,4)-1&amp;"-"&amp;RIGHT(LEFT(C115,4),2))</f>
        <v/>
      </c>
      <c r="L115" s="24">
        <f>H115/1.609344</f>
        <v/>
      </c>
    </row>
    <row r="116">
      <c r="A116" s="4" t="inlineStr">
        <is>
          <t>golf</t>
        </is>
      </c>
      <c r="B116" s="4" t="inlineStr">
        <is>
          <t>alex</t>
        </is>
      </c>
      <c r="C116" s="4" t="inlineStr">
        <is>
          <t>2026-02-10</t>
        </is>
      </c>
      <c r="D116" s="4" t="inlineStr">
        <is>
          <t>Leeds</t>
        </is>
      </c>
      <c r="E116" s="4" t="inlineStr">
        <is>
          <t>London</t>
        </is>
      </c>
      <c r="F116" s="4" t="inlineStr">
        <is>
          <t>yes</t>
        </is>
      </c>
      <c r="G116" s="4" t="inlineStr">
        <is>
          <t>195</t>
        </is>
      </c>
      <c r="H116" s="4" t="n">
        <v>627.644</v>
      </c>
      <c r="I116" s="4" t="inlineStr">
        <is>
          <t>yes</t>
        </is>
      </c>
      <c r="J116" s="4" t="inlineStr">
        <is>
          <t>Client visit</t>
        </is>
      </c>
      <c r="K116">
        <f>IF(MID(C116,6,5)&gt;="04-06",LEFT(C116,4)&amp;"-"&amp;RIGHT(LEFT(C116,4)+1,2),LEFT(C116,4)-1&amp;"-"&amp;RIGHT(LEFT(C116,4),2))</f>
        <v/>
      </c>
      <c r="L116" s="24">
        <f>H116/1.609344</f>
        <v/>
      </c>
    </row>
    <row r="117">
      <c r="A117" s="4" t="inlineStr">
        <is>
          <t>golf</t>
        </is>
      </c>
      <c r="B117" s="4" t="inlineStr">
        <is>
          <t>alex</t>
        </is>
      </c>
      <c r="C117" s="4" t="inlineStr">
        <is>
          <t>2026-02-19</t>
        </is>
      </c>
      <c r="D117" s="4" t="inlineStr">
        <is>
          <t>Leeds</t>
        </is>
      </c>
      <c r="E117" s="4" t="inlineStr">
        <is>
          <t>Birmingham</t>
        </is>
      </c>
      <c r="F117" s="4" t="inlineStr">
        <is>
          <t>yes</t>
        </is>
      </c>
      <c r="G117" s="4" t="inlineStr">
        <is>
          <t>118</t>
        </is>
      </c>
      <c r="H117" s="4" t="n">
        <v>379.805</v>
      </c>
      <c r="I117" s="4" t="inlineStr">
        <is>
          <t>yes</t>
        </is>
      </c>
      <c r="J117" s="4" t="inlineStr">
        <is>
          <t>Client visit</t>
        </is>
      </c>
      <c r="K117">
        <f>IF(MID(C117,6,5)&gt;="04-06",LEFT(C117,4)&amp;"-"&amp;RIGHT(LEFT(C117,4)+1,2),LEFT(C117,4)-1&amp;"-"&amp;RIGHT(LEFT(C117,4),2))</f>
        <v/>
      </c>
      <c r="L117" s="24">
        <f>H117/1.609344</f>
        <v/>
      </c>
    </row>
    <row r="118">
      <c r="A118" s="4" t="inlineStr">
        <is>
          <t>golf</t>
        </is>
      </c>
      <c r="B118" s="4" t="inlineStr">
        <is>
          <t>alex</t>
        </is>
      </c>
      <c r="C118" s="4" t="inlineStr">
        <is>
          <t>2026-02-24</t>
        </is>
      </c>
      <c r="D118" s="4" t="inlineStr">
        <is>
          <t>Leeds</t>
        </is>
      </c>
      <c r="E118" s="4" t="inlineStr">
        <is>
          <t>Birmingham</t>
        </is>
      </c>
      <c r="F118" s="4" t="inlineStr">
        <is>
          <t>yes</t>
        </is>
      </c>
      <c r="G118" s="4" t="inlineStr">
        <is>
          <t>118</t>
        </is>
      </c>
      <c r="H118" s="4" t="n">
        <v>379.805</v>
      </c>
      <c r="I118" s="4" t="inlineStr">
        <is>
          <t>yes</t>
        </is>
      </c>
      <c r="J118" s="4" t="inlineStr">
        <is>
          <t>Client visit</t>
        </is>
      </c>
      <c r="K118">
        <f>IF(MID(C118,6,5)&gt;="04-06",LEFT(C118,4)&amp;"-"&amp;RIGHT(LEFT(C118,4)+1,2),LEFT(C118,4)-1&amp;"-"&amp;RIGHT(LEFT(C118,4),2))</f>
        <v/>
      </c>
      <c r="L118" s="24">
        <f>H118/1.609344</f>
        <v/>
      </c>
    </row>
    <row r="119">
      <c r="A119" s="4" t="inlineStr">
        <is>
          <t>golf</t>
        </is>
      </c>
      <c r="B119" s="4" t="inlineStr">
        <is>
          <t>alex</t>
        </is>
      </c>
      <c r="C119" s="4" t="inlineStr">
        <is>
          <t>2026-03-04</t>
        </is>
      </c>
      <c r="D119" s="4" t="inlineStr">
        <is>
          <t>Leeds</t>
        </is>
      </c>
      <c r="E119" s="4" t="inlineStr">
        <is>
          <t>Manchester</t>
        </is>
      </c>
      <c r="F119" s="4" t="inlineStr">
        <is>
          <t>yes</t>
        </is>
      </c>
      <c r="G119" s="4" t="inlineStr">
        <is>
          <t>44</t>
        </is>
      </c>
      <c r="H119" s="4" t="n">
        <v>141.622</v>
      </c>
      <c r="I119" s="4" t="inlineStr">
        <is>
          <t>yes</t>
        </is>
      </c>
      <c r="J119" s="4" t="inlineStr">
        <is>
          <t>Client visit</t>
        </is>
      </c>
      <c r="K119">
        <f>IF(MID(C119,6,5)&gt;="04-06",LEFT(C119,4)&amp;"-"&amp;RIGHT(LEFT(C119,4)+1,2),LEFT(C119,4)-1&amp;"-"&amp;RIGHT(LEFT(C119,4),2))</f>
        <v/>
      </c>
      <c r="L119" s="24">
        <f>H119/1.609344</f>
        <v/>
      </c>
    </row>
    <row r="120">
      <c r="A120" s="4" t="inlineStr">
        <is>
          <t>golf</t>
        </is>
      </c>
      <c r="B120" s="4" t="inlineStr">
        <is>
          <t>alex</t>
        </is>
      </c>
      <c r="C120" s="4" t="inlineStr">
        <is>
          <t>2026-03-12</t>
        </is>
      </c>
      <c r="D120" s="4" t="inlineStr">
        <is>
          <t>Leeds</t>
        </is>
      </c>
      <c r="E120" s="4" t="inlineStr">
        <is>
          <t>Manchester</t>
        </is>
      </c>
      <c r="F120" s="4" t="inlineStr">
        <is>
          <t>yes</t>
        </is>
      </c>
      <c r="G120" s="4" t="inlineStr">
        <is>
          <t>44</t>
        </is>
      </c>
      <c r="H120" s="4" t="n">
        <v>141.622</v>
      </c>
      <c r="I120" s="4" t="inlineStr">
        <is>
          <t>yes</t>
        </is>
      </c>
      <c r="J120" s="4" t="inlineStr">
        <is>
          <t>Client visit</t>
        </is>
      </c>
      <c r="K120">
        <f>IF(MID(C120,6,5)&gt;="04-06",LEFT(C120,4)&amp;"-"&amp;RIGHT(LEFT(C120,4)+1,2),LEFT(C120,4)-1&amp;"-"&amp;RIGHT(LEFT(C120,4),2))</f>
        <v/>
      </c>
      <c r="L120" s="24">
        <f>H120/1.609344</f>
        <v/>
      </c>
    </row>
    <row r="121">
      <c r="A121" s="4" t="inlineStr">
        <is>
          <t>golf</t>
        </is>
      </c>
      <c r="B121" s="4" t="inlineStr">
        <is>
          <t>alex</t>
        </is>
      </c>
      <c r="C121" s="4" t="inlineStr">
        <is>
          <t>2026-03-17</t>
        </is>
      </c>
      <c r="D121" s="4" t="inlineStr">
        <is>
          <t>Leeds</t>
        </is>
      </c>
      <c r="E121" s="4" t="inlineStr">
        <is>
          <t>London</t>
        </is>
      </c>
      <c r="F121" s="4" t="inlineStr">
        <is>
          <t>yes</t>
        </is>
      </c>
      <c r="G121" s="4" t="inlineStr">
        <is>
          <t>195</t>
        </is>
      </c>
      <c r="H121" s="4" t="n">
        <v>627.644</v>
      </c>
      <c r="I121" s="4" t="inlineStr">
        <is>
          <t>yes</t>
        </is>
      </c>
      <c r="J121" s="4" t="inlineStr">
        <is>
          <t>Client visit</t>
        </is>
      </c>
      <c r="K121">
        <f>IF(MID(C121,6,5)&gt;="04-06",LEFT(C121,4)&amp;"-"&amp;RIGHT(LEFT(C121,4)+1,2),LEFT(C121,4)-1&amp;"-"&amp;RIGHT(LEFT(C121,4),2))</f>
        <v/>
      </c>
      <c r="L121" s="24">
        <f>H121/1.609344</f>
        <v/>
      </c>
    </row>
    <row r="122">
      <c r="A122" s="4" t="inlineStr">
        <is>
          <t>golf</t>
        </is>
      </c>
      <c r="B122" s="4" t="inlineStr">
        <is>
          <t>alex</t>
        </is>
      </c>
      <c r="C122" s="4" t="inlineStr">
        <is>
          <t>2026-03-27</t>
        </is>
      </c>
      <c r="D122" s="4" t="inlineStr">
        <is>
          <t>Leeds</t>
        </is>
      </c>
      <c r="E122" s="4" t="inlineStr">
        <is>
          <t>London</t>
        </is>
      </c>
      <c r="F122" s="4" t="inlineStr">
        <is>
          <t>yes</t>
        </is>
      </c>
      <c r="G122" s="4" t="inlineStr">
        <is>
          <t>195</t>
        </is>
      </c>
      <c r="H122" s="4" t="n">
        <v>627.644</v>
      </c>
      <c r="I122" s="4" t="inlineStr">
        <is>
          <t>yes</t>
        </is>
      </c>
      <c r="J122" s="4" t="inlineStr">
        <is>
          <t>Client visit</t>
        </is>
      </c>
      <c r="K122">
        <f>IF(MID(C122,6,5)&gt;="04-06",LEFT(C122,4)&amp;"-"&amp;RIGHT(LEFT(C122,4)+1,2),LEFT(C122,4)-1&amp;"-"&amp;RIGHT(LEFT(C122,4),2))</f>
        <v/>
      </c>
      <c r="L122" s="24">
        <f>H122/1.609344</f>
        <v/>
      </c>
    </row>
    <row r="123">
      <c r="A123" s="4" t="inlineStr">
        <is>
          <t>golf</t>
        </is>
      </c>
      <c r="B123" s="4" t="inlineStr">
        <is>
          <t>alex</t>
        </is>
      </c>
      <c r="C123" s="4" t="inlineStr">
        <is>
          <t>2026-04-01</t>
        </is>
      </c>
      <c r="D123" s="4" t="inlineStr">
        <is>
          <t>Leeds</t>
        </is>
      </c>
      <c r="E123" s="4" t="inlineStr">
        <is>
          <t>Manchester</t>
        </is>
      </c>
      <c r="F123" s="4" t="inlineStr">
        <is>
          <t>yes</t>
        </is>
      </c>
      <c r="G123" s="4" t="inlineStr">
        <is>
          <t>44</t>
        </is>
      </c>
      <c r="H123" s="4" t="n">
        <v>141.622</v>
      </c>
      <c r="I123" s="4" t="inlineStr">
        <is>
          <t>yes</t>
        </is>
      </c>
      <c r="J123" s="4" t="inlineStr">
        <is>
          <t>Client visit</t>
        </is>
      </c>
      <c r="K123">
        <f>IF(MID(C123,6,5)&gt;="04-06",LEFT(C123,4)&amp;"-"&amp;RIGHT(LEFT(C123,4)+1,2),LEFT(C123,4)-1&amp;"-"&amp;RIGHT(LEFT(C123,4),2))</f>
        <v/>
      </c>
      <c r="L123" s="24">
        <f>H123/1.609344</f>
        <v/>
      </c>
    </row>
    <row r="124">
      <c r="A124" s="4" t="inlineStr">
        <is>
          <t>golf</t>
        </is>
      </c>
      <c r="B124" s="4" t="inlineStr">
        <is>
          <t>alex</t>
        </is>
      </c>
      <c r="C124" s="4" t="inlineStr">
        <is>
          <t>2026-04-09</t>
        </is>
      </c>
      <c r="D124" s="4" t="inlineStr">
        <is>
          <t>Leeds</t>
        </is>
      </c>
      <c r="E124" s="4" t="inlineStr">
        <is>
          <t>Newcastle</t>
        </is>
      </c>
      <c r="F124" s="4" t="inlineStr">
        <is>
          <t>yes</t>
        </is>
      </c>
      <c r="G124" s="4" t="inlineStr">
        <is>
          <t>95</t>
        </is>
      </c>
      <c r="H124" s="4" t="n">
        <v>305.775</v>
      </c>
      <c r="I124" s="4" t="inlineStr">
        <is>
          <t>yes</t>
        </is>
      </c>
      <c r="J124" s="4" t="inlineStr">
        <is>
          <t>Client visit</t>
        </is>
      </c>
      <c r="K124">
        <f>IF(MID(C124,6,5)&gt;="04-06",LEFT(C124,4)&amp;"-"&amp;RIGHT(LEFT(C124,4)+1,2),LEFT(C124,4)-1&amp;"-"&amp;RIGHT(LEFT(C124,4),2))</f>
        <v/>
      </c>
      <c r="L124" s="24">
        <f>H124/1.609344</f>
        <v/>
      </c>
    </row>
    <row r="125">
      <c r="A125" s="4" t="inlineStr">
        <is>
          <t>golf</t>
        </is>
      </c>
      <c r="B125" s="4" t="inlineStr">
        <is>
          <t>alex</t>
        </is>
      </c>
      <c r="C125" s="4" t="inlineStr">
        <is>
          <t>2026-04-14</t>
        </is>
      </c>
      <c r="D125" s="4" t="inlineStr">
        <is>
          <t>Leeds</t>
        </is>
      </c>
      <c r="E125" s="4" t="inlineStr">
        <is>
          <t>Manchester</t>
        </is>
      </c>
      <c r="F125" s="4" t="inlineStr">
        <is>
          <t>yes</t>
        </is>
      </c>
      <c r="G125" s="4" t="inlineStr">
        <is>
          <t>44</t>
        </is>
      </c>
      <c r="H125" s="4" t="n">
        <v>141.622</v>
      </c>
      <c r="I125" s="4" t="inlineStr">
        <is>
          <t>yes</t>
        </is>
      </c>
      <c r="J125" s="4" t="inlineStr">
        <is>
          <t>Client visit</t>
        </is>
      </c>
      <c r="K125">
        <f>IF(MID(C125,6,5)&gt;="04-06",LEFT(C125,4)&amp;"-"&amp;RIGHT(LEFT(C125,4)+1,2),LEFT(C125,4)-1&amp;"-"&amp;RIGHT(LEFT(C125,4),2))</f>
        <v/>
      </c>
      <c r="L125" s="24">
        <f>H125/1.609344</f>
        <v/>
      </c>
    </row>
    <row r="126">
      <c r="A126" s="4" t="inlineStr">
        <is>
          <t>golf</t>
        </is>
      </c>
      <c r="B126" s="4" t="inlineStr">
        <is>
          <t>alex</t>
        </is>
      </c>
      <c r="C126" s="4" t="inlineStr">
        <is>
          <t>2026-04-23</t>
        </is>
      </c>
      <c r="D126" s="4" t="inlineStr">
        <is>
          <t>Leeds</t>
        </is>
      </c>
      <c r="E126" s="4" t="inlineStr">
        <is>
          <t>London</t>
        </is>
      </c>
      <c r="F126" s="4" t="inlineStr">
        <is>
          <t>yes</t>
        </is>
      </c>
      <c r="G126" s="4" t="inlineStr">
        <is>
          <t>195</t>
        </is>
      </c>
      <c r="H126" s="4" t="n">
        <v>627.644</v>
      </c>
      <c r="I126" s="4" t="inlineStr">
        <is>
          <t>yes</t>
        </is>
      </c>
      <c r="J126" s="4" t="inlineStr">
        <is>
          <t>Client visit</t>
        </is>
      </c>
      <c r="K126">
        <f>IF(MID(C126,6,5)&gt;="04-06",LEFT(C126,4)&amp;"-"&amp;RIGHT(LEFT(C126,4)+1,2),LEFT(C126,4)-1&amp;"-"&amp;RIGHT(LEFT(C126,4),2))</f>
        <v/>
      </c>
      <c r="L126" s="24">
        <f>H126/1.609344</f>
        <v/>
      </c>
    </row>
    <row r="127">
      <c r="A127" s="4" t="inlineStr">
        <is>
          <t>golf</t>
        </is>
      </c>
      <c r="B127" s="4" t="inlineStr">
        <is>
          <t>alex</t>
        </is>
      </c>
      <c r="C127" s="4" t="inlineStr">
        <is>
          <t>2026-04-30</t>
        </is>
      </c>
      <c r="D127" s="4" t="inlineStr">
        <is>
          <t>Leeds</t>
        </is>
      </c>
      <c r="E127" s="4" t="inlineStr">
        <is>
          <t>Birmingham</t>
        </is>
      </c>
      <c r="F127" s="4" t="inlineStr">
        <is>
          <t>yes</t>
        </is>
      </c>
      <c r="G127" s="4" t="inlineStr">
        <is>
          <t>118</t>
        </is>
      </c>
      <c r="H127" s="4" t="n">
        <v>379.805</v>
      </c>
      <c r="I127" s="4" t="inlineStr">
        <is>
          <t>yes</t>
        </is>
      </c>
      <c r="J127" s="4" t="inlineStr">
        <is>
          <t>Client visit</t>
        </is>
      </c>
      <c r="K127">
        <f>IF(MID(C127,6,5)&gt;="04-06",LEFT(C127,4)&amp;"-"&amp;RIGHT(LEFT(C127,4)+1,2),LEFT(C127,4)-1&amp;"-"&amp;RIGHT(LEFT(C127,4),2))</f>
        <v/>
      </c>
      <c r="L127" s="24">
        <f>H127/1.609344</f>
        <v/>
      </c>
    </row>
    <row r="128">
      <c r="A128" s="4" t="inlineStr">
        <is>
          <t>golf</t>
        </is>
      </c>
      <c r="B128" s="4" t="inlineStr">
        <is>
          <t>alex</t>
        </is>
      </c>
      <c r="C128" s="4" t="inlineStr">
        <is>
          <t>2026-05-07</t>
        </is>
      </c>
      <c r="D128" s="4" t="inlineStr">
        <is>
          <t>Leeds</t>
        </is>
      </c>
      <c r="E128" s="4" t="inlineStr">
        <is>
          <t>Birmingham</t>
        </is>
      </c>
      <c r="F128" s="4" t="inlineStr">
        <is>
          <t>yes</t>
        </is>
      </c>
      <c r="G128" s="4" t="inlineStr">
        <is>
          <t>118</t>
        </is>
      </c>
      <c r="H128" s="4" t="n">
        <v>379.805</v>
      </c>
      <c r="I128" s="4" t="inlineStr">
        <is>
          <t>yes</t>
        </is>
      </c>
      <c r="J128" s="4" t="inlineStr">
        <is>
          <t>Client visit</t>
        </is>
      </c>
      <c r="K128">
        <f>IF(MID(C128,6,5)&gt;="04-06",LEFT(C128,4)&amp;"-"&amp;RIGHT(LEFT(C128,4)+1,2),LEFT(C128,4)-1&amp;"-"&amp;RIGHT(LEFT(C128,4),2))</f>
        <v/>
      </c>
      <c r="L128" s="24">
        <f>H128/1.609344</f>
        <v/>
      </c>
    </row>
    <row r="129">
      <c r="A129" s="4" t="inlineStr">
        <is>
          <t>golf</t>
        </is>
      </c>
      <c r="B129" s="4" t="inlineStr">
        <is>
          <t>alex</t>
        </is>
      </c>
      <c r="C129" s="4" t="inlineStr">
        <is>
          <t>2026-05-13</t>
        </is>
      </c>
      <c r="D129" s="4" t="inlineStr">
        <is>
          <t>Leeds</t>
        </is>
      </c>
      <c r="E129" s="4" t="inlineStr">
        <is>
          <t>Birmingham</t>
        </is>
      </c>
      <c r="F129" s="4" t="inlineStr">
        <is>
          <t>yes</t>
        </is>
      </c>
      <c r="G129" s="4" t="inlineStr">
        <is>
          <t>118</t>
        </is>
      </c>
      <c r="H129" s="4" t="n">
        <v>379.805</v>
      </c>
      <c r="I129" s="4" t="inlineStr">
        <is>
          <t>yes</t>
        </is>
      </c>
      <c r="J129" s="4" t="inlineStr">
        <is>
          <t>Client visit</t>
        </is>
      </c>
      <c r="K129">
        <f>IF(MID(C129,6,5)&gt;="04-06",LEFT(C129,4)&amp;"-"&amp;RIGHT(LEFT(C129,4)+1,2),LEFT(C129,4)-1&amp;"-"&amp;RIGHT(LEFT(C129,4),2))</f>
        <v/>
      </c>
      <c r="L129" s="24">
        <f>H129/1.609344</f>
        <v/>
      </c>
    </row>
    <row r="130">
      <c r="A130" s="4" t="inlineStr">
        <is>
          <t>golf</t>
        </is>
      </c>
      <c r="B130" s="4" t="inlineStr">
        <is>
          <t>alex</t>
        </is>
      </c>
      <c r="C130" s="4" t="inlineStr">
        <is>
          <t>2026-05-19</t>
        </is>
      </c>
      <c r="D130" s="4" t="inlineStr">
        <is>
          <t>Leeds</t>
        </is>
      </c>
      <c r="E130" s="4" t="inlineStr">
        <is>
          <t>Manchester</t>
        </is>
      </c>
      <c r="F130" s="4" t="inlineStr">
        <is>
          <t>yes</t>
        </is>
      </c>
      <c r="G130" s="4" t="inlineStr">
        <is>
          <t>44</t>
        </is>
      </c>
      <c r="H130" s="4" t="n">
        <v>141.622</v>
      </c>
      <c r="I130" s="4" t="inlineStr">
        <is>
          <t>yes</t>
        </is>
      </c>
      <c r="J130" s="4" t="inlineStr">
        <is>
          <t>Client visit</t>
        </is>
      </c>
      <c r="K130">
        <f>IF(MID(C130,6,5)&gt;="04-06",LEFT(C130,4)&amp;"-"&amp;RIGHT(LEFT(C130,4)+1,2),LEFT(C130,4)-1&amp;"-"&amp;RIGHT(LEFT(C130,4),2))</f>
        <v/>
      </c>
      <c r="L130" s="24">
        <f>H130/1.609344</f>
        <v/>
      </c>
    </row>
    <row r="131">
      <c r="A131" s="4" t="inlineStr">
        <is>
          <t>golf</t>
        </is>
      </c>
      <c r="B131" s="4" t="inlineStr">
        <is>
          <t>alex</t>
        </is>
      </c>
      <c r="C131" s="4" t="inlineStr">
        <is>
          <t>2026-05-27</t>
        </is>
      </c>
      <c r="D131" s="4" t="inlineStr">
        <is>
          <t>Leeds</t>
        </is>
      </c>
      <c r="E131" s="4" t="inlineStr">
        <is>
          <t>London</t>
        </is>
      </c>
      <c r="F131" s="4" t="inlineStr">
        <is>
          <t>yes</t>
        </is>
      </c>
      <c r="G131" s="4" t="inlineStr">
        <is>
          <t>195</t>
        </is>
      </c>
      <c r="H131" s="4" t="n">
        <v>627.644</v>
      </c>
      <c r="I131" s="4" t="inlineStr">
        <is>
          <t>yes</t>
        </is>
      </c>
      <c r="J131" s="4" t="inlineStr">
        <is>
          <t>Client visit</t>
        </is>
      </c>
      <c r="K131">
        <f>IF(MID(C131,6,5)&gt;="04-06",LEFT(C131,4)&amp;"-"&amp;RIGHT(LEFT(C131,4)+1,2),LEFT(C131,4)-1&amp;"-"&amp;RIGHT(LEFT(C131,4),2))</f>
        <v/>
      </c>
      <c r="L131" s="24">
        <f>H131/1.609344</f>
        <v/>
      </c>
    </row>
    <row r="132">
      <c r="A132" s="4" t="inlineStr">
        <is>
          <t>golf</t>
        </is>
      </c>
      <c r="B132" s="4" t="inlineStr">
        <is>
          <t>alex</t>
        </is>
      </c>
      <c r="C132" s="4" t="inlineStr">
        <is>
          <t>2026-06-03</t>
        </is>
      </c>
      <c r="D132" s="4" t="inlineStr">
        <is>
          <t>Leeds</t>
        </is>
      </c>
      <c r="E132" s="4" t="inlineStr">
        <is>
          <t>Birmingham</t>
        </is>
      </c>
      <c r="F132" s="4" t="inlineStr">
        <is>
          <t>yes</t>
        </is>
      </c>
      <c r="G132" s="4" t="inlineStr">
        <is>
          <t>118</t>
        </is>
      </c>
      <c r="H132" s="4" t="n">
        <v>379.805</v>
      </c>
      <c r="I132" s="4" t="inlineStr">
        <is>
          <t>yes</t>
        </is>
      </c>
      <c r="J132" s="4" t="inlineStr">
        <is>
          <t>Client visit</t>
        </is>
      </c>
      <c r="K132">
        <f>IF(MID(C132,6,5)&gt;="04-06",LEFT(C132,4)&amp;"-"&amp;RIGHT(LEFT(C132,4)+1,2),LEFT(C132,4)-1&amp;"-"&amp;RIGHT(LEFT(C132,4),2))</f>
        <v/>
      </c>
      <c r="L132" s="24">
        <f>H132/1.609344</f>
        <v/>
      </c>
    </row>
    <row r="133">
      <c r="A133" s="4" t="inlineStr">
        <is>
          <t>golf</t>
        </is>
      </c>
      <c r="B133" s="4" t="inlineStr">
        <is>
          <t>alex</t>
        </is>
      </c>
      <c r="C133" s="4" t="inlineStr">
        <is>
          <t>2026-06-10</t>
        </is>
      </c>
      <c r="D133" s="4" t="inlineStr">
        <is>
          <t>Leeds</t>
        </is>
      </c>
      <c r="E133" s="4" t="inlineStr">
        <is>
          <t>Birmingham</t>
        </is>
      </c>
      <c r="F133" s="4" t="inlineStr">
        <is>
          <t>yes</t>
        </is>
      </c>
      <c r="G133" s="4" t="inlineStr">
        <is>
          <t>118</t>
        </is>
      </c>
      <c r="H133" s="4" t="n">
        <v>379.805</v>
      </c>
      <c r="I133" s="4" t="inlineStr">
        <is>
          <t>yes</t>
        </is>
      </c>
      <c r="J133" s="4" t="inlineStr">
        <is>
          <t>Client visit</t>
        </is>
      </c>
      <c r="K133">
        <f>IF(MID(C133,6,5)&gt;="04-06",LEFT(C133,4)&amp;"-"&amp;RIGHT(LEFT(C133,4)+1,2),LEFT(C133,4)-1&amp;"-"&amp;RIGHT(LEFT(C133,4),2))</f>
        <v/>
      </c>
      <c r="L133" s="24">
        <f>H133/1.609344</f>
        <v/>
      </c>
    </row>
    <row r="134">
      <c r="A134" s="4" t="inlineStr">
        <is>
          <t>golf</t>
        </is>
      </c>
      <c r="B134" s="4" t="inlineStr">
        <is>
          <t>alex</t>
        </is>
      </c>
      <c r="C134" s="4" t="inlineStr">
        <is>
          <t>2026-06-17</t>
        </is>
      </c>
      <c r="D134" s="4" t="inlineStr">
        <is>
          <t>Leeds</t>
        </is>
      </c>
      <c r="E134" s="4" t="inlineStr">
        <is>
          <t>Birmingham</t>
        </is>
      </c>
      <c r="F134" s="4" t="inlineStr">
        <is>
          <t>yes</t>
        </is>
      </c>
      <c r="G134" s="4" t="inlineStr">
        <is>
          <t>118</t>
        </is>
      </c>
      <c r="H134" s="4" t="n">
        <v>379.805</v>
      </c>
      <c r="I134" s="4" t="inlineStr">
        <is>
          <t>yes</t>
        </is>
      </c>
      <c r="J134" s="4" t="inlineStr">
        <is>
          <t>Client visit</t>
        </is>
      </c>
      <c r="K134">
        <f>IF(MID(C134,6,5)&gt;="04-06",LEFT(C134,4)&amp;"-"&amp;RIGHT(LEFT(C134,4)+1,2),LEFT(C134,4)-1&amp;"-"&amp;RIGHT(LEFT(C134,4),2))</f>
        <v/>
      </c>
      <c r="L134" s="24">
        <f>H134/1.609344</f>
        <v/>
      </c>
    </row>
    <row r="135">
      <c r="A135" s="4" t="inlineStr">
        <is>
          <t>golf</t>
        </is>
      </c>
      <c r="B135" s="4" t="inlineStr">
        <is>
          <t>alex</t>
        </is>
      </c>
      <c r="C135" s="4" t="inlineStr">
        <is>
          <t>2026-06-25</t>
        </is>
      </c>
      <c r="D135" s="4" t="inlineStr">
        <is>
          <t>Leeds</t>
        </is>
      </c>
      <c r="E135" s="4" t="inlineStr">
        <is>
          <t>Manchester</t>
        </is>
      </c>
      <c r="F135" s="4" t="inlineStr">
        <is>
          <t>yes</t>
        </is>
      </c>
      <c r="G135" s="4" t="inlineStr">
        <is>
          <t>44</t>
        </is>
      </c>
      <c r="H135" s="4" t="n">
        <v>141.622</v>
      </c>
      <c r="I135" s="4" t="inlineStr">
        <is>
          <t>yes</t>
        </is>
      </c>
      <c r="J135" s="4" t="inlineStr">
        <is>
          <t>Client visit</t>
        </is>
      </c>
      <c r="K135">
        <f>IF(MID(C135,6,5)&gt;="04-06",LEFT(C135,4)&amp;"-"&amp;RIGHT(LEFT(C135,4)+1,2),LEFT(C135,4)-1&amp;"-"&amp;RIGHT(LEFT(C135,4),2))</f>
        <v/>
      </c>
      <c r="L135" s="24">
        <f>H135/1.609344</f>
        <v/>
      </c>
    </row>
    <row r="136">
      <c r="A136" s="4" t="inlineStr">
        <is>
          <t>golf</t>
        </is>
      </c>
      <c r="B136" s="4" t="inlineStr">
        <is>
          <t>alex</t>
        </is>
      </c>
      <c r="C136" s="4" t="inlineStr">
        <is>
          <t>2026-07-02</t>
        </is>
      </c>
      <c r="D136" s="4" t="inlineStr">
        <is>
          <t>Leeds</t>
        </is>
      </c>
      <c r="E136" s="4" t="inlineStr">
        <is>
          <t>Birmingham</t>
        </is>
      </c>
      <c r="F136" s="4" t="inlineStr">
        <is>
          <t>yes</t>
        </is>
      </c>
      <c r="G136" s="4" t="inlineStr">
        <is>
          <t>118</t>
        </is>
      </c>
      <c r="H136" s="4" t="n">
        <v>379.805</v>
      </c>
      <c r="I136" s="4" t="inlineStr">
        <is>
          <t>yes</t>
        </is>
      </c>
      <c r="J136" s="4" t="inlineStr">
        <is>
          <t>Client visit</t>
        </is>
      </c>
      <c r="K136">
        <f>IF(MID(C136,6,5)&gt;="04-06",LEFT(C136,4)&amp;"-"&amp;RIGHT(LEFT(C136,4)+1,2),LEFT(C136,4)-1&amp;"-"&amp;RIGHT(LEFT(C136,4),2))</f>
        <v/>
      </c>
      <c r="L136" s="24">
        <f>H136/1.609344</f>
        <v/>
      </c>
    </row>
    <row r="137">
      <c r="A137" s="4" t="inlineStr">
        <is>
          <t>golf</t>
        </is>
      </c>
      <c r="B137" s="4" t="inlineStr">
        <is>
          <t>alex</t>
        </is>
      </c>
      <c r="C137" s="4" t="inlineStr">
        <is>
          <t>2026-07-08</t>
        </is>
      </c>
      <c r="D137" s="4" t="inlineStr">
        <is>
          <t>Leeds</t>
        </is>
      </c>
      <c r="E137" s="4" t="inlineStr">
        <is>
          <t>Newcastle</t>
        </is>
      </c>
      <c r="F137" s="4" t="inlineStr">
        <is>
          <t>yes</t>
        </is>
      </c>
      <c r="G137" s="4" t="inlineStr">
        <is>
          <t>95</t>
        </is>
      </c>
      <c r="H137" s="4" t="n">
        <v>305.775</v>
      </c>
      <c r="I137" s="4" t="inlineStr">
        <is>
          <t>yes</t>
        </is>
      </c>
      <c r="J137" s="4" t="inlineStr">
        <is>
          <t>Client visit</t>
        </is>
      </c>
      <c r="K137">
        <f>IF(MID(C137,6,5)&gt;="04-06",LEFT(C137,4)&amp;"-"&amp;RIGHT(LEFT(C137,4)+1,2),LEFT(C137,4)-1&amp;"-"&amp;RIGHT(LEFT(C137,4),2))</f>
        <v/>
      </c>
      <c r="L137" s="24">
        <f>H137/1.609344</f>
        <v/>
      </c>
    </row>
    <row r="138">
      <c r="A138" s="4" t="inlineStr">
        <is>
          <t>golf</t>
        </is>
      </c>
      <c r="B138" s="4" t="inlineStr">
        <is>
          <t>alex</t>
        </is>
      </c>
      <c r="C138" s="4" t="inlineStr">
        <is>
          <t>2026-07-17</t>
        </is>
      </c>
      <c r="D138" s="4" t="inlineStr">
        <is>
          <t>Leeds</t>
        </is>
      </c>
      <c r="E138" s="4" t="inlineStr">
        <is>
          <t>Newcastle</t>
        </is>
      </c>
      <c r="F138" s="4" t="inlineStr">
        <is>
          <t>yes</t>
        </is>
      </c>
      <c r="G138" s="4" t="inlineStr">
        <is>
          <t>95</t>
        </is>
      </c>
      <c r="H138" s="4" t="n">
        <v>305.775</v>
      </c>
      <c r="I138" s="4" t="inlineStr">
        <is>
          <t>yes</t>
        </is>
      </c>
      <c r="J138" s="4" t="inlineStr">
        <is>
          <t>Client visit</t>
        </is>
      </c>
      <c r="K138">
        <f>IF(MID(C138,6,5)&gt;="04-06",LEFT(C138,4)&amp;"-"&amp;RIGHT(LEFT(C138,4)+1,2),LEFT(C138,4)-1&amp;"-"&amp;RIGHT(LEFT(C138,4),2))</f>
        <v/>
      </c>
      <c r="L138" s="24">
        <f>H138/1.609344</f>
        <v/>
      </c>
    </row>
    <row r="139">
      <c r="A139" s="4" t="inlineStr">
        <is>
          <t>golf</t>
        </is>
      </c>
      <c r="B139" s="4" t="inlineStr">
        <is>
          <t>alex</t>
        </is>
      </c>
      <c r="C139" s="4" t="inlineStr">
        <is>
          <t>2026-07-24</t>
        </is>
      </c>
      <c r="D139" s="4" t="inlineStr">
        <is>
          <t>Leeds</t>
        </is>
      </c>
      <c r="E139" s="4" t="inlineStr">
        <is>
          <t>Birmingham</t>
        </is>
      </c>
      <c r="F139" s="4" t="inlineStr">
        <is>
          <t>yes</t>
        </is>
      </c>
      <c r="G139" s="4" t="inlineStr">
        <is>
          <t>118</t>
        </is>
      </c>
      <c r="H139" s="4" t="n">
        <v>379.805</v>
      </c>
      <c r="I139" s="4" t="inlineStr">
        <is>
          <t>yes</t>
        </is>
      </c>
      <c r="J139" s="4" t="inlineStr">
        <is>
          <t>Client visit</t>
        </is>
      </c>
      <c r="K139">
        <f>IF(MID(C139,6,5)&gt;="04-06",LEFT(C139,4)&amp;"-"&amp;RIGHT(LEFT(C139,4)+1,2),LEFT(C139,4)-1&amp;"-"&amp;RIGHT(LEFT(C139,4),2))</f>
        <v/>
      </c>
      <c r="L139" s="24">
        <f>H139/1.609344</f>
        <v/>
      </c>
    </row>
    <row r="140">
      <c r="A140" s="4" t="inlineStr">
        <is>
          <t>golf</t>
        </is>
      </c>
      <c r="B140" s="4" t="inlineStr">
        <is>
          <t>alex</t>
        </is>
      </c>
      <c r="C140" s="4" t="inlineStr">
        <is>
          <t>2026-07-30</t>
        </is>
      </c>
      <c r="D140" s="4" t="inlineStr">
        <is>
          <t>Leeds</t>
        </is>
      </c>
      <c r="E140" s="4" t="inlineStr">
        <is>
          <t>Newcastle</t>
        </is>
      </c>
      <c r="F140" s="4" t="inlineStr">
        <is>
          <t>yes</t>
        </is>
      </c>
      <c r="G140" s="4" t="inlineStr">
        <is>
          <t>95</t>
        </is>
      </c>
      <c r="H140" s="4" t="n">
        <v>305.775</v>
      </c>
      <c r="I140" s="4" t="inlineStr">
        <is>
          <t>yes</t>
        </is>
      </c>
      <c r="J140" s="4" t="inlineStr">
        <is>
          <t>Client visit</t>
        </is>
      </c>
      <c r="K140">
        <f>IF(MID(C140,6,5)&gt;="04-06",LEFT(C140,4)&amp;"-"&amp;RIGHT(LEFT(C140,4)+1,2),LEFT(C140,4)-1&amp;"-"&amp;RIGHT(LEFT(C140,4),2))</f>
        <v/>
      </c>
      <c r="L140" s="24">
        <f>H140/1.609344</f>
        <v/>
      </c>
    </row>
    <row r="141">
      <c r="A141" s="4" t="inlineStr">
        <is>
          <t>golf</t>
        </is>
      </c>
      <c r="B141" s="4" t="inlineStr">
        <is>
          <t>alex</t>
        </is>
      </c>
      <c r="C141" s="4" t="inlineStr">
        <is>
          <t>2026-08-21</t>
        </is>
      </c>
      <c r="D141" s="4" t="inlineStr">
        <is>
          <t>Leeds</t>
        </is>
      </c>
      <c r="E141" s="4" t="inlineStr">
        <is>
          <t>Birmingham</t>
        </is>
      </c>
      <c r="F141" s="4" t="inlineStr">
        <is>
          <t>yes</t>
        </is>
      </c>
      <c r="G141" s="4" t="inlineStr">
        <is>
          <t>118</t>
        </is>
      </c>
      <c r="H141" s="4" t="n">
        <v>379.805</v>
      </c>
      <c r="I141" s="4" t="inlineStr">
        <is>
          <t>yes</t>
        </is>
      </c>
      <c r="J141" s="4" t="inlineStr">
        <is>
          <t>Client visit</t>
        </is>
      </c>
      <c r="K141">
        <f>IF(MID(C141,6,5)&gt;="04-06",LEFT(C141,4)&amp;"-"&amp;RIGHT(LEFT(C141,4)+1,2),LEFT(C141,4)-1&amp;"-"&amp;RIGHT(LEFT(C141,4),2))</f>
        <v/>
      </c>
      <c r="L141" s="24">
        <f>H141/1.609344</f>
        <v/>
      </c>
    </row>
    <row r="142">
      <c r="A142" s="4" t="inlineStr">
        <is>
          <t>golf</t>
        </is>
      </c>
      <c r="B142" s="4" t="inlineStr">
        <is>
          <t>alex</t>
        </is>
      </c>
      <c r="C142" s="4" t="inlineStr">
        <is>
          <t>2026-08-26</t>
        </is>
      </c>
      <c r="D142" s="4" t="inlineStr">
        <is>
          <t>Leeds</t>
        </is>
      </c>
      <c r="E142" s="4" t="inlineStr">
        <is>
          <t>London</t>
        </is>
      </c>
      <c r="F142" s="4" t="inlineStr">
        <is>
          <t>yes</t>
        </is>
      </c>
      <c r="G142" s="4" t="inlineStr">
        <is>
          <t>195</t>
        </is>
      </c>
      <c r="H142" s="4" t="n">
        <v>627.644</v>
      </c>
      <c r="I142" s="4" t="inlineStr">
        <is>
          <t>yes</t>
        </is>
      </c>
      <c r="J142" s="4" t="inlineStr">
        <is>
          <t>Client visit</t>
        </is>
      </c>
      <c r="K142">
        <f>IF(MID(C142,6,5)&gt;="04-06",LEFT(C142,4)&amp;"-"&amp;RIGHT(LEFT(C142,4)+1,2),LEFT(C142,4)-1&amp;"-"&amp;RIGHT(LEFT(C142,4),2))</f>
        <v/>
      </c>
      <c r="L142" s="24">
        <f>H142/1.609344</f>
        <v/>
      </c>
    </row>
    <row r="143">
      <c r="A143" s="4" t="inlineStr">
        <is>
          <t>golf</t>
        </is>
      </c>
      <c r="B143" s="4" t="inlineStr">
        <is>
          <t>alex</t>
        </is>
      </c>
      <c r="C143" s="4" t="inlineStr">
        <is>
          <t>2026-09-03</t>
        </is>
      </c>
      <c r="D143" s="4" t="inlineStr">
        <is>
          <t>Leeds</t>
        </is>
      </c>
      <c r="E143" s="4" t="inlineStr">
        <is>
          <t>London</t>
        </is>
      </c>
      <c r="F143" s="4" t="inlineStr">
        <is>
          <t>yes</t>
        </is>
      </c>
      <c r="G143" s="4" t="inlineStr">
        <is>
          <t>195</t>
        </is>
      </c>
      <c r="H143" s="4" t="n">
        <v>627.644</v>
      </c>
      <c r="I143" s="4" t="inlineStr">
        <is>
          <t>yes</t>
        </is>
      </c>
      <c r="J143" s="4" t="inlineStr">
        <is>
          <t>Client visit</t>
        </is>
      </c>
      <c r="K143">
        <f>IF(MID(C143,6,5)&gt;="04-06",LEFT(C143,4)&amp;"-"&amp;RIGHT(LEFT(C143,4)+1,2),LEFT(C143,4)-1&amp;"-"&amp;RIGHT(LEFT(C143,4),2))</f>
        <v/>
      </c>
      <c r="L143" s="24">
        <f>H143/1.609344</f>
        <v/>
      </c>
    </row>
    <row r="144">
      <c r="A144" s="4" t="inlineStr">
        <is>
          <t>golf</t>
        </is>
      </c>
      <c r="B144" s="4" t="inlineStr">
        <is>
          <t>alex</t>
        </is>
      </c>
      <c r="C144" s="4" t="inlineStr">
        <is>
          <t>2026-09-10</t>
        </is>
      </c>
      <c r="D144" s="4" t="inlineStr">
        <is>
          <t>Leeds</t>
        </is>
      </c>
      <c r="E144" s="4" t="inlineStr">
        <is>
          <t>Birmingham</t>
        </is>
      </c>
      <c r="F144" s="4" t="inlineStr">
        <is>
          <t>yes</t>
        </is>
      </c>
      <c r="G144" s="4" t="inlineStr">
        <is>
          <t>118</t>
        </is>
      </c>
      <c r="H144" s="4" t="n">
        <v>379.805</v>
      </c>
      <c r="I144" s="4" t="inlineStr">
        <is>
          <t>yes</t>
        </is>
      </c>
      <c r="J144" s="4" t="inlineStr">
        <is>
          <t>Client visit</t>
        </is>
      </c>
      <c r="K144">
        <f>IF(MID(C144,6,5)&gt;="04-06",LEFT(C144,4)&amp;"-"&amp;RIGHT(LEFT(C144,4)+1,2),LEFT(C144,4)-1&amp;"-"&amp;RIGHT(LEFT(C144,4),2))</f>
        <v/>
      </c>
      <c r="L144" s="24">
        <f>H144/1.609344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2026-10-11T19:31:00Z</dcterms:created>
  <dcterms:modified xsi:type="dcterms:W3CDTF">2026-10-12T14:34:53Z</dcterms:modified>
</cp:coreProperties>
</file>